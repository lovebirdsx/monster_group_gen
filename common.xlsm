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vn_project\mp\LR\design\G关卡\配怪工具\"/>
    </mc:Choice>
  </mc:AlternateContent>
  <bookViews>
    <workbookView xWindow="0" yWindow="0" windowWidth="28800" windowHeight="12390"/>
  </bookViews>
  <sheets>
    <sheet name="group" sheetId="22" r:id="rId1"/>
    <sheet name="group_output" sheetId="23" r:id="rId2"/>
    <sheet name="test" sheetId="24" r:id="rId3"/>
    <sheet name="units" sheetId="12" r:id="rId4"/>
    <sheet name="cfg" sheetId="9" r:id="rId5"/>
    <sheet name="play" sheetId="20" r:id="rId6"/>
  </sheets>
  <functionGroups builtInGroupCount="18"/>
  <definedNames>
    <definedName name="Formations" localSheetId="2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2">表2[HeroIndex]</definedName>
    <definedName name="HeroShortNames">表2[HeroIndex]</definedName>
    <definedName name="Plays">表16[玩法]</definedName>
    <definedName name="SoldierNames" localSheetId="2">表8[Soldier]</definedName>
    <definedName name="SoldierNames">表8[Soldier]</definedName>
    <definedName name="SoldierShortNames" localSheetId="2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2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D2" i="22" l="1"/>
  <c r="O24" i="24"/>
  <c r="O25" i="24"/>
  <c r="D109" i="12" l="1"/>
  <c r="D345" i="12"/>
  <c r="J15" i="12" s="1"/>
  <c r="D344" i="12"/>
  <c r="J14" i="12" s="1"/>
  <c r="D181" i="12" l="1"/>
  <c r="D182" i="12"/>
  <c r="D183" i="12"/>
  <c r="D184" i="12"/>
  <c r="D185" i="12"/>
  <c r="D186" i="12"/>
  <c r="D187" i="12"/>
  <c r="D188" i="12"/>
  <c r="D189" i="12"/>
  <c r="J19" i="12" s="1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J11" i="12" s="1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J18" i="12" s="1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J12" i="12" s="1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J8" i="12" s="1"/>
  <c r="D292" i="12"/>
  <c r="D293" i="12"/>
  <c r="D294" i="12"/>
  <c r="J10" i="12" s="1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J7" i="12" s="1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J16" i="12" s="1"/>
  <c r="D341" i="12"/>
  <c r="D342" i="12"/>
  <c r="D343" i="12"/>
  <c r="D175" i="12" l="1"/>
  <c r="D176" i="12"/>
  <c r="D177" i="12"/>
  <c r="D178" i="12"/>
  <c r="D179" i="12"/>
  <c r="D180" i="12"/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J4" i="12" s="1"/>
  <c r="D61" i="12"/>
  <c r="D62" i="12"/>
  <c r="D63" i="12"/>
  <c r="D64" i="12"/>
  <c r="D65" i="12"/>
  <c r="D66" i="12"/>
  <c r="D67" i="12"/>
  <c r="J9" i="12" s="1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J13" i="12" s="1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J6" i="12" s="1"/>
  <c r="D157" i="12"/>
  <c r="D158" i="12"/>
  <c r="D159" i="12"/>
  <c r="D160" i="12"/>
  <c r="D161" i="12"/>
  <c r="D162" i="12"/>
  <c r="D163" i="12"/>
  <c r="J17" i="12" s="1"/>
  <c r="D164" i="12"/>
  <c r="D165" i="12"/>
  <c r="D166" i="12"/>
  <c r="J5" i="12" s="1"/>
  <c r="D167" i="12"/>
  <c r="D168" i="12"/>
  <c r="D169" i="12"/>
  <c r="D170" i="12"/>
  <c r="D171" i="12"/>
  <c r="D172" i="12"/>
  <c r="D173" i="12"/>
  <c r="D174" i="12"/>
  <c r="D3" i="12"/>
  <c r="N333" i="22"/>
  <c r="P174" i="22"/>
  <c r="P289" i="22"/>
  <c r="N79" i="22"/>
  <c r="P150" i="22"/>
  <c r="N156" i="22"/>
  <c r="S128" i="24"/>
  <c r="O99" i="24"/>
  <c r="P330" i="22"/>
  <c r="P26" i="22"/>
  <c r="P80" i="22"/>
  <c r="P186" i="22"/>
  <c r="N273" i="22"/>
  <c r="P140" i="22"/>
  <c r="P336" i="22"/>
  <c r="F112" i="20"/>
  <c r="N287" i="22"/>
  <c r="P344" i="22"/>
  <c r="P95" i="22"/>
  <c r="P244" i="22"/>
  <c r="P170" i="22"/>
  <c r="P100" i="22"/>
  <c r="P256" i="22"/>
  <c r="N163" i="22"/>
  <c r="N86" i="22"/>
  <c r="N108" i="22"/>
  <c r="P93" i="22"/>
  <c r="N62" i="22"/>
  <c r="N390" i="22"/>
  <c r="N216" i="22"/>
  <c r="P231" i="22"/>
  <c r="P58" i="22"/>
  <c r="N192" i="22"/>
  <c r="P12" i="22"/>
  <c r="P7" i="22"/>
  <c r="N266" i="22"/>
  <c r="P267" i="22"/>
  <c r="N68" i="22"/>
  <c r="P124" i="22"/>
  <c r="P21" i="22"/>
  <c r="N44" i="22"/>
  <c r="N182" i="22"/>
  <c r="O149" i="24"/>
  <c r="P52" i="22"/>
  <c r="N39" i="22"/>
  <c r="P212" i="22"/>
  <c r="N199" i="22"/>
  <c r="N232" i="22"/>
  <c r="N212" i="22"/>
  <c r="N83" i="22"/>
  <c r="P365" i="22"/>
  <c r="N222" i="22"/>
  <c r="P146" i="22"/>
  <c r="N335" i="22"/>
  <c r="N51" i="22"/>
  <c r="N119" i="22"/>
  <c r="P6" i="22"/>
  <c r="N224" i="22"/>
  <c r="P276" i="22"/>
  <c r="N318" i="22"/>
  <c r="P74" i="22"/>
  <c r="N310" i="22"/>
  <c r="P234" i="22"/>
  <c r="E108" i="20"/>
  <c r="P188" i="22"/>
  <c r="N240" i="22"/>
  <c r="N395" i="22"/>
  <c r="N11" i="22"/>
  <c r="P85" i="22"/>
  <c r="N320" i="22"/>
  <c r="P200" i="22"/>
  <c r="P268" i="22"/>
  <c r="N311" i="22"/>
  <c r="N140" i="22"/>
  <c r="N249" i="22"/>
  <c r="N285" i="22"/>
  <c r="P211" i="22"/>
  <c r="N82" i="22"/>
  <c r="P78" i="22"/>
  <c r="N399" i="22"/>
  <c r="N115" i="22"/>
  <c r="P201" i="22"/>
  <c r="P326" i="22"/>
  <c r="N262" i="22"/>
  <c r="N88" i="22"/>
  <c r="P115" i="22"/>
  <c r="P101" i="22"/>
  <c r="N64" i="22"/>
  <c r="P205" i="22"/>
  <c r="S106" i="24"/>
  <c r="N185" i="22"/>
  <c r="O40" i="24"/>
  <c r="P69" i="22"/>
  <c r="P400" i="22"/>
  <c r="N92" i="22"/>
  <c r="P331" i="22"/>
  <c r="P48" i="22"/>
  <c r="P321" i="22"/>
  <c r="N374" i="22"/>
  <c r="N385" i="22"/>
  <c r="N354" i="22"/>
  <c r="O79" i="24"/>
  <c r="P352" i="22"/>
  <c r="P112" i="22"/>
  <c r="N34" i="22"/>
  <c r="O23" i="24"/>
  <c r="N89" i="22"/>
  <c r="N200" i="22"/>
  <c r="N328" i="22"/>
  <c r="P264" i="22"/>
  <c r="N404" i="22"/>
  <c r="N194" i="22"/>
  <c r="O116" i="24"/>
  <c r="P266" i="22"/>
  <c r="O20" i="24"/>
  <c r="P181" i="22"/>
  <c r="P260" i="22"/>
  <c r="P195" i="22"/>
  <c r="P278" i="22"/>
  <c r="P75" i="22"/>
  <c r="O18" i="24"/>
  <c r="P160" i="22"/>
  <c r="S48" i="24"/>
  <c r="N76" i="22"/>
  <c r="N190" i="22"/>
  <c r="N257" i="22"/>
  <c r="N23" i="22"/>
  <c r="N343" i="22"/>
  <c r="N252" i="22"/>
  <c r="N254" i="22"/>
  <c r="P43" i="22"/>
  <c r="P217" i="22"/>
  <c r="N56" i="22"/>
  <c r="N26" i="22"/>
  <c r="N230" i="22"/>
  <c r="N8" i="22"/>
  <c r="N337" i="22"/>
  <c r="N168" i="22"/>
  <c r="P291" i="22"/>
  <c r="N305" i="22"/>
  <c r="N123" i="22"/>
  <c r="N242" i="22"/>
  <c r="N96" i="22"/>
  <c r="N313" i="22"/>
  <c r="P133" i="22"/>
  <c r="P76" i="22"/>
  <c r="N12" i="22"/>
  <c r="P134" i="22"/>
  <c r="P241" i="22"/>
  <c r="S78" i="24"/>
  <c r="P220" i="22"/>
  <c r="N277" i="22"/>
  <c r="N125" i="22"/>
  <c r="N50" i="22"/>
  <c r="N251" i="22"/>
  <c r="N95" i="22"/>
  <c r="N177" i="22"/>
  <c r="N40" i="22"/>
  <c r="N379" i="22"/>
  <c r="N81" i="22"/>
  <c r="P250" i="22"/>
  <c r="P131" i="22"/>
  <c r="P28" i="22"/>
  <c r="P202" i="22"/>
  <c r="P302" i="22"/>
  <c r="N107" i="22"/>
  <c r="N325" i="22"/>
  <c r="N61" i="22"/>
  <c r="N9" i="22"/>
  <c r="P303" i="22"/>
  <c r="N35" i="22"/>
  <c r="N173" i="22"/>
  <c r="N195" i="22"/>
  <c r="N118" i="22"/>
  <c r="N149" i="22"/>
  <c r="N176" i="22"/>
  <c r="P64" i="22"/>
  <c r="P177" i="22"/>
  <c r="N169" i="22"/>
  <c r="P46" i="22"/>
  <c r="N377" i="22"/>
  <c r="P206" i="22"/>
  <c r="P22" i="22"/>
  <c r="N28" i="22"/>
  <c r="O105" i="24"/>
  <c r="O128" i="24"/>
  <c r="S129" i="24"/>
  <c r="P38" i="22"/>
  <c r="P284" i="22"/>
  <c r="P198" i="22"/>
  <c r="N30" i="22"/>
  <c r="N171" i="22"/>
  <c r="P102" i="22"/>
  <c r="S120" i="24"/>
  <c r="N181" i="22"/>
  <c r="N208" i="22"/>
  <c r="N126" i="22"/>
  <c r="P50" i="22"/>
  <c r="P118" i="22"/>
  <c r="N345" i="22"/>
  <c r="N221" i="22"/>
  <c r="P337" i="22"/>
  <c r="N134" i="22"/>
  <c r="N241" i="22"/>
  <c r="N243" i="22"/>
  <c r="P409" i="22"/>
  <c r="P151" i="22"/>
  <c r="N15" i="22"/>
  <c r="N270" i="22"/>
  <c r="N226" i="22"/>
  <c r="P222" i="22"/>
  <c r="E111" i="20"/>
  <c r="N127" i="22"/>
  <c r="N90" i="22"/>
  <c r="E110" i="20"/>
  <c r="P122" i="22"/>
  <c r="N296" i="22"/>
  <c r="P366" i="22"/>
  <c r="N53" i="22"/>
  <c r="P243" i="22"/>
  <c r="P31" i="22"/>
  <c r="N160" i="22"/>
  <c r="P94" i="22"/>
  <c r="P340" i="22"/>
  <c r="P165" i="22"/>
  <c r="P60" i="22"/>
  <c r="N308" i="22"/>
  <c r="P224" i="22"/>
  <c r="N326" i="22"/>
  <c r="O137" i="24"/>
  <c r="N73" i="22"/>
  <c r="S56" i="24"/>
  <c r="S151" i="24"/>
  <c r="O81" i="24"/>
  <c r="N291" i="22"/>
  <c r="N57" i="22"/>
  <c r="P108" i="22"/>
  <c r="N346" i="22"/>
  <c r="P367" i="22"/>
  <c r="S87" i="24"/>
  <c r="N42" i="22"/>
  <c r="S73" i="24"/>
  <c r="N268" i="22"/>
  <c r="N66" i="22"/>
  <c r="N330" i="22"/>
  <c r="P286" i="22"/>
  <c r="S75" i="24"/>
  <c r="O42" i="24"/>
  <c r="S40" i="24"/>
  <c r="P322" i="22"/>
  <c r="P36" i="22"/>
  <c r="P192" i="22"/>
  <c r="P196" i="22"/>
  <c r="N297" i="22"/>
  <c r="P190" i="22"/>
  <c r="P39" i="22"/>
  <c r="O110" i="24"/>
  <c r="N109" i="22"/>
  <c r="N206" i="22"/>
  <c r="N332" i="22"/>
  <c r="N319" i="22"/>
  <c r="P116" i="22"/>
  <c r="P42" i="22"/>
  <c r="N180" i="22"/>
  <c r="P364" i="22"/>
  <c r="O57" i="24"/>
  <c r="P154" i="22"/>
  <c r="N122" i="22"/>
  <c r="N59" i="22"/>
  <c r="P130" i="22"/>
  <c r="N13" i="22"/>
  <c r="P96" i="22"/>
  <c r="P30" i="22"/>
  <c r="N203" i="22"/>
  <c r="P315" i="22"/>
  <c r="N148" i="22"/>
  <c r="P193" i="22"/>
  <c r="N102" i="22"/>
  <c r="N78" i="22"/>
  <c r="P113" i="22"/>
  <c r="P61" i="22"/>
  <c r="N364" i="22"/>
  <c r="P37" i="22"/>
  <c r="P138" i="22"/>
  <c r="P357" i="22"/>
  <c r="N132" i="22"/>
  <c r="P166" i="22"/>
  <c r="P84" i="22"/>
  <c r="N71" i="22"/>
  <c r="N158" i="22"/>
  <c r="N84" i="22"/>
  <c r="N144" i="22"/>
  <c r="O12" i="24"/>
  <c r="P92" i="22"/>
  <c r="N196" i="22"/>
  <c r="P252" i="22"/>
  <c r="P8" i="22"/>
  <c r="N172" i="22"/>
  <c r="N263" i="22"/>
  <c r="N217" i="22"/>
  <c r="N402" i="22"/>
  <c r="P157" i="22"/>
  <c r="P377" i="22"/>
  <c r="N375" i="22"/>
  <c r="N286" i="22"/>
  <c r="P353" i="22"/>
  <c r="N143" i="22"/>
  <c r="P362" i="22"/>
  <c r="N113" i="22"/>
  <c r="P34" i="22"/>
  <c r="P172" i="22"/>
  <c r="P194" i="22"/>
  <c r="N77" i="22"/>
  <c r="P148" i="22"/>
  <c r="N135" i="22"/>
  <c r="P19" i="22"/>
  <c r="P103" i="22"/>
  <c r="N204" i="22"/>
  <c r="N295" i="22"/>
  <c r="P40" i="22"/>
  <c r="P127" i="22"/>
  <c r="N271" i="22"/>
  <c r="P242" i="22"/>
  <c r="P179" i="22"/>
  <c r="P51" i="22"/>
  <c r="P72" i="22"/>
  <c r="P296" i="22"/>
  <c r="P77" i="22"/>
  <c r="P396" i="22"/>
  <c r="P63" i="22"/>
  <c r="P171" i="22"/>
  <c r="P404" i="22"/>
  <c r="N211" i="22"/>
  <c r="N165" i="22"/>
  <c r="P327" i="22"/>
  <c r="N110" i="22"/>
  <c r="N228" i="22"/>
  <c r="N104" i="22"/>
  <c r="N159" i="22"/>
  <c r="O102" i="24"/>
  <c r="P90" i="22"/>
  <c r="N80" i="22"/>
  <c r="N201" i="22"/>
  <c r="N147" i="22"/>
  <c r="N46" i="22"/>
  <c r="P298" i="22"/>
  <c r="N265" i="22"/>
  <c r="P305" i="22"/>
  <c r="N256" i="22"/>
  <c r="N348" i="22"/>
  <c r="S46" i="24"/>
  <c r="N152" i="22"/>
  <c r="P394" i="22"/>
  <c r="O113" i="24"/>
  <c r="O84" i="24"/>
  <c r="O95" i="24"/>
  <c r="S13" i="24"/>
  <c r="P334" i="22"/>
  <c r="N368" i="22"/>
  <c r="P391" i="22"/>
  <c r="P280" i="22"/>
  <c r="P32" i="22"/>
  <c r="O144" i="24"/>
  <c r="S17" i="24"/>
  <c r="S7" i="24"/>
  <c r="P272" i="22"/>
  <c r="P297" i="22"/>
  <c r="P338" i="22"/>
  <c r="F108" i="20"/>
  <c r="O60" i="24"/>
  <c r="O48" i="24"/>
  <c r="P382" i="22"/>
  <c r="P295" i="22"/>
  <c r="P53" i="22"/>
  <c r="P163" i="22"/>
  <c r="P83" i="22"/>
  <c r="S125" i="24"/>
  <c r="N19" i="22"/>
  <c r="N133" i="22"/>
  <c r="N105" i="22"/>
  <c r="N6" i="22"/>
  <c r="P259" i="22"/>
  <c r="N36" i="22"/>
  <c r="N85" i="22"/>
  <c r="N269" i="22"/>
  <c r="N383" i="22"/>
  <c r="N45" i="22"/>
  <c r="N48" i="22"/>
  <c r="N186" i="22"/>
  <c r="N259" i="22"/>
  <c r="P342" i="22"/>
  <c r="P320" i="22"/>
  <c r="N155" i="22"/>
  <c r="N54" i="22"/>
  <c r="N323" i="22"/>
  <c r="P142" i="22"/>
  <c r="P125" i="22"/>
  <c r="P238" i="22"/>
  <c r="N87" i="22"/>
  <c r="N229" i="22"/>
  <c r="P236" i="22"/>
  <c r="P107" i="22"/>
  <c r="N129" i="22"/>
  <c r="O136" i="24"/>
  <c r="N339" i="22"/>
  <c r="E109" i="20"/>
  <c r="N52" i="22"/>
  <c r="N239" i="22"/>
  <c r="N327" i="22"/>
  <c r="N207" i="22"/>
  <c r="P15" i="22"/>
  <c r="N407" i="22"/>
  <c r="P349" i="22"/>
  <c r="N141" i="22"/>
  <c r="S19" i="24"/>
  <c r="N338" i="22"/>
  <c r="P288" i="22"/>
  <c r="N304" i="22"/>
  <c r="O65" i="24"/>
  <c r="O129" i="24"/>
  <c r="P161" i="22"/>
  <c r="S58" i="24"/>
  <c r="P35" i="22"/>
  <c r="N321" i="22"/>
  <c r="S38" i="24"/>
  <c r="S36" i="24"/>
  <c r="N324" i="22"/>
  <c r="O76" i="24"/>
  <c r="N137" i="22"/>
  <c r="P14" i="22"/>
  <c r="N382" i="22"/>
  <c r="N184" i="22"/>
  <c r="P214" i="22"/>
  <c r="P185" i="22"/>
  <c r="P66" i="22"/>
  <c r="N391" i="22"/>
  <c r="P373" i="22"/>
  <c r="N406" i="22"/>
  <c r="P144" i="22"/>
  <c r="N170" i="22"/>
  <c r="S89" i="24"/>
  <c r="S67" i="24"/>
  <c r="P215" i="22"/>
  <c r="P184" i="22"/>
  <c r="N340" i="22"/>
  <c r="P10" i="22"/>
  <c r="P175" i="22"/>
  <c r="P332" i="22"/>
  <c r="N258" i="22"/>
  <c r="P392" i="22"/>
  <c r="S44" i="24"/>
  <c r="P325" i="22"/>
  <c r="N394" i="22"/>
  <c r="P23" i="22"/>
  <c r="P187" i="22"/>
  <c r="O117" i="24"/>
  <c r="N106" i="22"/>
  <c r="S101" i="24"/>
  <c r="N372" i="22"/>
  <c r="P183" i="22"/>
  <c r="P258" i="22"/>
  <c r="N276" i="22"/>
  <c r="P388" i="22"/>
  <c r="O130" i="24"/>
  <c r="N361" i="22"/>
  <c r="P55" i="22"/>
  <c r="N233" i="22"/>
  <c r="N274" i="22"/>
  <c r="P169" i="22"/>
  <c r="F110" i="20"/>
  <c r="P110" i="22"/>
  <c r="N278" i="22"/>
  <c r="O142" i="24"/>
  <c r="S139" i="24"/>
  <c r="S123" i="24"/>
  <c r="O146" i="24"/>
  <c r="N373" i="22"/>
  <c r="S117" i="24"/>
  <c r="S86" i="24"/>
  <c r="N357" i="22"/>
  <c r="S107" i="24"/>
  <c r="S33" i="24"/>
  <c r="N236" i="22"/>
  <c r="E6" i="20"/>
  <c r="F74" i="20"/>
  <c r="F44" i="20"/>
  <c r="E48" i="20"/>
  <c r="E18" i="20"/>
  <c r="N116" i="22"/>
  <c r="N175" i="22"/>
  <c r="N248" i="22"/>
  <c r="F109" i="20"/>
  <c r="P197" i="22"/>
  <c r="N393" i="22"/>
  <c r="O78" i="24"/>
  <c r="S43" i="24"/>
  <c r="O44" i="24"/>
  <c r="S149" i="24"/>
  <c r="N378" i="22"/>
  <c r="O140" i="24"/>
  <c r="P57" i="22"/>
  <c r="P219" i="22"/>
  <c r="P395" i="22"/>
  <c r="O106" i="24"/>
  <c r="P159" i="22"/>
  <c r="N219" i="22"/>
  <c r="N128" i="22"/>
  <c r="P167" i="22"/>
  <c r="P245" i="22"/>
  <c r="O72" i="24"/>
  <c r="N112" i="22"/>
  <c r="N215" i="22"/>
  <c r="N49" i="22"/>
  <c r="N67" i="22"/>
  <c r="P59" i="22"/>
  <c r="N20" i="22"/>
  <c r="P17" i="22"/>
  <c r="P68" i="22"/>
  <c r="S81" i="24"/>
  <c r="P299" i="22"/>
  <c r="O98" i="24"/>
  <c r="N166" i="22"/>
  <c r="P265" i="22"/>
  <c r="P178" i="22"/>
  <c r="N342" i="22"/>
  <c r="N301" i="22"/>
  <c r="N336" i="22"/>
  <c r="P86" i="22"/>
  <c r="P106" i="22"/>
  <c r="P348" i="22"/>
  <c r="O141" i="24"/>
  <c r="P41" i="22"/>
  <c r="S35" i="24"/>
  <c r="P292" i="22"/>
  <c r="S50" i="24"/>
  <c r="P114" i="22"/>
  <c r="P229" i="22"/>
  <c r="N197" i="22"/>
  <c r="S21" i="24"/>
  <c r="P70" i="22"/>
  <c r="N142" i="22"/>
  <c r="S18" i="24"/>
  <c r="P249" i="22"/>
  <c r="O132" i="24"/>
  <c r="S52" i="24"/>
  <c r="O49" i="24"/>
  <c r="O101" i="24"/>
  <c r="O8" i="24"/>
  <c r="O126" i="24"/>
  <c r="O11" i="24"/>
  <c r="O34" i="24"/>
  <c r="P240" i="22"/>
  <c r="N401" i="22"/>
  <c r="N282" i="22"/>
  <c r="N234" i="22"/>
  <c r="N38" i="22"/>
  <c r="N314" i="22"/>
  <c r="P126" i="22"/>
  <c r="P275" i="22"/>
  <c r="N220" i="22"/>
  <c r="P129" i="22"/>
  <c r="P204" i="22"/>
  <c r="P104" i="22"/>
  <c r="N261" i="22"/>
  <c r="E114" i="20"/>
  <c r="S146" i="24"/>
  <c r="O75" i="24"/>
  <c r="S74" i="24"/>
  <c r="P158" i="22"/>
  <c r="O123" i="24"/>
  <c r="N231" i="22"/>
  <c r="P341" i="22"/>
  <c r="P176" i="22"/>
  <c r="P223" i="22"/>
  <c r="P407" i="22"/>
  <c r="O62" i="24"/>
  <c r="S60" i="24"/>
  <c r="O148" i="24"/>
  <c r="P328" i="22"/>
  <c r="P310" i="22"/>
  <c r="N329" i="22"/>
  <c r="P168" i="22"/>
  <c r="P333" i="22"/>
  <c r="N284" i="22"/>
  <c r="O86" i="24"/>
  <c r="N33" i="22"/>
  <c r="P385" i="22"/>
  <c r="N138" i="22"/>
  <c r="N388" i="22"/>
  <c r="N360" i="22"/>
  <c r="O108" i="24"/>
  <c r="P294" i="22"/>
  <c r="N238" i="22"/>
  <c r="P152" i="22"/>
  <c r="P293" i="22"/>
  <c r="N387" i="22"/>
  <c r="F111" i="20"/>
  <c r="P135" i="22"/>
  <c r="P290" i="22"/>
  <c r="P143" i="22"/>
  <c r="S85" i="24"/>
  <c r="O90" i="24"/>
  <c r="S126" i="24"/>
  <c r="O59" i="24"/>
  <c r="N74" i="22"/>
  <c r="S9" i="24"/>
  <c r="P339" i="22"/>
  <c r="N22" i="22"/>
  <c r="P105" i="22"/>
  <c r="S91" i="24"/>
  <c r="E43" i="20"/>
  <c r="F106" i="20"/>
  <c r="E26" i="20"/>
  <c r="F72" i="20"/>
  <c r="E51" i="20"/>
  <c r="P29" i="22"/>
  <c r="P232" i="22"/>
  <c r="O36" i="24"/>
  <c r="S115" i="24"/>
  <c r="P16" i="22"/>
  <c r="N349" i="22"/>
  <c r="N351" i="22"/>
  <c r="N16" i="22"/>
  <c r="P393" i="22"/>
  <c r="P248" i="22"/>
  <c r="P306" i="22"/>
  <c r="P375" i="22"/>
  <c r="O46" i="24"/>
  <c r="S53" i="24"/>
  <c r="N322" i="22"/>
  <c r="O127" i="24"/>
  <c r="P314" i="22"/>
  <c r="P218" i="22"/>
  <c r="P88" i="22"/>
  <c r="O125" i="24"/>
  <c r="N300" i="22"/>
  <c r="S11" i="24"/>
  <c r="S54" i="24"/>
  <c r="S152" i="24"/>
  <c r="S142" i="24"/>
  <c r="O16" i="24"/>
  <c r="F79" i="20"/>
  <c r="F32" i="20"/>
  <c r="E53" i="20"/>
  <c r="F90" i="20"/>
  <c r="F87" i="20"/>
  <c r="P65" i="22"/>
  <c r="N294" i="22"/>
  <c r="N72" i="22"/>
  <c r="N408" i="22"/>
  <c r="S102" i="24"/>
  <c r="N130" i="22"/>
  <c r="S72" i="24"/>
  <c r="P79" i="22"/>
  <c r="N253" i="22"/>
  <c r="O54" i="24"/>
  <c r="N25" i="22"/>
  <c r="N290" i="22"/>
  <c r="N267" i="22"/>
  <c r="P406" i="22"/>
  <c r="P180" i="22"/>
  <c r="N18" i="22"/>
  <c r="N205" i="22"/>
  <c r="P347" i="22"/>
  <c r="N65" i="22"/>
  <c r="N100" i="22"/>
  <c r="P281" i="22"/>
  <c r="P246" i="22"/>
  <c r="P98" i="22"/>
  <c r="N178" i="22"/>
  <c r="S141" i="24"/>
  <c r="P380" i="22"/>
  <c r="N275" i="22"/>
  <c r="P24" i="22"/>
  <c r="P359" i="22"/>
  <c r="N117" i="22"/>
  <c r="P301" i="22"/>
  <c r="N264" i="22"/>
  <c r="O91" i="24"/>
  <c r="O17" i="24"/>
  <c r="P173" i="22"/>
  <c r="O55" i="24"/>
  <c r="S77" i="24"/>
  <c r="N365" i="22"/>
  <c r="P308" i="22"/>
  <c r="N235" i="22"/>
  <c r="P20" i="22"/>
  <c r="N334" i="22"/>
  <c r="N10" i="22"/>
  <c r="P316" i="22"/>
  <c r="O94" i="24"/>
  <c r="N380" i="22"/>
  <c r="P389" i="22"/>
  <c r="S122" i="24"/>
  <c r="N246" i="22"/>
  <c r="N150" i="22"/>
  <c r="P257" i="22"/>
  <c r="S47" i="24"/>
  <c r="N352" i="22"/>
  <c r="P97" i="22"/>
  <c r="O96" i="24"/>
  <c r="O61" i="24"/>
  <c r="S132" i="24"/>
  <c r="P378" i="22"/>
  <c r="P121" i="22"/>
  <c r="P216" i="22"/>
  <c r="S34" i="24"/>
  <c r="S79" i="24"/>
  <c r="P56" i="22"/>
  <c r="S133" i="24"/>
  <c r="P346" i="22"/>
  <c r="F24" i="20"/>
  <c r="F57" i="20"/>
  <c r="P164" i="22"/>
  <c r="P117" i="22"/>
  <c r="P379" i="22"/>
  <c r="O14" i="24"/>
  <c r="P155" i="22"/>
  <c r="S95" i="24"/>
  <c r="P387" i="22"/>
  <c r="O120" i="24"/>
  <c r="F113" i="20"/>
  <c r="N17" i="22"/>
  <c r="P300" i="22"/>
  <c r="O147" i="24"/>
  <c r="P147" i="22"/>
  <c r="P141" i="22"/>
  <c r="S110" i="24"/>
  <c r="E42" i="20"/>
  <c r="E12" i="20"/>
  <c r="E93" i="20"/>
  <c r="E13" i="20"/>
  <c r="E25" i="20"/>
  <c r="N157" i="22"/>
  <c r="P233" i="22"/>
  <c r="O71" i="24"/>
  <c r="N381" i="22"/>
  <c r="O70" i="24"/>
  <c r="P371" i="22"/>
  <c r="N317" i="22"/>
  <c r="P329" i="22"/>
  <c r="N299" i="22"/>
  <c r="S57" i="24"/>
  <c r="S104" i="24"/>
  <c r="S69" i="24"/>
  <c r="F114" i="20"/>
  <c r="N370" i="22"/>
  <c r="O143" i="24"/>
  <c r="O53" i="24"/>
  <c r="P91" i="22"/>
  <c r="O5" i="24"/>
  <c r="S121" i="24"/>
  <c r="P261" i="22"/>
  <c r="P351" i="22"/>
  <c r="O97" i="24"/>
  <c r="E7" i="20"/>
  <c r="E65" i="20"/>
  <c r="E50" i="20"/>
  <c r="N187" i="22"/>
  <c r="S15" i="24"/>
  <c r="O92" i="24"/>
  <c r="P397" i="22"/>
  <c r="O150" i="24"/>
  <c r="S84" i="24"/>
  <c r="F17" i="20"/>
  <c r="F62" i="20"/>
  <c r="F96" i="20"/>
  <c r="F26" i="20"/>
  <c r="F63" i="20"/>
  <c r="F22" i="20"/>
  <c r="F59" i="20"/>
  <c r="E19" i="20"/>
  <c r="E62" i="20"/>
  <c r="E44" i="20"/>
  <c r="F77" i="20"/>
  <c r="E96" i="20"/>
  <c r="F12" i="20"/>
  <c r="F70" i="20"/>
  <c r="O118" i="24"/>
  <c r="P311" i="22"/>
  <c r="P33" i="22"/>
  <c r="N24" i="22"/>
  <c r="N298" i="22"/>
  <c r="O51" i="24"/>
  <c r="E86" i="20"/>
  <c r="N303" i="22"/>
  <c r="N183" i="22"/>
  <c r="N136" i="22"/>
  <c r="N167" i="22"/>
  <c r="P226" i="22"/>
  <c r="N21" i="22"/>
  <c r="N189" i="22"/>
  <c r="P62" i="22"/>
  <c r="N131" i="22"/>
  <c r="N283" i="22"/>
  <c r="P132" i="22"/>
  <c r="P253" i="22"/>
  <c r="P254" i="22"/>
  <c r="P67" i="22"/>
  <c r="O66" i="24"/>
  <c r="S37" i="24"/>
  <c r="N47" i="22"/>
  <c r="N191" i="22"/>
  <c r="N43" i="22"/>
  <c r="P145" i="22"/>
  <c r="S138" i="24"/>
  <c r="S136" i="24"/>
  <c r="S88" i="24"/>
  <c r="S127" i="24"/>
  <c r="N58" i="22"/>
  <c r="O87" i="24"/>
  <c r="N41" i="22"/>
  <c r="N358" i="22"/>
  <c r="N174" i="22"/>
  <c r="N293" i="22"/>
  <c r="P262" i="22"/>
  <c r="O38" i="24"/>
  <c r="S130" i="24"/>
  <c r="S64" i="24"/>
  <c r="N247" i="22"/>
  <c r="P274" i="22"/>
  <c r="N97" i="22"/>
  <c r="N218" i="22"/>
  <c r="N396" i="22"/>
  <c r="N202" i="22"/>
  <c r="S68" i="24"/>
  <c r="P230" i="22"/>
  <c r="N312" i="22"/>
  <c r="P221" i="22"/>
  <c r="N255" i="22"/>
  <c r="P277" i="22"/>
  <c r="P374" i="22"/>
  <c r="N386" i="22"/>
  <c r="S108" i="24"/>
  <c r="S148" i="24"/>
  <c r="N98" i="22"/>
  <c r="F107" i="20"/>
  <c r="P354" i="22"/>
  <c r="S16" i="24"/>
  <c r="F42" i="20"/>
  <c r="F85" i="20"/>
  <c r="N63" i="22"/>
  <c r="P237" i="22"/>
  <c r="N405" i="22"/>
  <c r="O67" i="24"/>
  <c r="S135" i="24"/>
  <c r="P335" i="22"/>
  <c r="O77" i="24"/>
  <c r="N306" i="22"/>
  <c r="O103" i="24"/>
  <c r="N309" i="22"/>
  <c r="S51" i="24"/>
  <c r="N363" i="22"/>
  <c r="S82" i="24"/>
  <c r="P139" i="22"/>
  <c r="O37" i="24"/>
  <c r="E64" i="20"/>
  <c r="E71" i="20"/>
  <c r="E61" i="20"/>
  <c r="N179" i="22"/>
  <c r="N355" i="22"/>
  <c r="P369" i="22"/>
  <c r="N367" i="22"/>
  <c r="P360" i="22"/>
  <c r="P343" i="22"/>
  <c r="P228" i="22"/>
  <c r="N146" i="22"/>
  <c r="S20" i="24"/>
  <c r="N94" i="22"/>
  <c r="P182" i="22"/>
  <c r="P255" i="22"/>
  <c r="P111" i="22"/>
  <c r="S66" i="24"/>
  <c r="O121" i="24"/>
  <c r="P27" i="22"/>
  <c r="O135" i="24"/>
  <c r="N111" i="22"/>
  <c r="S71" i="24"/>
  <c r="N121" i="22"/>
  <c r="N376" i="22"/>
  <c r="S144" i="24"/>
  <c r="P372" i="22"/>
  <c r="P109" i="22"/>
  <c r="P82" i="22"/>
  <c r="S14" i="24"/>
  <c r="P199" i="22"/>
  <c r="P54" i="22"/>
  <c r="P5" i="22"/>
  <c r="N162" i="22"/>
  <c r="P270" i="22"/>
  <c r="N331" i="22"/>
  <c r="S10" i="24"/>
  <c r="P263" i="22"/>
  <c r="P13" i="22"/>
  <c r="S134" i="24"/>
  <c r="S22" i="24"/>
  <c r="P225" i="22"/>
  <c r="P273" i="22"/>
  <c r="O19" i="24"/>
  <c r="S145" i="24"/>
  <c r="N151" i="22"/>
  <c r="N250" i="22"/>
  <c r="S41" i="24"/>
  <c r="N29" i="22"/>
  <c r="O56" i="24"/>
  <c r="O145" i="24"/>
  <c r="P203" i="22"/>
  <c r="S63" i="24"/>
  <c r="P208" i="22"/>
  <c r="S147" i="24"/>
  <c r="O9" i="24"/>
  <c r="P247" i="22"/>
  <c r="F11" i="20"/>
  <c r="F37" i="20"/>
  <c r="E82" i="20"/>
  <c r="N27" i="22"/>
  <c r="N272" i="22"/>
  <c r="O134" i="24"/>
  <c r="O21" i="24"/>
  <c r="P11" i="22"/>
  <c r="S76" i="24"/>
  <c r="N244" i="22"/>
  <c r="S62" i="24"/>
  <c r="O10" i="24"/>
  <c r="P350" i="22"/>
  <c r="S116" i="24"/>
  <c r="P282" i="22"/>
  <c r="S23" i="24"/>
  <c r="P356" i="22"/>
  <c r="O133" i="24"/>
  <c r="E21" i="20"/>
  <c r="F51" i="20"/>
  <c r="E80" i="20"/>
  <c r="F18" i="20"/>
  <c r="P345" i="22"/>
  <c r="N389" i="22"/>
  <c r="N316" i="22"/>
  <c r="S83" i="24"/>
  <c r="O107" i="24"/>
  <c r="P136" i="22"/>
  <c r="S59" i="24"/>
  <c r="N397" i="22"/>
  <c r="P401" i="22"/>
  <c r="O73" i="24"/>
  <c r="O104" i="24"/>
  <c r="O13" i="24"/>
  <c r="O41" i="24"/>
  <c r="S61" i="24"/>
  <c r="O88" i="24"/>
  <c r="P47" i="22"/>
  <c r="P405" i="22"/>
  <c r="P71" i="22"/>
  <c r="P119" i="22"/>
  <c r="S97" i="24"/>
  <c r="N139" i="22"/>
  <c r="O82" i="24"/>
  <c r="E30" i="20"/>
  <c r="F38" i="20"/>
  <c r="F94" i="20"/>
  <c r="F31" i="20"/>
  <c r="S94" i="24"/>
  <c r="P271" i="22"/>
  <c r="S92" i="24"/>
  <c r="E113" i="20"/>
  <c r="S114" i="24"/>
  <c r="S12" i="24"/>
  <c r="F68" i="20"/>
  <c r="E76" i="20"/>
  <c r="E28" i="20"/>
  <c r="F9" i="20"/>
  <c r="F39" i="20"/>
  <c r="F40" i="20"/>
  <c r="F64" i="20"/>
  <c r="F54" i="20"/>
  <c r="E8" i="20"/>
  <c r="E38" i="20"/>
  <c r="E35" i="20"/>
  <c r="F15" i="20"/>
  <c r="F21" i="20"/>
  <c r="N145" i="22"/>
  <c r="S90" i="24"/>
  <c r="P137" i="22"/>
  <c r="N260" i="22"/>
  <c r="N288" i="22"/>
  <c r="S98" i="24"/>
  <c r="E102" i="20"/>
  <c r="E89" i="20"/>
  <c r="E23" i="20"/>
  <c r="F100" i="20"/>
  <c r="E91" i="20"/>
  <c r="F47" i="20"/>
  <c r="F49" i="20"/>
  <c r="F67" i="20"/>
  <c r="F30" i="20"/>
  <c r="F19" i="20"/>
  <c r="F10" i="20"/>
  <c r="S119" i="24"/>
  <c r="P307" i="22"/>
  <c r="O39" i="24"/>
  <c r="O114" i="24"/>
  <c r="P279" i="22"/>
  <c r="S45" i="24"/>
  <c r="E37" i="20"/>
  <c r="F92" i="20"/>
  <c r="E4" i="20"/>
  <c r="E73" i="20"/>
  <c r="E47" i="20"/>
  <c r="F35" i="20"/>
  <c r="F104" i="20"/>
  <c r="E16" i="20"/>
  <c r="F103" i="20"/>
  <c r="E106" i="20"/>
  <c r="O124" i="24"/>
  <c r="N384" i="22"/>
  <c r="P363" i="22"/>
  <c r="O74" i="24"/>
  <c r="S6" i="24"/>
  <c r="P390" i="22"/>
  <c r="F93" i="20"/>
  <c r="F13" i="20"/>
  <c r="F34" i="20"/>
  <c r="P207" i="22"/>
  <c r="N114" i="22"/>
  <c r="N188" i="22"/>
  <c r="P376" i="22"/>
  <c r="O43" i="24"/>
  <c r="N400" i="22"/>
  <c r="P191" i="22"/>
  <c r="N14" i="22"/>
  <c r="N392" i="22"/>
  <c r="P285" i="22"/>
  <c r="N350" i="22"/>
  <c r="N210" i="22"/>
  <c r="S105" i="24"/>
  <c r="E41" i="20"/>
  <c r="S65" i="24"/>
  <c r="P313" i="22"/>
  <c r="N280" i="22"/>
  <c r="P361" i="22"/>
  <c r="E20" i="20"/>
  <c r="O45" i="24"/>
  <c r="S49" i="24"/>
  <c r="O85" i="24"/>
  <c r="P9" i="22"/>
  <c r="P25" i="22"/>
  <c r="O109" i="24"/>
  <c r="N281" i="22"/>
  <c r="S8" i="24"/>
  <c r="P324" i="22"/>
  <c r="P269" i="22"/>
  <c r="P368" i="22"/>
  <c r="E57" i="20"/>
  <c r="E31" i="20"/>
  <c r="N227" i="22"/>
  <c r="S137" i="24"/>
  <c r="O80" i="24"/>
  <c r="F98" i="20"/>
  <c r="E58" i="20"/>
  <c r="E77" i="20"/>
  <c r="E49" i="20"/>
  <c r="E36" i="20"/>
  <c r="E46" i="20"/>
  <c r="S140" i="24"/>
  <c r="O15" i="24"/>
  <c r="O89" i="24"/>
  <c r="E84" i="20"/>
  <c r="E54" i="20"/>
  <c r="E78" i="20"/>
  <c r="F5" i="20"/>
  <c r="E99" i="20"/>
  <c r="E27" i="20"/>
  <c r="F6" i="20"/>
  <c r="E55" i="20"/>
  <c r="N193" i="22"/>
  <c r="P383" i="22"/>
  <c r="N307" i="22"/>
  <c r="N315" i="22"/>
  <c r="P370" i="22"/>
  <c r="F84" i="20"/>
  <c r="F82" i="20"/>
  <c r="E75" i="20"/>
  <c r="E85" i="20"/>
  <c r="E101" i="20"/>
  <c r="F7" i="20"/>
  <c r="E33" i="20"/>
  <c r="S42" i="24"/>
  <c r="N366" i="22"/>
  <c r="P49" i="22"/>
  <c r="P209" i="22"/>
  <c r="O83" i="24"/>
  <c r="E56" i="20"/>
  <c r="F3" i="20"/>
  <c r="F83" i="20"/>
  <c r="F36" i="20"/>
  <c r="N356" i="22"/>
  <c r="S124" i="24"/>
  <c r="E100" i="20"/>
  <c r="F25" i="20"/>
  <c r="N344" i="22"/>
  <c r="P386" i="22"/>
  <c r="P89" i="22"/>
  <c r="P73" i="22"/>
  <c r="F105" i="20"/>
  <c r="O35" i="24"/>
  <c r="F69" i="20"/>
  <c r="F97" i="20"/>
  <c r="O47" i="24"/>
  <c r="F53" i="20"/>
  <c r="E79" i="20"/>
  <c r="F86" i="20"/>
  <c r="P210" i="22"/>
  <c r="E52" i="20"/>
  <c r="F66" i="20"/>
  <c r="F46" i="20"/>
  <c r="E112" i="20"/>
  <c r="E72" i="20"/>
  <c r="N55" i="22"/>
  <c r="N347" i="22"/>
  <c r="N213" i="22"/>
  <c r="N214" i="22"/>
  <c r="N31" i="22"/>
  <c r="N91" i="22"/>
  <c r="N60" i="22"/>
  <c r="P402" i="22"/>
  <c r="O111" i="24"/>
  <c r="O112" i="24"/>
  <c r="S150" i="24"/>
  <c r="N198" i="22"/>
  <c r="O93" i="24"/>
  <c r="E70" i="20"/>
  <c r="S143" i="24"/>
  <c r="N398" i="22"/>
  <c r="P156" i="22"/>
  <c r="E9" i="20"/>
  <c r="F29" i="20"/>
  <c r="N164" i="22"/>
  <c r="O63" i="24"/>
  <c r="P283" i="22"/>
  <c r="N70" i="22"/>
  <c r="O33" i="24"/>
  <c r="O119" i="24"/>
  <c r="O152" i="24"/>
  <c r="N103" i="22"/>
  <c r="P239" i="22"/>
  <c r="O131" i="24"/>
  <c r="O115" i="24"/>
  <c r="F89" i="20"/>
  <c r="N69" i="22"/>
  <c r="S93" i="24"/>
  <c r="S111" i="24"/>
  <c r="P318" i="22"/>
  <c r="E68" i="20"/>
  <c r="E95" i="20"/>
  <c r="F23" i="20"/>
  <c r="F55" i="20"/>
  <c r="F71" i="20"/>
  <c r="E87" i="20"/>
  <c r="P235" i="22"/>
  <c r="P323" i="22"/>
  <c r="N153" i="22"/>
  <c r="E103" i="20"/>
  <c r="F48" i="20"/>
  <c r="E69" i="20"/>
  <c r="F52" i="20"/>
  <c r="E104" i="20"/>
  <c r="F27" i="20"/>
  <c r="F81" i="20"/>
  <c r="F99" i="20"/>
  <c r="P398" i="22"/>
  <c r="N124" i="22"/>
  <c r="P355" i="22"/>
  <c r="S112" i="24"/>
  <c r="E107" i="20"/>
  <c r="F14" i="20"/>
  <c r="F56" i="20"/>
  <c r="E63" i="20"/>
  <c r="E45" i="20"/>
  <c r="E66" i="20"/>
  <c r="F95" i="20"/>
  <c r="F28" i="20"/>
  <c r="N154" i="22"/>
  <c r="P403" i="22"/>
  <c r="F45" i="20"/>
  <c r="E59" i="20"/>
  <c r="N279" i="22"/>
  <c r="P45" i="22"/>
  <c r="N302" i="22"/>
  <c r="O64" i="24"/>
  <c r="N362" i="22"/>
  <c r="N353" i="22"/>
  <c r="E17" i="20"/>
  <c r="E88" i="20"/>
  <c r="N369" i="22"/>
  <c r="E34" i="20"/>
  <c r="E10" i="20"/>
  <c r="N120" i="22"/>
  <c r="O151" i="24"/>
  <c r="E15" i="20"/>
  <c r="E11" i="20"/>
  <c r="N359" i="22"/>
  <c r="P319" i="22"/>
  <c r="F50" i="20"/>
  <c r="N32" i="22"/>
  <c r="P162" i="22"/>
  <c r="N5" i="22"/>
  <c r="P189" i="22"/>
  <c r="N37" i="22"/>
  <c r="P227" i="22"/>
  <c r="S39" i="24"/>
  <c r="P44" i="22"/>
  <c r="P287" i="22"/>
  <c r="S131" i="24"/>
  <c r="P358" i="22"/>
  <c r="S113" i="24"/>
  <c r="P408" i="22"/>
  <c r="O100" i="24"/>
  <c r="N7" i="22"/>
  <c r="O52" i="24"/>
  <c r="S99" i="24"/>
  <c r="N371" i="22"/>
  <c r="F65" i="20"/>
  <c r="E32" i="20"/>
  <c r="N341" i="22"/>
  <c r="P81" i="22"/>
  <c r="P153" i="22"/>
  <c r="P381" i="22"/>
  <c r="P128" i="22"/>
  <c r="O69" i="24"/>
  <c r="S80" i="24"/>
  <c r="N292" i="22"/>
  <c r="P149" i="22"/>
  <c r="O50" i="24"/>
  <c r="P312" i="22"/>
  <c r="F61" i="20"/>
  <c r="P120" i="22"/>
  <c r="O122" i="24"/>
  <c r="O138" i="24"/>
  <c r="E60" i="20"/>
  <c r="E94" i="20"/>
  <c r="F8" i="20"/>
  <c r="F41" i="20"/>
  <c r="F60" i="20"/>
  <c r="F16" i="20"/>
  <c r="E81" i="20"/>
  <c r="P251" i="22"/>
  <c r="P399" i="22"/>
  <c r="O58" i="24"/>
  <c r="F80" i="20"/>
  <c r="E74" i="20"/>
  <c r="F88" i="20"/>
  <c r="F58" i="20"/>
  <c r="E98" i="20"/>
  <c r="F101" i="20"/>
  <c r="E83" i="20"/>
  <c r="P213" i="22"/>
  <c r="S5" i="24"/>
  <c r="P309" i="22"/>
  <c r="P384" i="22"/>
  <c r="P317" i="22"/>
  <c r="F73" i="20"/>
  <c r="E39" i="20"/>
  <c r="F33" i="20"/>
  <c r="F4" i="20"/>
  <c r="E14" i="20"/>
  <c r="F43" i="20"/>
  <c r="F76" i="20"/>
  <c r="N245" i="22"/>
  <c r="N101" i="22"/>
  <c r="N409" i="22"/>
  <c r="P99" i="22"/>
  <c r="O22" i="24"/>
  <c r="E92" i="20"/>
  <c r="F75" i="20"/>
  <c r="E29" i="20"/>
  <c r="F20" i="20"/>
  <c r="N99" i="22"/>
  <c r="N75" i="22"/>
  <c r="P18" i="22"/>
  <c r="O6" i="24"/>
  <c r="P123" i="22"/>
  <c r="N223" i="22"/>
  <c r="N93" i="22"/>
  <c r="P87" i="22"/>
  <c r="N403" i="22"/>
  <c r="N237" i="22"/>
  <c r="N209" i="22"/>
  <c r="S96" i="24"/>
  <c r="S70" i="24"/>
  <c r="E90" i="20"/>
  <c r="S103" i="24"/>
  <c r="N225" i="22"/>
  <c r="E24" i="20"/>
  <c r="P304" i="22"/>
  <c r="O139" i="24"/>
  <c r="N161" i="22"/>
  <c r="S100" i="24"/>
  <c r="E5" i="20"/>
  <c r="O7" i="24"/>
  <c r="E40" i="20"/>
  <c r="E105" i="20"/>
  <c r="E97" i="20"/>
  <c r="N289" i="22"/>
  <c r="F102" i="20"/>
  <c r="E67" i="20"/>
  <c r="S118" i="24"/>
  <c r="S55" i="24"/>
  <c r="E3" i="20"/>
  <c r="F78" i="20"/>
  <c r="O68" i="24"/>
  <c r="S109" i="24"/>
  <c r="F91" i="20"/>
  <c r="E22" i="20"/>
  <c r="S24" i="24"/>
  <c r="O30" i="24"/>
  <c r="S27" i="24"/>
  <c r="O31" i="24"/>
  <c r="O32" i="24"/>
  <c r="S31" i="24"/>
  <c r="S30" i="24"/>
  <c r="S28" i="24"/>
  <c r="O28" i="24"/>
  <c r="S32" i="24"/>
  <c r="O27" i="24"/>
  <c r="S25" i="24"/>
  <c r="S29" i="24"/>
  <c r="O29" i="24"/>
  <c r="S26" i="24"/>
  <c r="O26" i="24"/>
  <c r="J3" i="12" l="1"/>
</calcChain>
</file>

<file path=xl/sharedStrings.xml><?xml version="1.0" encoding="utf-8"?>
<sst xmlns="http://schemas.openxmlformats.org/spreadsheetml/2006/main" count="8229" uniqueCount="1098">
  <si>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</si>
  <si>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</si>
  <si>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</si>
  <si>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</si>
  <si>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</si>
  <si>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</si>
  <si>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</si>
  <si>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</si>
  <si>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</si>
  <si>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</si>
  <si>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</si>
  <si>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</si>
  <si>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</si>
  <si>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</si>
  <si>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</si>
  <si>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</si>
  <si>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</si>
  <si>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</si>
  <si>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</si>
  <si>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</si>
  <si>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</si>
  <si>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</si>
  <si>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</si>
  <si>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</si>
  <si>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</si>
  <si>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</si>
  <si>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</si>
  <si>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</si>
  <si>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</si>
  <si>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</si>
  <si>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</si>
  <si>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</si>
  <si>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</si>
  <si>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</si>
  <si>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</si>
  <si>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</si>
  <si>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</si>
  <si>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</si>
  <si>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</si>
  <si>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</si>
  <si>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</si>
  <si>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</si>
  <si>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</si>
  <si>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</si>
  <si>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</si>
  <si>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</si>
  <si>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</si>
  <si>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</si>
  <si>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</si>
  <si>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</si>
  <si>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</si>
  <si>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</si>
  <si>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</si>
  <si>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</si>
  <si>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</si>
  <si>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</si>
  <si>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</si>
  <si>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</si>
  <si>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</si>
  <si>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</si>
  <si>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</si>
  <si>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</si>
  <si>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</si>
  <si>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</si>
  <si>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</si>
  <si>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</si>
  <si>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</si>
  <si>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</si>
  <si>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</si>
  <si>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</si>
  <si>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</si>
  <si>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</si>
  <si>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</si>
  <si>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</si>
  <si>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</si>
  <si>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</si>
  <si>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</si>
  <si>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</si>
  <si>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</si>
  <si>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</si>
  <si>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</si>
  <si>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</si>
  <si>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</si>
  <si>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</si>
  <si>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</si>
  <si>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</si>
  <si>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</si>
  <si>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</si>
  <si>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</si>
  <si>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</si>
  <si>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</si>
  <si>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</si>
  <si>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</si>
  <si>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</si>
  <si>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</si>
  <si>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</si>
  <si>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</si>
  <si>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</si>
  <si>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</si>
  <si>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</si>
  <si>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</si>
  <si>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</si>
  <si>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</si>
  <si>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</si>
  <si>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</si>
  <si>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</si>
  <si>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</si>
  <si>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</si>
  <si>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</si>
  <si>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</si>
  <si>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</si>
  <si>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</si>
  <si>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</si>
  <si>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</si>
  <si>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</si>
  <si>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</si>
  <si>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</si>
  <si>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</si>
  <si>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</si>
  <si>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</si>
  <si>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</si>
  <si>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</si>
  <si>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</si>
  <si>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</si>
  <si>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</si>
  <si>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</si>
  <si>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</si>
  <si>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</si>
  <si>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</si>
  <si>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</si>
  <si>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</si>
  <si>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</si>
  <si>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</si>
  <si>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</si>
  <si>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</si>
  <si>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</si>
  <si>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</si>
  <si>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</si>
  <si>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</si>
  <si>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</si>
  <si>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</si>
  <si>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</si>
  <si>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</si>
  <si>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</si>
  <si>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</si>
  <si>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</si>
  <si>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</si>
  <si>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</si>
  <si>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</si>
  <si>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</si>
  <si>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</si>
  <si>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</si>
  <si>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</si>
  <si>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</si>
  <si>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</si>
  <si>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</si>
  <si>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</si>
  <si>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</si>
  <si>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</si>
  <si>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</si>
  <si>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</si>
  <si>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</si>
  <si>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</si>
  <si>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</si>
  <si>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22" type="noConversion"/>
  </si>
  <si>
    <t>简单1兵</t>
    <phoneticPr fontId="22" type="noConversion"/>
  </si>
  <si>
    <t>简单2兵</t>
    <phoneticPr fontId="22" type="noConversion"/>
  </si>
  <si>
    <t>普通1兵</t>
    <phoneticPr fontId="22" type="noConversion"/>
  </si>
  <si>
    <t>普通2兵</t>
    <phoneticPr fontId="22" type="noConversion"/>
  </si>
  <si>
    <t>普通1英</t>
    <phoneticPr fontId="22" type="noConversion"/>
  </si>
  <si>
    <t>普通1英近1兵远</t>
    <phoneticPr fontId="22" type="noConversion"/>
  </si>
  <si>
    <t>普通1英远1兵近</t>
    <phoneticPr fontId="22" type="noConversion"/>
  </si>
  <si>
    <t>三国</t>
    <phoneticPr fontId="22" type="noConversion"/>
  </si>
  <si>
    <t>困难2兵</t>
    <phoneticPr fontId="22" type="noConversion"/>
  </si>
  <si>
    <t>困难2英</t>
    <phoneticPr fontId="22" type="noConversion"/>
  </si>
  <si>
    <t>困难3兵</t>
    <phoneticPr fontId="22" type="noConversion"/>
  </si>
  <si>
    <t>困难1英近1兵远</t>
    <phoneticPr fontId="22" type="noConversion"/>
  </si>
  <si>
    <t>困难1英远1兵近</t>
    <phoneticPr fontId="22" type="noConversion"/>
  </si>
  <si>
    <t>超难2英</t>
    <phoneticPr fontId="22" type="noConversion"/>
  </si>
  <si>
    <t>超难</t>
    <phoneticPr fontId="22" type="noConversion"/>
  </si>
  <si>
    <t>超难3英-近近远</t>
    <phoneticPr fontId="22" type="noConversion"/>
  </si>
  <si>
    <t>超难3英-近远远</t>
    <phoneticPr fontId="22" type="noConversion"/>
  </si>
  <si>
    <t>变态</t>
    <phoneticPr fontId="22" type="noConversion"/>
  </si>
  <si>
    <t>变态3英-近近远</t>
    <phoneticPr fontId="22" type="noConversion"/>
  </si>
  <si>
    <t>变态3英-近远远</t>
    <phoneticPr fontId="22" type="noConversion"/>
  </si>
  <si>
    <t>注: 添加了单位之后记得要更新 GET_SORT_ID 函数</t>
    <phoneticPr fontId="22" type="noConversion"/>
  </si>
  <si>
    <t>困难1英近[B]1兵远</t>
    <phoneticPr fontId="22" type="noConversion"/>
  </si>
  <si>
    <t>困难1英远[B]1兵近</t>
    <phoneticPr fontId="22" type="noConversion"/>
  </si>
  <si>
    <t>困难2英[B]</t>
    <phoneticPr fontId="22" type="noConversion"/>
  </si>
  <si>
    <t>超难2英[B]</t>
    <phoneticPr fontId="22" type="noConversion"/>
  </si>
  <si>
    <t>变态</t>
  </si>
  <si>
    <t>超难3英[B]-近近远</t>
    <phoneticPr fontId="22" type="noConversion"/>
  </si>
  <si>
    <t>超难3英[B]-近远远</t>
    <phoneticPr fontId="22" type="noConversion"/>
  </si>
  <si>
    <t>变态3英[B]-近近远</t>
    <phoneticPr fontId="22" type="noConversion"/>
  </si>
  <si>
    <t>变态3英[B]-近远远</t>
    <phoneticPr fontId="22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</si>
  <si>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</si>
  <si>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</si>
  <si>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</si>
  <si>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</si>
  <si>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</si>
  <si>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</si>
  <si>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</si>
  <si>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</si>
  <si>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</si>
  <si>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</si>
  <si>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</si>
  <si>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</si>
  <si>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</si>
  <si>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</si>
  <si>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</si>
  <si>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</si>
  <si>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</si>
  <si>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</si>
  <si>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</si>
  <si>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</si>
  <si>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</si>
  <si>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</si>
  <si>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</si>
  <si>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</si>
  <si>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</si>
  <si>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</si>
  <si>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</si>
  <si>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</si>
  <si>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</si>
  <si>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</si>
  <si>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</si>
  <si>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</si>
  <si>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</si>
  <si>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</si>
  <si>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</si>
  <si>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</si>
  <si>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</si>
  <si>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</si>
  <si>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</si>
  <si>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</si>
  <si>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</si>
  <si>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</si>
  <si>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</si>
  <si>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</si>
  <si>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</si>
  <si>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</si>
  <si>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</si>
  <si>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</si>
  <si>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</si>
  <si>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</si>
  <si>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</si>
  <si>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</si>
  <si>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</si>
  <si>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</si>
  <si>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</si>
  <si>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</si>
  <si>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</si>
  <si>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</si>
  <si>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</si>
  <si>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</si>
  <si>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</si>
  <si>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</si>
  <si>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</si>
  <si>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</si>
  <si>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</si>
  <si>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</si>
  <si>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</si>
  <si>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</si>
  <si>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</si>
  <si>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</si>
  <si>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</si>
  <si>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</si>
  <si>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</si>
  <si>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</si>
  <si>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</si>
  <si>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</si>
  <si>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</si>
  <si>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</si>
  <si>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</si>
  <si>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</si>
  <si>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</si>
  <si>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</si>
  <si>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</si>
  <si>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</si>
  <si>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</si>
  <si>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</si>
  <si>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</si>
  <si>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</si>
  <si>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</si>
  <si>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</si>
  <si>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</si>
  <si>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</si>
  <si>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</si>
  <si>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</si>
  <si>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</si>
  <si>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</si>
  <si>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</si>
  <si>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</si>
  <si>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</si>
  <si>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</si>
  <si>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</si>
  <si>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</si>
  <si>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</si>
  <si>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</si>
  <si>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</si>
  <si>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</si>
  <si>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</si>
  <si>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</si>
  <si>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</si>
  <si>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</si>
  <si>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</si>
  <si>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</si>
  <si>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</si>
  <si>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</si>
  <si>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</si>
  <si>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</si>
  <si>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</si>
  <si>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</si>
  <si>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</si>
  <si>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</si>
  <si>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</si>
  <si>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</si>
  <si>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</si>
  <si>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</si>
  <si>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</si>
  <si>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</si>
  <si>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</si>
  <si>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</si>
  <si>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</si>
  <si>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</si>
  <si>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</si>
  <si>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</si>
  <si>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</si>
  <si>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</si>
  <si>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</si>
  <si>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</si>
  <si>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</si>
  <si>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</si>
  <si>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</si>
  <si>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</si>
  <si>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</si>
  <si>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</si>
  <si>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</si>
  <si>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</si>
  <si>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</si>
  <si>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</si>
  <si>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</si>
  <si>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</si>
  <si>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</si>
  <si>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</si>
  <si>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</si>
  <si>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</si>
  <si>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</si>
  <si>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</si>
  <si>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</si>
  <si>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</si>
  <si>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</si>
  <si>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</si>
  <si>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</si>
  <si>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</si>
  <si>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</si>
  <si>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</si>
  <si>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</si>
  <si>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</si>
  <si>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</si>
  <si>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</si>
  <si>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</si>
  <si>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</si>
  <si>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</si>
  <si>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</si>
  <si>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</si>
  <si>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</si>
  <si>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</si>
  <si>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</si>
  <si>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</si>
  <si>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</si>
  <si>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</si>
  <si>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</si>
  <si>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</si>
  <si>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</si>
  <si>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</si>
  <si>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</si>
  <si>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</si>
  <si>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</si>
  <si>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</si>
  <si>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</si>
  <si>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</si>
  <si>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</si>
  <si>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</si>
  <si>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</si>
  <si>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</si>
  <si>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</si>
  <si>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</si>
  <si>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</si>
  <si>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</si>
  <si>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</si>
  <si>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</si>
  <si>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</si>
  <si>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</si>
  <si>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</si>
  <si>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</si>
  <si>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</si>
  <si>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</si>
  <si>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</si>
  <si>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</si>
  <si>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</si>
  <si>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</si>
  <si>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</si>
  <si>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</si>
  <si>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</si>
  <si>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</si>
  <si>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</si>
  <si>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</si>
  <si>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</si>
  <si>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</si>
  <si>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</si>
  <si>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</si>
  <si>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</si>
  <si>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</si>
  <si>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</si>
  <si>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</si>
  <si>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</si>
  <si>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</si>
  <si>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</si>
  <si>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</si>
  <si>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</si>
  <si>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</si>
  <si>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</si>
  <si>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</si>
  <si>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</si>
  <si>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</si>
  <si>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</si>
  <si>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</si>
  <si>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</si>
  <si>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</si>
  <si>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</si>
  <si>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</si>
  <si>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</si>
  <si>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</si>
  <si>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</si>
  <si>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</si>
  <si>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</si>
  <si>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</si>
  <si>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</si>
  <si>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</si>
  <si>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</si>
  <si>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</si>
  <si>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</si>
  <si>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</si>
  <si>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</si>
  <si>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</si>
  <si>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</si>
  <si>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</si>
  <si>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</si>
  <si>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</si>
  <si>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</si>
  <si>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</si>
  <si>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</si>
  <si>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</si>
  <si>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22" type="noConversion"/>
  </si>
  <si>
    <t>强英</t>
    <phoneticPr fontId="22" type="noConversion"/>
  </si>
  <si>
    <t>炼英</t>
    <phoneticPr fontId="22" type="noConversion"/>
  </si>
  <si>
    <t>法英</t>
    <phoneticPr fontId="22" type="noConversion"/>
  </si>
  <si>
    <t>旗兵</t>
  </si>
  <si>
    <t>教徒</t>
    <phoneticPr fontId="22" type="noConversion"/>
  </si>
  <si>
    <t>盾英</t>
    <phoneticPr fontId="22" type="noConversion"/>
  </si>
  <si>
    <t>刺英</t>
    <phoneticPr fontId="22" type="noConversion"/>
  </si>
  <si>
    <t>Type</t>
    <phoneticPr fontId="22" type="noConversion"/>
  </si>
  <si>
    <t>Index</t>
    <phoneticPr fontId="22" type="noConversion"/>
  </si>
  <si>
    <t>HeroIndex</t>
    <phoneticPr fontId="22" type="noConversion"/>
  </si>
  <si>
    <t>Name</t>
    <phoneticPr fontId="22" type="noConversion"/>
  </si>
  <si>
    <t>Difficulty</t>
    <phoneticPr fontId="22" type="noConversion"/>
  </si>
  <si>
    <t>HeroCount</t>
    <phoneticPr fontId="22" type="noConversion"/>
  </si>
  <si>
    <t>SoldierCount</t>
    <phoneticPr fontId="22" type="noConversion"/>
  </si>
  <si>
    <t>Hero1</t>
    <phoneticPr fontId="22" type="noConversion"/>
  </si>
  <si>
    <t>Hero2</t>
    <phoneticPr fontId="22" type="noConversion"/>
  </si>
  <si>
    <t>Hero3</t>
    <phoneticPr fontId="22" type="noConversion"/>
  </si>
  <si>
    <t>Soldier1</t>
    <phoneticPr fontId="22" type="noConversion"/>
  </si>
  <si>
    <t>Soldier2</t>
    <phoneticPr fontId="22" type="noConversion"/>
  </si>
  <si>
    <t>Soldier3</t>
    <phoneticPr fontId="22" type="noConversion"/>
  </si>
  <si>
    <t>Check</t>
    <phoneticPr fontId="22" type="noConversion"/>
  </si>
  <si>
    <t>Camp</t>
    <phoneticPr fontId="22" type="noConversion"/>
  </si>
  <si>
    <t>SoldierIndex</t>
    <phoneticPr fontId="22" type="noConversion"/>
  </si>
  <si>
    <t>Wave</t>
    <phoneticPr fontId="22" type="noConversion"/>
  </si>
  <si>
    <t>IsBoss</t>
    <phoneticPr fontId="22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</si>
  <si>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</si>
  <si>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</si>
  <si>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</si>
  <si>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</si>
  <si>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</si>
  <si>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</si>
  <si>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</si>
  <si>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</si>
  <si>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</si>
  <si>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</si>
  <si>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</si>
  <si>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</si>
  <si>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</si>
  <si>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</si>
  <si>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</si>
  <si>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</si>
  <si>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</si>
  <si>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</si>
  <si>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</si>
  <si>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</si>
  <si>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</si>
  <si>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</si>
  <si>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</si>
  <si>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</si>
  <si>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</si>
  <si>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</si>
  <si>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</si>
  <si>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</si>
  <si>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</si>
  <si>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</si>
  <si>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</si>
  <si>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</si>
  <si>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</si>
  <si>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</si>
  <si>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</si>
  <si>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</si>
  <si>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</si>
  <si>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</si>
  <si>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</si>
  <si>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</si>
  <si>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</si>
  <si>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</si>
  <si>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</si>
  <si>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</si>
  <si>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</si>
  <si>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</si>
  <si>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</si>
  <si>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</si>
  <si>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</si>
  <si>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</si>
  <si>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</si>
  <si>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</si>
  <si>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</si>
  <si>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</si>
  <si>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</si>
  <si>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</si>
  <si>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</si>
  <si>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</si>
  <si>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</si>
  <si>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</si>
  <si>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</si>
  <si>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</si>
  <si>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</si>
  <si>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</si>
  <si>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</si>
  <si>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</si>
  <si>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</si>
  <si>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</si>
  <si>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</si>
  <si>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</si>
  <si>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</si>
  <si>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</si>
  <si>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</si>
  <si>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</si>
  <si>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</si>
  <si>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</si>
  <si>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</si>
  <si>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</si>
  <si>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</si>
  <si>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</si>
  <si>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</si>
  <si>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</si>
  <si>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</si>
  <si>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</si>
  <si>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</si>
  <si>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</si>
  <si>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</si>
  <si>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</si>
  <si>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</si>
  <si>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</si>
  <si>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</si>
  <si>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</si>
  <si>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</si>
  <si>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</si>
  <si>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</si>
  <si>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</si>
  <si>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</si>
  <si>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</si>
  <si>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</si>
  <si>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</si>
  <si>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</si>
  <si>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</si>
  <si>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</si>
  <si>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</si>
  <si>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</si>
  <si>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</si>
  <si>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r>
      <t>S</t>
    </r>
    <r>
      <rPr>
        <sz val="11"/>
        <color theme="1"/>
        <rFont val="微软雅黑"/>
        <family val="2"/>
        <charset val="134"/>
      </rPr>
      <t>oldier</t>
    </r>
    <phoneticPr fontId="22" type="noConversion"/>
  </si>
  <si>
    <t>铁骑</t>
    <phoneticPr fontId="22" type="noConversion"/>
  </si>
  <si>
    <t>盾甲</t>
    <phoneticPr fontId="22" type="noConversion"/>
  </si>
  <si>
    <t>强弓</t>
    <phoneticPr fontId="22" type="noConversion"/>
  </si>
  <si>
    <t>炼金</t>
    <phoneticPr fontId="22" type="noConversion"/>
  </si>
  <si>
    <t>法师</t>
    <phoneticPr fontId="22" type="noConversion"/>
  </si>
  <si>
    <t>刺客</t>
    <phoneticPr fontId="22" type="noConversion"/>
  </si>
  <si>
    <t>教徒</t>
    <phoneticPr fontId="22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</si>
  <si>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</si>
  <si>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</si>
  <si>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</si>
  <si>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</si>
  <si>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</si>
  <si>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</si>
  <si>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</si>
  <si>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</si>
  <si>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</si>
  <si>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</si>
  <si>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</si>
  <si>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</si>
  <si>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22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</si>
  <si>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22" type="noConversion"/>
  </si>
  <si>
    <t>E:\git_project\monster_group_gen\group_input.json</t>
    <phoneticPr fontId="22" type="noConversion"/>
  </si>
  <si>
    <t>E:\git_project\monster_group_gen\group_output.json</t>
    <phoneticPr fontId="22" type="noConversion"/>
  </si>
  <si>
    <t>E:\git_project\lr_common\design\stage_enemy.xml</t>
    <phoneticPr fontId="22" type="noConversion"/>
  </si>
  <si>
    <t>GroupName</t>
    <phoneticPr fontId="22" type="noConversion"/>
  </si>
  <si>
    <t>Formation</t>
    <phoneticPr fontId="22" type="noConversion"/>
  </si>
  <si>
    <t>VersionID</t>
    <phoneticPr fontId="22" type="noConversion"/>
  </si>
  <si>
    <t>困难1兵</t>
    <phoneticPr fontId="22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</si>
  <si>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</si>
  <si>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</si>
  <si>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</si>
  <si>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</si>
  <si>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</si>
  <si>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22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</si>
  <si>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</si>
  <si>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22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</si>
  <si>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</si>
  <si>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</si>
  <si>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</si>
  <si>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</si>
  <si>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</si>
  <si>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</si>
  <si>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</si>
  <si>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刺兵</t>
    <phoneticPr fontId="22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</si>
  <si>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</si>
  <si>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</si>
  <si>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</si>
  <si>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</si>
  <si>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</si>
  <si>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</si>
  <si>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</si>
  <si>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</si>
  <si>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</si>
  <si>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</si>
  <si>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</si>
  <si>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</si>
  <si>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</si>
  <si>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</si>
  <si>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</si>
  <si>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</si>
  <si>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</si>
  <si>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</si>
  <si>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</si>
  <si>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</si>
  <si>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</si>
  <si>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</si>
  <si>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</si>
  <si>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</si>
  <si>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</si>
  <si>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</si>
  <si>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</si>
  <si>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</si>
  <si>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</si>
  <si>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</si>
  <si>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</si>
  <si>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</si>
  <si>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</si>
  <si>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</si>
  <si>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</si>
  <si>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</si>
  <si>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困难</t>
    <phoneticPr fontId="22" type="noConversion"/>
  </si>
  <si>
    <t>法师英雄</t>
    <phoneticPr fontId="22" type="noConversion"/>
  </si>
  <si>
    <t>强弓英雄</t>
    <phoneticPr fontId="22" type="noConversion"/>
  </si>
  <si>
    <t>普通</t>
    <phoneticPr fontId="22" type="noConversion"/>
  </si>
  <si>
    <t>炼金英雄</t>
    <phoneticPr fontId="22" type="noConversion"/>
  </si>
  <si>
    <t>简单</t>
    <phoneticPr fontId="22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</si>
  <si>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</si>
  <si>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</si>
  <si>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</si>
  <si>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</si>
  <si>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</si>
  <si>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</si>
  <si>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</si>
  <si>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</si>
  <si>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</si>
  <si>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22" type="noConversion"/>
  </si>
  <si>
    <t>铁骑英雄</t>
    <phoneticPr fontId="22" type="noConversion"/>
  </si>
  <si>
    <t>刺客英雄</t>
    <phoneticPr fontId="22" type="noConversion"/>
  </si>
  <si>
    <t>heros</t>
    <phoneticPr fontId="22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</si>
  <si>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</si>
  <si>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</si>
  <si>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</si>
  <si>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</si>
  <si>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</si>
  <si>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</si>
  <si>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</si>
  <si>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</si>
  <si>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</si>
  <si>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Suffix</t>
    <phoneticPr fontId="22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</si>
  <si>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</si>
  <si>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</si>
  <si>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</si>
  <si>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</si>
  <si>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</si>
  <si>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22" type="noConversion"/>
  </si>
  <si>
    <t>row4</t>
  </si>
  <si>
    <t>黄巾-简单-炼兵</t>
  </si>
  <si>
    <t>黄巾-简单-刺兵</t>
  </si>
  <si>
    <t>黄巾-普通-炼兵</t>
  </si>
  <si>
    <t>黄巾-普通-刺兵</t>
  </si>
  <si>
    <r>
      <t>n</t>
    </r>
    <r>
      <rPr>
        <sz val="11"/>
        <color theme="1"/>
        <rFont val="微软雅黑"/>
        <family val="2"/>
        <charset val="134"/>
      </rPr>
      <t>ame</t>
    </r>
    <phoneticPr fontId="22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</si>
  <si>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22" type="noConversion"/>
  </si>
  <si>
    <t>张宝</t>
    <phoneticPr fontId="22" type="noConversion"/>
  </si>
  <si>
    <t>黄巾-困难-法英+教徒</t>
  </si>
  <si>
    <t>2波</t>
    <phoneticPr fontId="22" type="noConversion"/>
  </si>
  <si>
    <t>Play</t>
    <phoneticPr fontId="22" type="noConversion"/>
  </si>
  <si>
    <t>StageDifficultyPath</t>
    <phoneticPr fontId="22" type="noConversion"/>
  </si>
  <si>
    <t>E:\svn_project\mp\LR\design\S数值规划\关卡难度.xlsx</t>
    <phoneticPr fontId="22" type="noConversion"/>
  </si>
  <si>
    <t>WaveDifficulty</t>
    <phoneticPr fontId="22" type="noConversion"/>
  </si>
  <si>
    <t>黄巾-困难-教徒</t>
  </si>
  <si>
    <t>黄巾-困难-盾英</t>
  </si>
  <si>
    <t>三国-困难-教徒</t>
  </si>
  <si>
    <t>row4</t>
    <phoneticPr fontId="22" type="noConversion"/>
  </si>
  <si>
    <t>张角</t>
    <phoneticPr fontId="22" type="noConversion"/>
  </si>
  <si>
    <t>黄巾-困难-法英1</t>
  </si>
  <si>
    <t>黄巾-普通-教徒1</t>
  </si>
  <si>
    <t>5波</t>
  </si>
  <si>
    <t>WaitTime</t>
    <phoneticPr fontId="22" type="noConversion"/>
  </si>
  <si>
    <t>刘兰芝</t>
    <phoneticPr fontId="30" type="noConversion"/>
  </si>
  <si>
    <t>张让</t>
    <phoneticPr fontId="30" type="noConversion"/>
  </si>
  <si>
    <t>少帝刘辩</t>
    <phoneticPr fontId="30" type="noConversion"/>
  </si>
  <si>
    <t>曹植</t>
    <phoneticPr fontId="30" type="noConversion"/>
  </si>
  <si>
    <t>杨修</t>
    <phoneticPr fontId="30" type="noConversion"/>
  </si>
  <si>
    <t>华佗</t>
    <phoneticPr fontId="30" type="noConversion"/>
  </si>
  <si>
    <t>黄巾-超难-[B]盾英+法英+法英</t>
  </si>
  <si>
    <t>埋伏</t>
    <phoneticPr fontId="22" type="noConversion"/>
  </si>
  <si>
    <t>简单</t>
    <phoneticPr fontId="22" type="noConversion"/>
  </si>
  <si>
    <t>普通</t>
    <phoneticPr fontId="22" type="noConversion"/>
  </si>
  <si>
    <t>困难</t>
    <phoneticPr fontId="22" type="noConversion"/>
  </si>
  <si>
    <t>超难</t>
    <phoneticPr fontId="22" type="noConversion"/>
  </si>
  <si>
    <t>逃逸</t>
    <phoneticPr fontId="22" type="noConversion"/>
  </si>
  <si>
    <t>单挑</t>
    <phoneticPr fontId="22" type="noConversion"/>
  </si>
  <si>
    <t>劫粮</t>
    <phoneticPr fontId="22" type="noConversion"/>
  </si>
  <si>
    <t>我方埋伏</t>
    <phoneticPr fontId="22" type="noConversion"/>
  </si>
  <si>
    <t>玩法</t>
    <phoneticPr fontId="22" type="noConversion"/>
  </si>
  <si>
    <t>波次数量</t>
    <phoneticPr fontId="22" type="noConversion"/>
  </si>
  <si>
    <t>2波</t>
    <phoneticPr fontId="22" type="noConversion"/>
  </si>
  <si>
    <t>3波</t>
    <phoneticPr fontId="22" type="noConversion"/>
  </si>
  <si>
    <t>5波</t>
    <phoneticPr fontId="22" type="noConversion"/>
  </si>
  <si>
    <t>简单</t>
    <phoneticPr fontId="22" type="noConversion"/>
  </si>
  <si>
    <t>超难</t>
    <phoneticPr fontId="22" type="noConversion"/>
  </si>
  <si>
    <t>攻城</t>
    <phoneticPr fontId="22" type="noConversion"/>
  </si>
  <si>
    <t>普通</t>
    <phoneticPr fontId="22" type="noConversion"/>
  </si>
  <si>
    <t>困难</t>
    <phoneticPr fontId="22" type="noConversion"/>
  </si>
  <si>
    <t>黄巾-普通-教徒+法兵</t>
  </si>
  <si>
    <t>法兵</t>
    <phoneticPr fontId="22" type="noConversion"/>
  </si>
  <si>
    <t>黄巾-普通-法英+教徒</t>
  </si>
  <si>
    <t>黄巾-困难-[B]盾英+法兵</t>
  </si>
  <si>
    <t>黄巾-困难-[B]法英+教徒</t>
  </si>
  <si>
    <t>一军队长</t>
  </si>
  <si>
    <t>丁奉亲卫</t>
  </si>
  <si>
    <t>三军队长</t>
  </si>
  <si>
    <t>东岭关护卫</t>
  </si>
  <si>
    <t>中军队长</t>
  </si>
  <si>
    <t>乌巢巡逻军</t>
  </si>
  <si>
    <t>乌巢护卫</t>
  </si>
  <si>
    <t>二军队长</t>
  </si>
  <si>
    <t>于吉亲卫</t>
  </si>
  <si>
    <t>于禁亲卫</t>
  </si>
  <si>
    <t>五军队长</t>
  </si>
  <si>
    <t>什长</t>
  </si>
  <si>
    <t>伍长</t>
  </si>
  <si>
    <t>先遣军队长</t>
  </si>
  <si>
    <t>先锋队长</t>
  </si>
  <si>
    <t>六军队长</t>
  </si>
  <si>
    <t>典韦亲卫</t>
  </si>
  <si>
    <t>军候</t>
  </si>
  <si>
    <t>冲锋营先锋</t>
  </si>
  <si>
    <t>冲锋营长</t>
  </si>
  <si>
    <t>凉州弓弩卫</t>
  </si>
  <si>
    <t>刺客前锋</t>
  </si>
  <si>
    <t>北军先锋</t>
  </si>
  <si>
    <t>北军精锐</t>
  </si>
  <si>
    <t>北海郡先锋</t>
  </si>
  <si>
    <t>北海郡守将</t>
  </si>
  <si>
    <t>华雄亲卫</t>
  </si>
  <si>
    <t>卒伯</t>
  </si>
  <si>
    <t>南华护法</t>
  </si>
  <si>
    <t>南华教徒</t>
  </si>
  <si>
    <t>右军营先锋</t>
  </si>
  <si>
    <t>右军营长</t>
  </si>
  <si>
    <t>右翼先锋</t>
  </si>
  <si>
    <t>右翼首领</t>
  </si>
  <si>
    <t>吕布亲卫</t>
  </si>
  <si>
    <t>善战军先锋</t>
  </si>
  <si>
    <t>善战军长</t>
  </si>
  <si>
    <t>四军队长</t>
  </si>
  <si>
    <t>夏侯家卫</t>
  </si>
  <si>
    <t>夏侯家将</t>
  </si>
  <si>
    <t>夏侯惇亲卫</t>
  </si>
  <si>
    <t>夏侯渊亲卫</t>
  </si>
  <si>
    <t>大方首领</t>
  </si>
  <si>
    <t>太史慈亲卫</t>
  </si>
  <si>
    <t>太平护法</t>
  </si>
  <si>
    <t>太平教徒</t>
  </si>
  <si>
    <t>奋威军先锋</t>
  </si>
  <si>
    <t>奋威军精锐</t>
  </si>
  <si>
    <t>孔秀</t>
  </si>
  <si>
    <t>孙家军先锋</t>
  </si>
  <si>
    <t>孙家军精锐</t>
  </si>
  <si>
    <t>孟坦</t>
  </si>
  <si>
    <t>宛城护将</t>
  </si>
  <si>
    <t>宛城精骑</t>
  </si>
  <si>
    <t>宿卫军先锋</t>
  </si>
  <si>
    <t>宿卫军精锐</t>
  </si>
  <si>
    <t>小方首领</t>
  </si>
  <si>
    <t>屯长</t>
  </si>
  <si>
    <t>左军营先锋</t>
  </si>
  <si>
    <t>左军营长</t>
  </si>
  <si>
    <t>左慈亲卫</t>
  </si>
  <si>
    <t>左翼先锋</t>
  </si>
  <si>
    <t>左翼首领</t>
  </si>
  <si>
    <t>常胜军精锐</t>
  </si>
  <si>
    <t>并州铁骑卫</t>
  </si>
  <si>
    <t>张允亲卫</t>
  </si>
  <si>
    <t>张曼成亲卫</t>
  </si>
  <si>
    <t>张济亲卫</t>
  </si>
  <si>
    <t>张绣亲卫</t>
  </si>
  <si>
    <t>张辽亲卫</t>
  </si>
  <si>
    <t>张郃亲卫</t>
  </si>
  <si>
    <t>强弓前锋</t>
  </si>
  <si>
    <t>徐庶亲卫</t>
  </si>
  <si>
    <t>徐荣亲卫</t>
  </si>
  <si>
    <t>怒吼军先锋</t>
  </si>
  <si>
    <t>怒吼军精锐</t>
  </si>
  <si>
    <t>文丑亲卫</t>
  </si>
  <si>
    <t>无畏军先锋</t>
  </si>
  <si>
    <t>无畏军精锐</t>
  </si>
  <si>
    <t>曹仁亲卫</t>
  </si>
  <si>
    <t>曹军先锋</t>
  </si>
  <si>
    <t>曹军护卫长</t>
  </si>
  <si>
    <t>曹军精锐</t>
  </si>
  <si>
    <t>曹洪亲卫</t>
  </si>
  <si>
    <t>李傕亲卫</t>
  </si>
  <si>
    <t>李儒亲卫</t>
  </si>
  <si>
    <t>李典亲卫</t>
  </si>
  <si>
    <t>李肃亲卫</t>
  </si>
  <si>
    <t>李蒙亲卫</t>
  </si>
  <si>
    <t>校尉</t>
  </si>
  <si>
    <t>樊稠亲卫</t>
  </si>
  <si>
    <t>水镜亲卫</t>
  </si>
  <si>
    <t>汜水关护卫</t>
  </si>
  <si>
    <t>江东军先锋</t>
  </si>
  <si>
    <t>江东军护卫</t>
  </si>
  <si>
    <t>法术前锋</t>
  </si>
  <si>
    <t>淳于琼亲卫</t>
  </si>
  <si>
    <t>渡口护卫</t>
  </si>
  <si>
    <t>炼金前锋</t>
  </si>
  <si>
    <t>牛辅亲卫</t>
  </si>
  <si>
    <t>王允亲卫</t>
  </si>
  <si>
    <t>王方亲卫</t>
  </si>
  <si>
    <t>王植</t>
  </si>
  <si>
    <t>甘宁亲卫</t>
  </si>
  <si>
    <t>田丰亲卫</t>
  </si>
  <si>
    <t>盾甲前锋</t>
  </si>
  <si>
    <t>秦琪</t>
  </si>
  <si>
    <t>羽林骑先锋</t>
  </si>
  <si>
    <t>羽林骑精锐</t>
  </si>
  <si>
    <t>胡狼军先锋</t>
  </si>
  <si>
    <t>胡狼军精锐</t>
  </si>
  <si>
    <t>胡轸亲卫</t>
  </si>
  <si>
    <t>英勇军先锋</t>
  </si>
  <si>
    <t>英勇军精锐</t>
  </si>
  <si>
    <t>荀彧亲卫</t>
  </si>
  <si>
    <t>荆州坚盾军</t>
  </si>
  <si>
    <t>荆州守将</t>
  </si>
  <si>
    <t>荆州神弓军</t>
  </si>
  <si>
    <t>荆州铁骑军</t>
  </si>
  <si>
    <t>荥阳护卫</t>
  </si>
  <si>
    <t>董卓亲卫</t>
  </si>
  <si>
    <t>蔡瑁亲卫</t>
  </si>
  <si>
    <t>虎贲军先锋</t>
  </si>
  <si>
    <t>虎贲军精锐</t>
  </si>
  <si>
    <t>袁尚亲卫</t>
  </si>
  <si>
    <t>袁术亲卫</t>
  </si>
  <si>
    <t>袁绍先锋军</t>
  </si>
  <si>
    <t>袁绍前营部</t>
  </si>
  <si>
    <t>袁绍右翼军</t>
  </si>
  <si>
    <t>袁绍后营部</t>
  </si>
  <si>
    <t>袁绍左翼军</t>
  </si>
  <si>
    <t>袁绍精锐军</t>
  </si>
  <si>
    <t>袁谭亲卫</t>
  </si>
  <si>
    <t>西凉军先锋</t>
  </si>
  <si>
    <t>西凉军精锐</t>
  </si>
  <si>
    <t>西凉骑先锋</t>
  </si>
  <si>
    <t>西凉骑精锐</t>
  </si>
  <si>
    <t>许褚亲卫</t>
  </si>
  <si>
    <t>诸葛亮亲卫</t>
  </si>
  <si>
    <t>诸葛家丁</t>
  </si>
  <si>
    <t>诸葛护卫</t>
  </si>
  <si>
    <t>贾诩亲卫</t>
  </si>
  <si>
    <t>郭汜亲卫</t>
  </si>
  <si>
    <t>铁骑前锋</t>
  </si>
  <si>
    <t>陈宫亲卫</t>
  </si>
  <si>
    <t>陷阵营先锋</t>
  </si>
  <si>
    <t>陷阵营长</t>
  </si>
  <si>
    <t>青州兵精锐</t>
  </si>
  <si>
    <t>韩猛亲卫</t>
  </si>
  <si>
    <t>韩福</t>
  </si>
  <si>
    <t>颜良亲卫</t>
  </si>
  <si>
    <t>飞熊军前锋</t>
  </si>
  <si>
    <t>飞熊军后卫</t>
  </si>
  <si>
    <t>马元义亲卫</t>
  </si>
  <si>
    <t>马超亲卫</t>
  </si>
  <si>
    <t>骁勇军先锋</t>
  </si>
  <si>
    <t>骁勇军长</t>
  </si>
  <si>
    <t>高览亲卫</t>
  </si>
  <si>
    <t>黄巾副首领</t>
  </si>
  <si>
    <t>黄巾渠帅</t>
  </si>
  <si>
    <t>黄祖亲卫</t>
  </si>
  <si>
    <t>黄祖先锋</t>
  </si>
  <si>
    <t>黄祖精兵</t>
  </si>
  <si>
    <t>铁骑英雄</t>
    <phoneticPr fontId="22" type="noConversion"/>
  </si>
  <si>
    <t>盾甲英雄</t>
    <phoneticPr fontId="22" type="noConversion"/>
  </si>
  <si>
    <t>炼金英雄</t>
    <phoneticPr fontId="22" type="noConversion"/>
  </si>
  <si>
    <t>困难3英-近近远</t>
  </si>
  <si>
    <t>困难3英-近远远</t>
  </si>
  <si>
    <t>李蒙</t>
  </si>
  <si>
    <t>王方</t>
  </si>
  <si>
    <t>李蒙</t>
    <phoneticPr fontId="22" type="noConversion"/>
  </si>
  <si>
    <t>王方</t>
    <phoneticPr fontId="22" type="noConversion"/>
  </si>
  <si>
    <t>大乔</t>
    <phoneticPr fontId="22" type="noConversion"/>
  </si>
  <si>
    <t>炼金英雄</t>
    <phoneticPr fontId="22" type="noConversion"/>
  </si>
  <si>
    <t>盾甲英雄</t>
    <phoneticPr fontId="22" type="noConversion"/>
  </si>
  <si>
    <t>黄巾渠帅</t>
    <phoneticPr fontId="22" type="noConversion"/>
  </si>
  <si>
    <t>黄巾-普通-强英+教徒</t>
  </si>
  <si>
    <t>黄巾-普通-盾英+法英</t>
  </si>
  <si>
    <t>黄巾-困难-强英+教徒</t>
  </si>
  <si>
    <t>黄巾-困难-盾英+法英+法英</t>
  </si>
  <si>
    <t>黄巾-超难-[B]盾英+法英+刺英</t>
  </si>
  <si>
    <t>[B]黄巾刺客英雄</t>
  </si>
  <si>
    <t>三国-困难-铁英+铁英+强英</t>
  </si>
  <si>
    <t>三国-困难-铁英+铁英+炼英</t>
  </si>
  <si>
    <t>三国-困难-铁英+铁英+法英</t>
  </si>
  <si>
    <t>三国-困难-铁英+铁英+刺英</t>
  </si>
  <si>
    <t>三国-困难-盾英+盾英+强英</t>
  </si>
  <si>
    <t>三国-困难-盾英+盾英+炼英</t>
  </si>
  <si>
    <t>三国-困难-盾英+盾英+法英</t>
  </si>
  <si>
    <t>三国-困难-盾英+盾英+刺英</t>
  </si>
  <si>
    <t>三国-困难-铁英+盾英+强英</t>
  </si>
  <si>
    <t>三国-困难-铁英+盾英+炼英</t>
  </si>
  <si>
    <t>三国-困难-铁英+盾英+法英</t>
  </si>
  <si>
    <t>三国-困难-铁英+盾英+刺英</t>
  </si>
  <si>
    <t>三国-困难-铁英+强英+强英</t>
  </si>
  <si>
    <t>三国-困难-铁英+炼英+炼英</t>
  </si>
  <si>
    <t>三国-困难-铁英+法英+法英</t>
  </si>
  <si>
    <t>三国-困难-铁英+刺英+刺英</t>
  </si>
  <si>
    <t>三国-困难-铁英+强英+炼英</t>
  </si>
  <si>
    <t>三国-困难-铁英+强英+法英</t>
  </si>
  <si>
    <t>三国-困难-铁英+炼英+法英</t>
  </si>
  <si>
    <t>三国-困难-铁英+炼英+刺英</t>
  </si>
  <si>
    <t>三国-困难-铁英+法英+刺英</t>
  </si>
  <si>
    <t>三国-困难-盾英+强英+强英</t>
  </si>
  <si>
    <t>三国-困难-盾英+炼英+炼英</t>
  </si>
  <si>
    <t>三国-困难-盾英+法英+法英</t>
  </si>
  <si>
    <t>三国-困难-盾英+刺英+刺英</t>
  </si>
  <si>
    <t>三国-困难-盾英+强英+炼英</t>
  </si>
  <si>
    <t>三国-困难-盾英+强英+法英</t>
  </si>
  <si>
    <t>三国-困难-盾英+炼英+法英</t>
  </si>
  <si>
    <t>三国-困难-盾英+炼英+刺英</t>
  </si>
  <si>
    <t>三国-困难-盾英+法英+刺英</t>
  </si>
  <si>
    <t>三国-超难-盾英+强英+强英</t>
  </si>
  <si>
    <t>三国-超难-[B]盾英+强英+强英</t>
  </si>
  <si>
    <t>三国-超难-[B]盾英+强英+刺英</t>
  </si>
  <si>
    <t>黄巾-困难-[B]盾英+法兵1</t>
  </si>
  <si>
    <t>黄巾-困难-法英+教徒1</t>
  </si>
  <si>
    <t>名将本</t>
    <phoneticPr fontId="22" type="noConversion"/>
  </si>
  <si>
    <t>简单</t>
    <phoneticPr fontId="22" type="noConversion"/>
  </si>
  <si>
    <t>田丰</t>
    <phoneticPr fontId="22" type="noConversion"/>
  </si>
  <si>
    <t>三国-超难-铁英+强英+刺英</t>
  </si>
  <si>
    <t>三国-超难-盾英+强英+刺英</t>
  </si>
  <si>
    <t>三国-超难-[B]铁英+强英+刺英</t>
  </si>
  <si>
    <t>三国-变态-铁英+强英+刺英</t>
  </si>
  <si>
    <t>三国-变态-盾英+强英+强英</t>
  </si>
  <si>
    <t>三国-变态-盾英+强英+刺英</t>
  </si>
  <si>
    <t>三国-变态-[B]铁英+强英+刺英</t>
  </si>
  <si>
    <t>三国-变态-[B]盾英+强英+强英</t>
  </si>
  <si>
    <t>三国-变态-[B]盾英+强英+刺英</t>
  </si>
  <si>
    <t>黄巾</t>
    <phoneticPr fontId="22" type="noConversion"/>
  </si>
  <si>
    <t>刺客英雄</t>
    <phoneticPr fontId="22" type="noConversion"/>
  </si>
  <si>
    <t>炼金英雄</t>
    <phoneticPr fontId="22" type="noConversion"/>
  </si>
  <si>
    <t>盾甲英雄</t>
    <phoneticPr fontId="22" type="noConversion"/>
  </si>
  <si>
    <t>第3波刷怪</t>
  </si>
  <si>
    <t>强弓英雄</t>
    <phoneticPr fontId="22" type="noConversion"/>
  </si>
  <si>
    <t>铁骑英雄</t>
    <phoneticPr fontId="22" type="noConversion"/>
  </si>
  <si>
    <t>第2波刷怪</t>
  </si>
  <si>
    <t>刺客</t>
    <phoneticPr fontId="22" type="noConversion"/>
  </si>
  <si>
    <t>盾甲</t>
    <phoneticPr fontId="22" type="noConversion"/>
  </si>
  <si>
    <t>第1波刷怪</t>
  </si>
  <si>
    <t>炼金英雄</t>
    <phoneticPr fontId="22" type="noConversion"/>
  </si>
  <si>
    <t>盾甲英雄</t>
    <phoneticPr fontId="22" type="noConversion"/>
  </si>
  <si>
    <t>变态</t>
    <phoneticPr fontId="22" type="noConversion"/>
  </si>
  <si>
    <t>敌方部队</t>
  </si>
  <si>
    <t>超难</t>
    <phoneticPr fontId="22" type="noConversion"/>
  </si>
  <si>
    <t>我方援军</t>
  </si>
  <si>
    <t>我方埋伏-超难</t>
    <phoneticPr fontId="22" type="noConversion"/>
  </si>
  <si>
    <t>炼金英雄</t>
    <phoneticPr fontId="22" type="noConversion"/>
  </si>
  <si>
    <t>盾甲英雄</t>
    <phoneticPr fontId="22" type="noConversion"/>
  </si>
  <si>
    <t>超难</t>
    <phoneticPr fontId="22" type="noConversion"/>
  </si>
  <si>
    <t>强弓英雄</t>
    <phoneticPr fontId="22" type="noConversion"/>
  </si>
  <si>
    <t>铁骑英雄</t>
    <phoneticPr fontId="22" type="noConversion"/>
  </si>
  <si>
    <t>困难</t>
    <phoneticPr fontId="22" type="noConversion"/>
  </si>
  <si>
    <t>刺客</t>
    <phoneticPr fontId="22" type="noConversion"/>
  </si>
  <si>
    <t>盾甲</t>
    <phoneticPr fontId="22" type="noConversion"/>
  </si>
  <si>
    <t>普通</t>
    <phoneticPr fontId="22" type="noConversion"/>
  </si>
  <si>
    <t>强弓</t>
    <phoneticPr fontId="22" type="noConversion"/>
  </si>
  <si>
    <t>盾甲</t>
    <phoneticPr fontId="22" type="noConversion"/>
  </si>
  <si>
    <t>困难</t>
    <phoneticPr fontId="22" type="noConversion"/>
  </si>
  <si>
    <t>我方埋伏-困难</t>
  </si>
  <si>
    <t>法师英雄</t>
    <phoneticPr fontId="22" type="noConversion"/>
  </si>
  <si>
    <t>强弓英雄</t>
    <phoneticPr fontId="22" type="noConversion"/>
  </si>
  <si>
    <t>铁骑</t>
    <phoneticPr fontId="22" type="noConversion"/>
  </si>
  <si>
    <t>普通</t>
    <phoneticPr fontId="22" type="noConversion"/>
  </si>
  <si>
    <t>我方埋伏-普通</t>
  </si>
  <si>
    <t>炼金</t>
    <phoneticPr fontId="22" type="noConversion"/>
  </si>
  <si>
    <t>法师</t>
    <phoneticPr fontId="22" type="noConversion"/>
  </si>
  <si>
    <t>我方埋伏-简单</t>
  </si>
  <si>
    <t>刺客英雄</t>
    <phoneticPr fontId="22" type="noConversion"/>
  </si>
  <si>
    <t>劫粮-超难</t>
    <phoneticPr fontId="22" type="noConversion"/>
  </si>
  <si>
    <t>劫粮-困难</t>
  </si>
  <si>
    <t>劫粮-普通</t>
  </si>
  <si>
    <t>劫粮-简单</t>
    <phoneticPr fontId="22" type="noConversion"/>
  </si>
  <si>
    <t>三国</t>
    <phoneticPr fontId="22" type="noConversion"/>
  </si>
  <si>
    <t>单挑-超难</t>
    <phoneticPr fontId="22" type="noConversion"/>
  </si>
  <si>
    <t>单挑-困难</t>
  </si>
  <si>
    <t>单挑-普通</t>
  </si>
  <si>
    <t>单挑-简单</t>
    <phoneticPr fontId="22" type="noConversion"/>
  </si>
  <si>
    <t>攻城-超难</t>
    <phoneticPr fontId="22" type="noConversion"/>
  </si>
  <si>
    <t>攻城-困难</t>
  </si>
  <si>
    <t>攻城-普通</t>
  </si>
  <si>
    <t>攻城-简单</t>
    <phoneticPr fontId="22" type="noConversion"/>
  </si>
  <si>
    <t>逃逸-超难</t>
  </si>
  <si>
    <t>逃逸-困难</t>
  </si>
  <si>
    <t>逃逸-普通</t>
  </si>
  <si>
    <t>简单</t>
    <phoneticPr fontId="22" type="noConversion"/>
  </si>
  <si>
    <t>逃逸-简单</t>
  </si>
  <si>
    <t>铁骑</t>
    <phoneticPr fontId="22" type="noConversion"/>
  </si>
  <si>
    <t>普通</t>
    <phoneticPr fontId="22" type="noConversion"/>
  </si>
  <si>
    <t>强弓</t>
    <phoneticPr fontId="22" type="noConversion"/>
  </si>
  <si>
    <t>困难</t>
    <phoneticPr fontId="22" type="noConversion"/>
  </si>
  <si>
    <t>炼金</t>
    <phoneticPr fontId="22" type="noConversion"/>
  </si>
  <si>
    <t>盾甲</t>
    <phoneticPr fontId="22" type="noConversion"/>
  </si>
  <si>
    <t>埋伏-超难</t>
  </si>
  <si>
    <t>埋伏-困难</t>
  </si>
  <si>
    <t>埋伏-普通</t>
  </si>
  <si>
    <t>埋伏-简单</t>
  </si>
  <si>
    <t>5波-超难</t>
  </si>
  <si>
    <t>5波-困难</t>
  </si>
  <si>
    <t>5波-普通</t>
  </si>
  <si>
    <t>5波-简单</t>
  </si>
  <si>
    <t>教徒</t>
    <phoneticPr fontId="22" type="noConversion"/>
  </si>
  <si>
    <t>9波-超难</t>
  </si>
  <si>
    <t>刺客</t>
    <phoneticPr fontId="22" type="noConversion"/>
  </si>
  <si>
    <t>9波-困难</t>
  </si>
  <si>
    <t>9波-普通</t>
  </si>
  <si>
    <t>9波-简单</t>
  </si>
  <si>
    <t>庞统</t>
    <phoneticPr fontId="22" type="noConversion"/>
  </si>
  <si>
    <t>名将本-超难</t>
  </si>
  <si>
    <t>名将本-困难</t>
  </si>
  <si>
    <t>名将本-普通</t>
  </si>
  <si>
    <t>名将本-简单</t>
  </si>
  <si>
    <t>3波-超难</t>
  </si>
  <si>
    <t>法师英雄</t>
    <phoneticPr fontId="22" type="noConversion"/>
  </si>
  <si>
    <t>法师</t>
    <phoneticPr fontId="22" type="noConversion"/>
  </si>
  <si>
    <t>铁骑</t>
    <phoneticPr fontId="22" type="noConversion"/>
  </si>
  <si>
    <t>3波-困难</t>
  </si>
  <si>
    <t>3波-普通</t>
    <phoneticPr fontId="22" type="noConversion"/>
  </si>
  <si>
    <t>3波-简单</t>
    <phoneticPr fontId="22" type="noConversion"/>
  </si>
  <si>
    <t>2波-超难</t>
  </si>
  <si>
    <t>2波-困难</t>
  </si>
  <si>
    <t>2波-普通</t>
  </si>
  <si>
    <t>2波-简单</t>
  </si>
  <si>
    <t>Group</t>
    <phoneticPr fontId="22" type="noConversion"/>
  </si>
  <si>
    <t>Boss</t>
    <phoneticPr fontId="22" type="noConversion"/>
  </si>
  <si>
    <t>AllyHero</t>
    <phoneticPr fontId="22" type="noConversion"/>
  </si>
  <si>
    <t>GroupID</t>
    <phoneticPr fontId="22" type="noConversion"/>
  </si>
  <si>
    <t>GroupCount</t>
    <phoneticPr fontId="22" type="noConversion"/>
  </si>
  <si>
    <t>Soldier3</t>
    <phoneticPr fontId="22" type="noConversion"/>
  </si>
  <si>
    <t>Soldier2</t>
    <phoneticPr fontId="22" type="noConversion"/>
  </si>
  <si>
    <t>Soldier1</t>
    <phoneticPr fontId="22" type="noConversion"/>
  </si>
  <si>
    <t>Hero3</t>
    <phoneticPr fontId="22" type="noConversion"/>
  </si>
  <si>
    <t>Hero2</t>
    <phoneticPr fontId="22" type="noConversion"/>
  </si>
  <si>
    <t>Hero1</t>
    <phoneticPr fontId="22" type="noConversion"/>
  </si>
  <si>
    <t>IsBoss</t>
    <phoneticPr fontId="22" type="noConversion"/>
  </si>
  <si>
    <t>Difficulty</t>
    <phoneticPr fontId="22" type="noConversion"/>
  </si>
  <si>
    <t>Camp</t>
    <phoneticPr fontId="22" type="noConversion"/>
  </si>
  <si>
    <t>Desc</t>
    <phoneticPr fontId="22" type="noConversion"/>
  </si>
  <si>
    <t>WaitTime</t>
    <phoneticPr fontId="22" type="noConversion"/>
  </si>
  <si>
    <t>Wave</t>
    <phoneticPr fontId="22" type="noConversion"/>
  </si>
  <si>
    <t>StageName</t>
    <phoneticPr fontId="22" type="noConversion"/>
  </si>
  <si>
    <t>强弓英雄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</si>
</sst>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sz val="11"/>
      <color indexed="8"/>
      <name val="微软雅黑"/>
      <family val="2"/>
      <charset val="134"/>
    </font>
    <font>
      <sz val="12"/>
      <color rgb="FF000000"/>
      <name val="Microsoft YaHei Mono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3" fillId="0" borderId="0">
      <alignment vertical="center"/>
    </xf>
  </cellStyleXfs>
  <cellXfs count="37">
    <xf numFmtId="0" fontId="0" fillId="0" borderId="0" xfId="0"/>
    <xf numFmtId="0" fontId="24" fillId="0" borderId="0" xfId="0" applyFont="1"/>
    <xf numFmtId="0" fontId="25" fillId="0" borderId="0" xfId="0" applyFont="1"/>
    <xf numFmtId="0" fontId="21" fillId="0" borderId="0" xfId="0" applyFont="1"/>
    <xf numFmtId="0" fontId="20" fillId="0" borderId="0" xfId="0" applyFont="1"/>
    <xf numFmtId="0" fontId="19" fillId="0" borderId="0" xfId="0" applyFont="1"/>
    <xf numFmtId="0" fontId="27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28" fillId="0" borderId="0" xfId="0" applyFont="1"/>
    <xf numFmtId="0" fontId="28" fillId="0" borderId="0" xfId="0" applyNumberFormat="1" applyFont="1"/>
    <xf numFmtId="0" fontId="29" fillId="0" borderId="0" xfId="0" applyFont="1"/>
    <xf numFmtId="0" fontId="29" fillId="0" borderId="0" xfId="0" applyNumberFormat="1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 applyAlignment="1">
      <alignment vertical="center"/>
    </xf>
    <xf numFmtId="0" fontId="11" fillId="0" borderId="0" xfId="0" applyFont="1"/>
    <xf numFmtId="0" fontId="11" fillId="0" borderId="0" xfId="0" applyNumberFormat="1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8" fillId="0" borderId="0" xfId="0" applyNumberFormat="1" applyFont="1"/>
    <xf numFmtId="0" fontId="7" fillId="0" borderId="1" xfId="0" applyFont="1" applyBorder="1"/>
    <xf numFmtId="0" fontId="7" fillId="0" borderId="0" xfId="0" applyFont="1"/>
    <xf numFmtId="0" fontId="7" fillId="0" borderId="0" xfId="0" applyNumberFormat="1" applyFont="1"/>
    <xf numFmtId="0" fontId="7" fillId="0" borderId="2" xfId="0" applyFont="1" applyBorder="1"/>
    <xf numFmtId="0" fontId="7" fillId="0" borderId="0" xfId="0" applyFont="1" applyBorder="1"/>
    <xf numFmtId="0" fontId="6" fillId="0" borderId="0" xfId="0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3" fillId="0" borderId="0" xfId="0" applyNumberFormat="1" applyFont="1"/>
    <xf numFmtId="0" fontId="31" fillId="0" borderId="0" xfId="0" applyFont="1" applyAlignment="1">
      <alignment vertical="center"/>
    </xf>
    <xf numFmtId="0" fontId="2" fillId="0" borderId="0" xfId="0" applyFont="1"/>
  </cellXfs>
  <cellStyles count="2">
    <cellStyle name="常规" xfId="0" builtinId="0"/>
    <cellStyle name="常规 2" xfId="1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190500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123825</xdr:rowOff>
        </xdr:from>
        <xdr:to>
          <xdr:col>11</xdr:col>
          <xdr:colOff>9525</xdr:colOff>
          <xdr:row>1</xdr:row>
          <xdr:rowOff>209550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409" totalsRowShown="0" headerRowDxfId="107" dataDxfId="106">
  <tableColumns count="42">
    <tableColumn id="1" name="Camp" dataDxfId="105"/>
    <tableColumn id="2" name="Difficulty" dataDxfId="104"/>
    <tableColumn id="13" name="Type" dataDxfId="103"/>
    <tableColumn id="11" name="IsBoss" dataDxfId="102"/>
    <tableColumn id="3" name="HeroCount" dataDxfId="101"/>
    <tableColumn id="4" name="SoldierCount" dataDxfId="100"/>
    <tableColumn id="5" name="Hero1" dataDxfId="99"/>
    <tableColumn id="6" name="Hero2" dataDxfId="98"/>
    <tableColumn id="7" name="Hero3" dataDxfId="97"/>
    <tableColumn id="8" name="Soldier1" dataDxfId="96"/>
    <tableColumn id="9" name="Soldier2" dataDxfId="95"/>
    <tableColumn id="14" name="Soldier3" dataDxfId="94"/>
    <tableColumn id="12" name="Check" dataDxfId="93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92"/>
    <tableColumn id="10" name="GroupName" dataDxfId="91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90"/>
    <tableColumn id="16" name="VersionID" dataDxfId="89"/>
    <tableColumn id="43" name="IgnoreGen" dataDxfId="88"/>
    <tableColumn id="18" name="Monster1" dataDxfId="87"/>
    <tableColumn id="19" name="Monster2" dataDxfId="86"/>
    <tableColumn id="20" name="Monster3" dataDxfId="85"/>
    <tableColumn id="21" name="Monster4" dataDxfId="84"/>
    <tableColumn id="22" name="Monster5" dataDxfId="83"/>
    <tableColumn id="23" name="Monster6" dataDxfId="82"/>
    <tableColumn id="24" name="Monster7" dataDxfId="81"/>
    <tableColumn id="25" name="Monster8" dataDxfId="80"/>
    <tableColumn id="26" name="Monster9" dataDxfId="79"/>
    <tableColumn id="27" name="Monster10" dataDxfId="78"/>
    <tableColumn id="28" name="Monster11" dataDxfId="77"/>
    <tableColumn id="29" name="Monster12" dataDxfId="76"/>
    <tableColumn id="30" name="Monster13" dataDxfId="75"/>
    <tableColumn id="31" name="Monster14" dataDxfId="74"/>
    <tableColumn id="32" name="Monster15" dataDxfId="73"/>
    <tableColumn id="33" name="Monster16" dataDxfId="72"/>
    <tableColumn id="34" name="Monster17" dataDxfId="71"/>
    <tableColumn id="35" name="Monster18" dataDxfId="70"/>
    <tableColumn id="36" name="Monster19" dataDxfId="69"/>
    <tableColumn id="37" name="Monster20" dataDxfId="68"/>
    <tableColumn id="38" name="Monster21" dataDxfId="67"/>
    <tableColumn id="39" name="Monster22" dataDxfId="66"/>
    <tableColumn id="40" name="Monster23" dataDxfId="65"/>
    <tableColumn id="41" name="Monster24" dataDxfId="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TestEnemy" displayName="tbTestEnemy" ref="B4:S152" totalsRowShown="0" headerRowDxfId="60" dataDxfId="59">
  <tableColumns count="18">
    <tableColumn id="2" name="StageName" dataDxfId="58"/>
    <tableColumn id="3" name="Wave" dataDxfId="57"/>
    <tableColumn id="17" name="WaitTime" dataDxfId="56"/>
    <tableColumn id="18" name="Desc" dataDxfId="55"/>
    <tableColumn id="15" name="Camp" dataDxfId="54"/>
    <tableColumn id="13" name="Difficulty" dataDxfId="53"/>
    <tableColumn id="14" name="IsBoss" dataDxfId="52"/>
    <tableColumn id="4" name="Hero1" dataDxfId="51"/>
    <tableColumn id="5" name="Hero2" dataDxfId="50"/>
    <tableColumn id="6" name="Hero3" dataDxfId="49"/>
    <tableColumn id="7" name="Soldier1" dataDxfId="48"/>
    <tableColumn id="8" name="Soldier2" dataDxfId="47"/>
    <tableColumn id="9" name="Soldier3" dataDxfId="46"/>
    <tableColumn id="10" name="GroupCount" dataDxfId="45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44"/>
    <tableColumn id="16" name="AllyHero" dataDxfId="43"/>
    <tableColumn id="1" name="Boss" dataDxfId="42"/>
    <tableColumn id="12" name="Group" dataDxfId="41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UnitTypeToIndex" displayName="tbUnitTypeToIndex" ref="F2:G38" totalsRowShown="0" headerRowDxfId="39" dataDxfId="38">
  <tableColumns count="2">
    <tableColumn id="1" name="Type" dataDxfId="37"/>
    <tableColumn id="2" name="Index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UnitNameToType" displayName="tbUnitNameToType" ref="B2:D345" totalsRowShown="0" headerRowDxfId="35" dataDxfId="34">
  <tableColumns count="3">
    <tableColumn id="1" name="Name" dataDxfId="33"/>
    <tableColumn id="2" name="Type" dataDxfId="32"/>
    <tableColumn id="3" name="Index" dataDxfId="31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表13" displayName="表13" ref="I2:J19" totalsRowShown="0" headerRowDxfId="30" dataDxfId="29">
  <tableColumns count="2">
    <tableColumn id="1" name="name" dataDxfId="28"/>
    <tableColumn id="2" name="type" dataDxfId="27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表2" displayName="表2" ref="B4:B10" totalsRowShown="0" headerRowDxfId="26" dataDxfId="25">
  <tableColumns count="1">
    <tableColumn id="1" name="HeroIndex" dataDxfId="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表3" displayName="表3" ref="D4:D11" totalsRowShown="0" headerRowDxfId="23" dataDxfId="22">
  <tableColumns count="1">
    <tableColumn id="1" name="SoldierIndex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表8" displayName="表8" ref="F4:F11" totalsRowShown="0" headerRowDxfId="20" dataDxfId="19">
  <tableColumns count="1">
    <tableColumn id="1" name="Soldier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表11" displayName="表11" ref="J4:K8" totalsRowShown="0" headerRowDxfId="17" dataDxfId="16">
  <tableColumns count="2">
    <tableColumn id="1" name="Name" dataDxfId="15"/>
    <tableColumn id="2" name="Value" dataDxfId="1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7" name="表7" displayName="表7" ref="H4:H11" totalsRowShown="0" headerRowDxfId="13" dataDxfId="12">
  <tableColumns count="1">
    <tableColumn id="1" name="Formation" dataDxfId="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4" name="表14" displayName="表14" ref="B2:F114" totalsRowShown="0" headerRowDxfId="10" dataDxfId="9">
  <tableColumns count="5">
    <tableColumn id="1" name="Play" dataDxfId="8"/>
    <tableColumn id="2" name="Difficulty" dataDxfId="7"/>
    <tableColumn id="3" name="Wave" dataDxfId="6"/>
    <tableColumn id="4" name="WaveDifficulty" dataDxfId="5">
      <calculatedColumnFormula>VLOOKUP2(tbTestEnemy[Difficulty],tbTestEnemy[StageName],表14[[#This Row],[Play]]&amp;"-"&amp;表14[[#This Row],[Difficulty]],tbTestEnemy[Wave],表14[[#This Row],[Wave]])</calculatedColumnFormula>
    </tableColumn>
    <tableColumn id="5" name="WaitTime" dataDxfId="4">
      <calculatedColumnFormula>VLOOKUP2(tbTestEnemy[WaitTime],tbTestEnemy[StageName],表14[[#This Row],[Play]]&amp;"-"&amp;表14[[#This Row],[Difficulty]],tbTestEnemy[Wave],表14[[#This Row],[Wave]])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6" name="表16" displayName="表16" ref="H2:I11" totalsRowShown="0" headerRowDxfId="3" dataDxfId="2">
  <tableColumns count="2">
    <tableColumn id="1" name="玩法" dataDxfId="1"/>
    <tableColumn id="2" name="波次数量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409"/>
  <sheetViews>
    <sheetView showGridLines="0" tabSelected="1" zoomScale="90" zoomScaleNormal="90" workbookViewId="0">
      <pane ySplit="4" topLeftCell="A5" activePane="bottomLeft" state="frozen"/>
      <selection activeCell="C41" sqref="C41"/>
      <selection pane="bottomLeft" activeCell="F10" sqref="F10"/>
    </sheetView>
  </sheetViews>
  <sheetFormatPr defaultColWidth="9" defaultRowHeight="16.5" x14ac:dyDescent="0.3"/>
  <cols>
    <col min="1" max="1" width="5" style="32" customWidth="1"/>
    <col min="2" max="3" width="9" style="32"/>
    <col min="4" max="4" width="18.375" bestFit="1" customWidth="1"/>
    <col min="5" max="5" width="7.5" style="32" bestFit="1" customWidth="1"/>
    <col min="6" max="6" width="9.625" style="32" bestFit="1" customWidth="1"/>
    <col min="7" max="8" width="10" style="32" customWidth="1"/>
    <col min="9" max="14" width="9" style="32"/>
    <col min="15" max="15" width="9.375" style="32" customWidth="1"/>
    <col min="16" max="16" width="22.125" style="32" customWidth="1"/>
    <col min="17" max="17" width="11.125" style="32" bestFit="1" customWidth="1"/>
    <col min="18" max="19" width="10.625" style="32" customWidth="1"/>
    <col min="20" max="21" width="9" style="32"/>
    <col min="22" max="22" width="9.625" style="32" bestFit="1" customWidth="1"/>
    <col min="23" max="16384" width="9" style="32"/>
  </cols>
  <sheetData>
    <row r="1" spans="2:43" x14ac:dyDescent="0.3">
      <c r="D1" s="32"/>
    </row>
    <row r="2" spans="2:43" x14ac:dyDescent="0.3">
      <c r="D2" s="6" t="str">
        <f>GroupInputJsonPath</f>
        <v>E:\git_project\monster_group_gen\group_input.json</v>
      </c>
    </row>
    <row r="3" spans="2:43" x14ac:dyDescent="0.3">
      <c r="D3" s="32"/>
    </row>
    <row r="4" spans="2:43" x14ac:dyDescent="0.3">
      <c r="B4" s="32" t="s">
        <v>476</v>
      </c>
      <c r="C4" s="32" t="s">
        <v>466</v>
      </c>
      <c r="D4" s="32" t="s">
        <v>462</v>
      </c>
      <c r="E4" s="32" t="s">
        <v>479</v>
      </c>
      <c r="F4" s="32" t="s">
        <v>467</v>
      </c>
      <c r="G4" s="32" t="s">
        <v>468</v>
      </c>
      <c r="H4" s="32" t="s">
        <v>469</v>
      </c>
      <c r="I4" s="32" t="s">
        <v>470</v>
      </c>
      <c r="J4" s="32" t="s">
        <v>471</v>
      </c>
      <c r="K4" s="32" t="s">
        <v>472</v>
      </c>
      <c r="L4" s="32" t="s">
        <v>473</v>
      </c>
      <c r="M4" s="32" t="s">
        <v>474</v>
      </c>
      <c r="N4" s="32" t="s">
        <v>475</v>
      </c>
      <c r="O4" s="32" t="s">
        <v>695</v>
      </c>
      <c r="P4" s="32" t="s">
        <v>611</v>
      </c>
      <c r="Q4" s="32" t="s">
        <v>612</v>
      </c>
      <c r="R4" s="32" t="s">
        <v>613</v>
      </c>
      <c r="S4" s="32" t="s">
        <v>696</v>
      </c>
      <c r="T4" s="32" t="s">
        <v>2</v>
      </c>
      <c r="U4" s="32" t="s">
        <v>3</v>
      </c>
      <c r="V4" s="32" t="s">
        <v>4</v>
      </c>
      <c r="W4" s="32" t="s">
        <v>5</v>
      </c>
      <c r="X4" s="32" t="s">
        <v>6</v>
      </c>
      <c r="Y4" s="32" t="s">
        <v>7</v>
      </c>
      <c r="Z4" s="32" t="s">
        <v>8</v>
      </c>
      <c r="AA4" s="32" t="s">
        <v>9</v>
      </c>
      <c r="AB4" s="32" t="s">
        <v>10</v>
      </c>
      <c r="AC4" s="32" t="s">
        <v>686</v>
      </c>
      <c r="AD4" s="32" t="s">
        <v>11</v>
      </c>
      <c r="AE4" s="32" t="s">
        <v>12</v>
      </c>
      <c r="AF4" s="32" t="s">
        <v>13</v>
      </c>
      <c r="AG4" s="32" t="s">
        <v>14</v>
      </c>
      <c r="AH4" s="32" t="s">
        <v>15</v>
      </c>
      <c r="AI4" s="32" t="s">
        <v>16</v>
      </c>
      <c r="AJ4" s="32" t="s">
        <v>17</v>
      </c>
      <c r="AK4" s="32" t="s">
        <v>18</v>
      </c>
      <c r="AL4" s="32" t="s">
        <v>19</v>
      </c>
      <c r="AM4" s="32" t="s">
        <v>688</v>
      </c>
      <c r="AN4" s="32" t="s">
        <v>20</v>
      </c>
      <c r="AO4" s="32" t="s">
        <v>21</v>
      </c>
      <c r="AP4" s="32" t="s">
        <v>22</v>
      </c>
      <c r="AQ4" s="32" t="s">
        <v>23</v>
      </c>
    </row>
    <row r="5" spans="2:43" x14ac:dyDescent="0.3">
      <c r="B5" s="32" t="s">
        <v>985</v>
      </c>
      <c r="C5" s="32" t="s">
        <v>29</v>
      </c>
      <c r="D5" s="32"/>
      <c r="G5" s="32">
        <v>1</v>
      </c>
      <c r="K5" s="32" t="s">
        <v>49</v>
      </c>
      <c r="N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12">
        <v>1</v>
      </c>
      <c r="P5" s="10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32" t="s">
        <v>38</v>
      </c>
      <c r="R5" s="32">
        <v>7</v>
      </c>
      <c r="S5" s="32" t="b">
        <v>1</v>
      </c>
      <c r="T5" s="32" t="s">
        <v>30</v>
      </c>
      <c r="U5" s="32" t="s">
        <v>30</v>
      </c>
      <c r="V5" s="32" t="s">
        <v>30</v>
      </c>
      <c r="W5" s="32" t="s">
        <v>30</v>
      </c>
    </row>
    <row r="6" spans="2:43" x14ac:dyDescent="0.3">
      <c r="B6" s="32" t="s">
        <v>580</v>
      </c>
      <c r="C6" s="32" t="s">
        <v>29</v>
      </c>
      <c r="D6" s="32"/>
      <c r="G6" s="32">
        <v>1</v>
      </c>
      <c r="K6" s="32" t="s">
        <v>49</v>
      </c>
      <c r="N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12">
        <v>2</v>
      </c>
      <c r="P6" s="10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32" t="s">
        <v>38</v>
      </c>
      <c r="R6" s="32">
        <v>7</v>
      </c>
      <c r="S6" s="32" t="b">
        <v>1</v>
      </c>
      <c r="T6" s="32" t="s">
        <v>30</v>
      </c>
      <c r="U6" s="32" t="s">
        <v>30</v>
      </c>
      <c r="V6" s="32" t="s">
        <v>30</v>
      </c>
      <c r="W6" s="32" t="s">
        <v>30</v>
      </c>
      <c r="X6" s="32" t="s">
        <v>30</v>
      </c>
      <c r="Y6" s="32" t="s">
        <v>30</v>
      </c>
    </row>
    <row r="7" spans="2:43" x14ac:dyDescent="0.3">
      <c r="B7" s="32" t="s">
        <v>580</v>
      </c>
      <c r="C7" s="32" t="s">
        <v>29</v>
      </c>
      <c r="D7" s="32"/>
      <c r="G7" s="32">
        <v>1</v>
      </c>
      <c r="K7" s="32" t="s">
        <v>49</v>
      </c>
      <c r="N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12">
        <v>3</v>
      </c>
      <c r="P7" s="10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32" t="s">
        <v>38</v>
      </c>
      <c r="R7" s="32">
        <v>7</v>
      </c>
      <c r="S7" s="32" t="b">
        <v>1</v>
      </c>
      <c r="T7" s="32" t="s">
        <v>30</v>
      </c>
      <c r="U7" s="32" t="s">
        <v>30</v>
      </c>
      <c r="V7" s="32" t="s">
        <v>30</v>
      </c>
      <c r="W7" s="32" t="s">
        <v>30</v>
      </c>
      <c r="X7" s="32" t="s">
        <v>30</v>
      </c>
      <c r="Y7" s="32" t="s">
        <v>30</v>
      </c>
      <c r="Z7" s="32" t="s">
        <v>30</v>
      </c>
      <c r="AA7" s="32" t="s">
        <v>30</v>
      </c>
    </row>
    <row r="8" spans="2:43" x14ac:dyDescent="0.3">
      <c r="B8" s="32" t="s">
        <v>580</v>
      </c>
      <c r="C8" s="32" t="s">
        <v>29</v>
      </c>
      <c r="D8" s="32"/>
      <c r="G8" s="32">
        <v>1</v>
      </c>
      <c r="K8" s="32" t="s">
        <v>49</v>
      </c>
      <c r="N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12">
        <v>4</v>
      </c>
      <c r="P8" s="10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32" t="s">
        <v>38</v>
      </c>
      <c r="R8" s="32">
        <v>7</v>
      </c>
    </row>
    <row r="9" spans="2:43" x14ac:dyDescent="0.3">
      <c r="B9" s="32" t="s">
        <v>580</v>
      </c>
      <c r="C9" s="32" t="s">
        <v>29</v>
      </c>
      <c r="D9" s="32"/>
      <c r="G9" s="32">
        <v>1</v>
      </c>
      <c r="K9" s="32" t="s">
        <v>158</v>
      </c>
      <c r="N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12"/>
      <c r="P9" s="10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32" t="s">
        <v>623</v>
      </c>
      <c r="R9" s="32">
        <v>7</v>
      </c>
    </row>
    <row r="10" spans="2:43" x14ac:dyDescent="0.3">
      <c r="B10" s="32" t="s">
        <v>580</v>
      </c>
      <c r="C10" s="32" t="s">
        <v>29</v>
      </c>
      <c r="D10" s="32"/>
      <c r="G10" s="32">
        <v>1</v>
      </c>
      <c r="K10" s="32" t="s">
        <v>161</v>
      </c>
      <c r="N1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12"/>
      <c r="P10" s="10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32" t="s">
        <v>623</v>
      </c>
      <c r="R10" s="32">
        <v>7</v>
      </c>
    </row>
    <row r="11" spans="2:43" x14ac:dyDescent="0.3">
      <c r="B11" s="32" t="s">
        <v>580</v>
      </c>
      <c r="C11" s="32" t="s">
        <v>29</v>
      </c>
      <c r="D11" s="32"/>
      <c r="G11" s="32">
        <v>1</v>
      </c>
      <c r="K11" s="32" t="s">
        <v>163</v>
      </c>
      <c r="N1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12"/>
      <c r="P11" s="10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32" t="s">
        <v>623</v>
      </c>
      <c r="R11" s="32">
        <v>7</v>
      </c>
    </row>
    <row r="12" spans="2:43" x14ac:dyDescent="0.3">
      <c r="B12" s="32" t="s">
        <v>580</v>
      </c>
      <c r="C12" s="32" t="s">
        <v>33</v>
      </c>
      <c r="D12" s="32"/>
      <c r="G12" s="32">
        <v>1</v>
      </c>
      <c r="K12" s="32" t="s">
        <v>162</v>
      </c>
      <c r="N1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12"/>
      <c r="P12" s="10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32" t="s">
        <v>702</v>
      </c>
      <c r="R12" s="32">
        <v>7</v>
      </c>
    </row>
    <row r="13" spans="2:43" x14ac:dyDescent="0.3">
      <c r="B13" s="32" t="s">
        <v>580</v>
      </c>
      <c r="C13" s="32" t="s">
        <v>33</v>
      </c>
      <c r="D13" s="32"/>
      <c r="G13" s="32">
        <v>1</v>
      </c>
      <c r="K13" s="32" t="s">
        <v>49</v>
      </c>
      <c r="N1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12"/>
      <c r="P13" s="10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32" t="s">
        <v>623</v>
      </c>
      <c r="R13" s="32">
        <v>7</v>
      </c>
    </row>
    <row r="14" spans="2:43" x14ac:dyDescent="0.3">
      <c r="B14" s="32" t="s">
        <v>580</v>
      </c>
      <c r="C14" s="32" t="s">
        <v>33</v>
      </c>
      <c r="D14" s="32"/>
      <c r="G14" s="32">
        <v>1</v>
      </c>
      <c r="K14" s="32" t="s">
        <v>49</v>
      </c>
      <c r="N1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12">
        <v>1</v>
      </c>
      <c r="P14" s="10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2" t="s">
        <v>719</v>
      </c>
      <c r="R14" s="32">
        <v>7</v>
      </c>
      <c r="S14" s="32" t="b">
        <v>1</v>
      </c>
      <c r="T14" s="32" t="s">
        <v>30</v>
      </c>
      <c r="U14" s="32" t="s">
        <v>30</v>
      </c>
      <c r="V14" s="32" t="s">
        <v>30</v>
      </c>
      <c r="W14" s="32" t="s">
        <v>30</v>
      </c>
      <c r="X14" s="32" t="s">
        <v>30</v>
      </c>
      <c r="Y14" s="32" t="s">
        <v>30</v>
      </c>
      <c r="Z14" s="32" t="s">
        <v>30</v>
      </c>
      <c r="AA14" s="32" t="s">
        <v>30</v>
      </c>
    </row>
    <row r="15" spans="2:43" x14ac:dyDescent="0.3">
      <c r="B15" s="32" t="s">
        <v>580</v>
      </c>
      <c r="C15" s="32" t="s">
        <v>33</v>
      </c>
      <c r="D15" s="32"/>
      <c r="G15" s="32">
        <v>1</v>
      </c>
      <c r="K15" s="32" t="s">
        <v>160</v>
      </c>
      <c r="N1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12"/>
      <c r="P15" s="10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32" t="s">
        <v>623</v>
      </c>
      <c r="R15" s="32">
        <v>7</v>
      </c>
    </row>
    <row r="16" spans="2:43" x14ac:dyDescent="0.3">
      <c r="B16" s="32" t="s">
        <v>580</v>
      </c>
      <c r="C16" s="32" t="s">
        <v>33</v>
      </c>
      <c r="D16" s="32"/>
      <c r="G16" s="32">
        <v>2</v>
      </c>
      <c r="K16" s="32" t="s">
        <v>49</v>
      </c>
      <c r="L16" s="32" t="s">
        <v>162</v>
      </c>
      <c r="N1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12"/>
      <c r="P16" s="10" t="str">
        <f>tbGroup[[#This Row],[Camp]]&amp;"-"&amp;tbGroup[[#This Row],[Difficulty]]&amp;"-"&amp;GET_GROUP_NAME(tbGroup[[#This Row],[IsBoss]],tbGroup[[#This Row],[Hero1]:[Soldier3]])&amp;tbGroup[[#This Row],[Suffix]]</f>
        <v>黄巾-普通-教徒+法兵</v>
      </c>
      <c r="Q16" s="32" t="s">
        <v>40</v>
      </c>
      <c r="R16" s="32">
        <v>7</v>
      </c>
    </row>
    <row r="17" spans="2:29" x14ac:dyDescent="0.3">
      <c r="B17" s="32" t="s">
        <v>580</v>
      </c>
      <c r="C17" s="32" t="s">
        <v>33</v>
      </c>
      <c r="D17" s="32"/>
      <c r="F17" s="32">
        <v>1</v>
      </c>
      <c r="G17" s="32">
        <v>1</v>
      </c>
      <c r="H17" s="32" t="s">
        <v>455</v>
      </c>
      <c r="K17" s="32" t="s">
        <v>164</v>
      </c>
      <c r="N1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12"/>
      <c r="P17" s="10" t="str">
        <f>tbGroup[[#This Row],[Camp]]&amp;"-"&amp;tbGroup[[#This Row],[Difficulty]]&amp;"-"&amp;GET_GROUP_NAME(tbGroup[[#This Row],[IsBoss]],tbGroup[[#This Row],[Hero1]:[Soldier3]])&amp;tbGroup[[#This Row],[Suffix]]</f>
        <v>黄巾-普通-强英+教徒</v>
      </c>
      <c r="Q17" s="32" t="s">
        <v>40</v>
      </c>
      <c r="R17" s="32">
        <v>0</v>
      </c>
    </row>
    <row r="18" spans="2:29" x14ac:dyDescent="0.3">
      <c r="B18" s="32" t="s">
        <v>580</v>
      </c>
      <c r="C18" s="32" t="s">
        <v>33</v>
      </c>
      <c r="D18" s="32"/>
      <c r="G18" s="32">
        <v>1</v>
      </c>
      <c r="K18" s="32" t="s">
        <v>701</v>
      </c>
      <c r="N1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12"/>
      <c r="P18" s="10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8" s="32" t="s">
        <v>702</v>
      </c>
      <c r="R18" s="32">
        <v>7</v>
      </c>
    </row>
    <row r="19" spans="2:29" x14ac:dyDescent="0.3">
      <c r="B19" s="32" t="s">
        <v>580</v>
      </c>
      <c r="C19" s="32" t="s">
        <v>33</v>
      </c>
      <c r="D19" s="32"/>
      <c r="G19" s="32">
        <v>1</v>
      </c>
      <c r="K19" s="32" t="s">
        <v>630</v>
      </c>
      <c r="N1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12"/>
      <c r="P19" s="10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9" s="32" t="s">
        <v>702</v>
      </c>
      <c r="R19" s="32">
        <v>7</v>
      </c>
    </row>
    <row r="20" spans="2:29" x14ac:dyDescent="0.3">
      <c r="B20" s="32" t="s">
        <v>580</v>
      </c>
      <c r="C20" s="32" t="s">
        <v>33</v>
      </c>
      <c r="D20" s="32"/>
      <c r="F20" s="32">
        <v>1</v>
      </c>
      <c r="H20" s="32" t="s">
        <v>156</v>
      </c>
      <c r="N2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12"/>
      <c r="P20" s="10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20" s="32" t="s">
        <v>40</v>
      </c>
      <c r="R20" s="32">
        <v>7</v>
      </c>
    </row>
    <row r="21" spans="2:29" x14ac:dyDescent="0.3">
      <c r="B21" s="32" t="s">
        <v>580</v>
      </c>
      <c r="C21" s="32" t="s">
        <v>33</v>
      </c>
      <c r="D21" s="32"/>
      <c r="F21" s="32">
        <v>1</v>
      </c>
      <c r="G21" s="32">
        <v>1</v>
      </c>
      <c r="H21" s="32" t="s">
        <v>156</v>
      </c>
      <c r="K21" s="32" t="s">
        <v>49</v>
      </c>
      <c r="N2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12"/>
      <c r="P21" s="10" t="str">
        <f>tbGroup[[#This Row],[Camp]]&amp;"-"&amp;tbGroup[[#This Row],[Difficulty]]&amp;"-"&amp;GET_GROUP_NAME(tbGroup[[#This Row],[IsBoss]],tbGroup[[#This Row],[Hero1]:[Soldier3]])&amp;tbGroup[[#This Row],[Suffix]]</f>
        <v>黄巾-普通-法英+教徒</v>
      </c>
      <c r="Q21" s="32" t="s">
        <v>40</v>
      </c>
      <c r="R21" s="32">
        <v>7</v>
      </c>
    </row>
    <row r="22" spans="2:29" x14ac:dyDescent="0.3">
      <c r="B22" s="32" t="s">
        <v>580</v>
      </c>
      <c r="C22" s="32" t="s">
        <v>33</v>
      </c>
      <c r="D22" s="32"/>
      <c r="F22" s="32">
        <v>1</v>
      </c>
      <c r="H22" s="32" t="s">
        <v>460</v>
      </c>
      <c r="N2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12"/>
      <c r="P22" s="10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22" s="32" t="s">
        <v>685</v>
      </c>
      <c r="R22" s="32">
        <v>7</v>
      </c>
    </row>
    <row r="23" spans="2:29" x14ac:dyDescent="0.3">
      <c r="B23" s="32" t="s">
        <v>580</v>
      </c>
      <c r="C23" s="32" t="s">
        <v>33</v>
      </c>
      <c r="D23" s="32"/>
      <c r="F23" s="32">
        <v>2</v>
      </c>
      <c r="H23" s="32" t="s">
        <v>460</v>
      </c>
      <c r="I23" s="32" t="s">
        <v>457</v>
      </c>
      <c r="N2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12"/>
      <c r="P23" s="10" t="str">
        <f>tbGroup[[#This Row],[Camp]]&amp;"-"&amp;tbGroup[[#This Row],[Difficulty]]&amp;"-"&amp;GET_GROUP_NAME(tbGroup[[#This Row],[IsBoss]],tbGroup[[#This Row],[Hero1]:[Soldier3]])&amp;tbGroup[[#This Row],[Suffix]]</f>
        <v>黄巾-普通-盾英+法英</v>
      </c>
      <c r="Q23" s="32" t="s">
        <v>685</v>
      </c>
      <c r="R23" s="32">
        <v>0</v>
      </c>
    </row>
    <row r="24" spans="2:29" x14ac:dyDescent="0.3">
      <c r="B24" s="32" t="s">
        <v>580</v>
      </c>
      <c r="C24" s="32" t="s">
        <v>33</v>
      </c>
      <c r="D24" s="32"/>
      <c r="G24" s="32">
        <v>2</v>
      </c>
      <c r="K24" s="32" t="s">
        <v>158</v>
      </c>
      <c r="L24" s="32" t="s">
        <v>162</v>
      </c>
      <c r="N2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12"/>
      <c r="P24" s="10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4" s="32" t="s">
        <v>40</v>
      </c>
      <c r="R24" s="32">
        <v>7</v>
      </c>
    </row>
    <row r="25" spans="2:29" x14ac:dyDescent="0.3">
      <c r="B25" s="32" t="s">
        <v>580</v>
      </c>
      <c r="C25" s="32" t="s">
        <v>33</v>
      </c>
      <c r="D25" s="32"/>
      <c r="G25" s="32">
        <v>2</v>
      </c>
      <c r="K25" s="32" t="s">
        <v>158</v>
      </c>
      <c r="L25" s="32" t="s">
        <v>160</v>
      </c>
      <c r="N2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12"/>
      <c r="P25" s="10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5" s="32" t="s">
        <v>40</v>
      </c>
      <c r="R25" s="32">
        <v>7</v>
      </c>
    </row>
    <row r="26" spans="2:29" x14ac:dyDescent="0.3">
      <c r="B26" s="32" t="s">
        <v>580</v>
      </c>
      <c r="C26" s="32" t="s">
        <v>33</v>
      </c>
      <c r="D26" s="32"/>
      <c r="F26" s="32">
        <v>1</v>
      </c>
      <c r="H26" s="32" t="s">
        <v>152</v>
      </c>
      <c r="N2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12"/>
      <c r="P26" s="10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6" s="32" t="s">
        <v>40</v>
      </c>
      <c r="R26" s="32">
        <v>7</v>
      </c>
    </row>
    <row r="27" spans="2:29" x14ac:dyDescent="0.3">
      <c r="B27" s="32" t="s">
        <v>580</v>
      </c>
      <c r="C27" s="32" t="s">
        <v>35</v>
      </c>
      <c r="D27" s="32"/>
      <c r="G27" s="32">
        <v>1</v>
      </c>
      <c r="K27" s="32" t="s">
        <v>49</v>
      </c>
      <c r="N2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12"/>
      <c r="P27" s="10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7" s="32" t="s">
        <v>38</v>
      </c>
      <c r="R27" s="32">
        <v>7</v>
      </c>
      <c r="S27" s="32" t="b">
        <v>1</v>
      </c>
      <c r="T27" s="32" t="s">
        <v>30</v>
      </c>
      <c r="U27" s="32" t="s">
        <v>30</v>
      </c>
      <c r="V27" s="32" t="s">
        <v>30</v>
      </c>
      <c r="W27" s="32" t="s">
        <v>30</v>
      </c>
      <c r="X27" s="32" t="s">
        <v>30</v>
      </c>
      <c r="Y27" s="32" t="s">
        <v>30</v>
      </c>
      <c r="Z27" s="32" t="s">
        <v>30</v>
      </c>
      <c r="AA27" s="32" t="s">
        <v>30</v>
      </c>
      <c r="AB27" s="32" t="s">
        <v>30</v>
      </c>
      <c r="AC27" s="32" t="s">
        <v>30</v>
      </c>
    </row>
    <row r="28" spans="2:29" x14ac:dyDescent="0.3">
      <c r="B28" s="32" t="s">
        <v>580</v>
      </c>
      <c r="C28" s="32" t="s">
        <v>35</v>
      </c>
      <c r="D28" s="32"/>
      <c r="F28" s="32">
        <v>1</v>
      </c>
      <c r="H28" s="32" t="s">
        <v>153</v>
      </c>
      <c r="N2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12"/>
      <c r="P28" s="10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8" s="32" t="s">
        <v>40</v>
      </c>
      <c r="R28" s="32">
        <v>7</v>
      </c>
    </row>
    <row r="29" spans="2:29" x14ac:dyDescent="0.3">
      <c r="B29" s="32" t="s">
        <v>580</v>
      </c>
      <c r="C29" s="32" t="s">
        <v>35</v>
      </c>
      <c r="D29" s="32"/>
      <c r="F29" s="32">
        <v>1</v>
      </c>
      <c r="H29" s="32" t="s">
        <v>156</v>
      </c>
      <c r="N2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12"/>
      <c r="P29" s="10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9" s="32" t="s">
        <v>40</v>
      </c>
      <c r="R29" s="32">
        <v>7</v>
      </c>
    </row>
    <row r="30" spans="2:29" x14ac:dyDescent="0.3">
      <c r="B30" s="32" t="s">
        <v>580</v>
      </c>
      <c r="C30" s="32" t="s">
        <v>35</v>
      </c>
      <c r="D30" s="32"/>
      <c r="F30" s="32">
        <v>1</v>
      </c>
      <c r="H30" s="32" t="s">
        <v>156</v>
      </c>
      <c r="N3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12">
        <v>1</v>
      </c>
      <c r="P30" s="10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30" s="32" t="s">
        <v>40</v>
      </c>
      <c r="R30" s="32">
        <v>7</v>
      </c>
      <c r="S30" s="32" t="b">
        <v>1</v>
      </c>
      <c r="T30" s="32" t="s">
        <v>375</v>
      </c>
      <c r="U30" s="32" t="s">
        <v>32</v>
      </c>
      <c r="V30" s="32" t="s">
        <v>32</v>
      </c>
      <c r="W30" s="32" t="s">
        <v>32</v>
      </c>
      <c r="X30" s="32" t="s">
        <v>32</v>
      </c>
      <c r="Y30" s="32" t="s">
        <v>32</v>
      </c>
      <c r="Z30" s="32" t="s">
        <v>32</v>
      </c>
      <c r="AA30" s="32" t="s">
        <v>32</v>
      </c>
      <c r="AB30" s="32" t="s">
        <v>32</v>
      </c>
    </row>
    <row r="31" spans="2:29" x14ac:dyDescent="0.3">
      <c r="B31" s="32" t="s">
        <v>580</v>
      </c>
      <c r="C31" s="32" t="s">
        <v>35</v>
      </c>
      <c r="D31" s="32"/>
      <c r="F31" s="32">
        <v>1</v>
      </c>
      <c r="G31" s="32">
        <v>1</v>
      </c>
      <c r="H31" s="32" t="s">
        <v>156</v>
      </c>
      <c r="K31" s="32" t="s">
        <v>49</v>
      </c>
      <c r="N3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12"/>
      <c r="P31" s="10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31" s="32" t="s">
        <v>40</v>
      </c>
      <c r="R31" s="32">
        <v>7</v>
      </c>
    </row>
    <row r="32" spans="2:29" x14ac:dyDescent="0.3">
      <c r="B32" s="32" t="s">
        <v>580</v>
      </c>
      <c r="C32" s="32" t="s">
        <v>35</v>
      </c>
      <c r="D32" s="32"/>
      <c r="F32" s="32">
        <v>1</v>
      </c>
      <c r="G32" s="32">
        <v>1</v>
      </c>
      <c r="H32" s="32" t="s">
        <v>156</v>
      </c>
      <c r="K32" s="32" t="s">
        <v>49</v>
      </c>
      <c r="N3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12">
        <v>1</v>
      </c>
      <c r="P32" s="10" t="str">
        <f>tbGroup[[#This Row],[Camp]]&amp;"-"&amp;tbGroup[[#This Row],[Difficulty]]&amp;"-"&amp;GET_GROUP_NAME(tbGroup[[#This Row],[IsBoss]],tbGroup[[#This Row],[Hero1]:[Soldier3]])&amp;tbGroup[[#This Row],[Suffix]]</f>
        <v>黄巾-困难-法英+教徒1</v>
      </c>
      <c r="Q32" s="32" t="s">
        <v>40</v>
      </c>
      <c r="R32" s="32">
        <v>0</v>
      </c>
      <c r="S32" s="32" t="b">
        <v>1</v>
      </c>
      <c r="T32" s="32" t="s">
        <v>375</v>
      </c>
      <c r="U32" s="32" t="s">
        <v>32</v>
      </c>
      <c r="V32" s="32" t="s">
        <v>32</v>
      </c>
      <c r="W32" s="32" t="s">
        <v>30</v>
      </c>
      <c r="X32" s="32" t="s">
        <v>30</v>
      </c>
      <c r="Y32" s="32" t="s">
        <v>30</v>
      </c>
    </row>
    <row r="33" spans="2:23" x14ac:dyDescent="0.3">
      <c r="B33" s="32" t="s">
        <v>580</v>
      </c>
      <c r="C33" s="32" t="s">
        <v>35</v>
      </c>
      <c r="D33" s="32"/>
      <c r="F33" s="32">
        <v>1</v>
      </c>
      <c r="G33" s="32">
        <v>1</v>
      </c>
      <c r="H33" s="32" t="s">
        <v>154</v>
      </c>
      <c r="K33" s="32" t="s">
        <v>49</v>
      </c>
      <c r="N3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12"/>
      <c r="P33" s="10" t="str">
        <f>tbGroup[[#This Row],[Camp]]&amp;"-"&amp;tbGroup[[#This Row],[Difficulty]]&amp;"-"&amp;GET_GROUP_NAME(tbGroup[[#This Row],[IsBoss]],tbGroup[[#This Row],[Hero1]:[Soldier3]])&amp;tbGroup[[#This Row],[Suffix]]</f>
        <v>黄巾-困难-强英+教徒</v>
      </c>
      <c r="Q33" s="32" t="s">
        <v>40</v>
      </c>
      <c r="R33" s="32">
        <v>0</v>
      </c>
    </row>
    <row r="34" spans="2:23" x14ac:dyDescent="0.3">
      <c r="B34" s="32" t="s">
        <v>580</v>
      </c>
      <c r="C34" s="32" t="s">
        <v>35</v>
      </c>
      <c r="D34" s="32"/>
      <c r="E34" s="32" t="b">
        <v>1</v>
      </c>
      <c r="F34" s="32">
        <v>1</v>
      </c>
      <c r="G34" s="32">
        <v>1</v>
      </c>
      <c r="H34" s="32" t="s">
        <v>156</v>
      </c>
      <c r="K34" s="32" t="s">
        <v>160</v>
      </c>
      <c r="N3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12"/>
      <c r="P34" s="10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34" s="32" t="s">
        <v>40</v>
      </c>
      <c r="R34" s="32">
        <v>7</v>
      </c>
    </row>
    <row r="35" spans="2:23" x14ac:dyDescent="0.3">
      <c r="B35" s="32" t="s">
        <v>580</v>
      </c>
      <c r="C35" s="32" t="s">
        <v>35</v>
      </c>
      <c r="D35" s="32"/>
      <c r="E35" s="32" t="b">
        <v>1</v>
      </c>
      <c r="F35" s="32">
        <v>1</v>
      </c>
      <c r="G35" s="32">
        <v>1</v>
      </c>
      <c r="H35" s="32" t="s">
        <v>156</v>
      </c>
      <c r="K35" s="32" t="s">
        <v>49</v>
      </c>
      <c r="N3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12"/>
      <c r="P35" s="10" t="str">
        <f>tbGroup[[#This Row],[Camp]]&amp;"-"&amp;tbGroup[[#This Row],[Difficulty]]&amp;"-"&amp;GET_GROUP_NAME(tbGroup[[#This Row],[IsBoss]],tbGroup[[#This Row],[Hero1]:[Soldier3]])&amp;tbGroup[[#This Row],[Suffix]]</f>
        <v>黄巾-困难-[B]法英+教徒</v>
      </c>
      <c r="Q35" s="32" t="s">
        <v>40</v>
      </c>
      <c r="R35" s="32">
        <v>7</v>
      </c>
    </row>
    <row r="36" spans="2:23" x14ac:dyDescent="0.3">
      <c r="B36" s="32" t="s">
        <v>580</v>
      </c>
      <c r="C36" s="32" t="s">
        <v>35</v>
      </c>
      <c r="D36" s="32"/>
      <c r="E36" s="32" t="b">
        <v>1</v>
      </c>
      <c r="F36" s="32">
        <v>1</v>
      </c>
      <c r="H36" s="32" t="s">
        <v>156</v>
      </c>
      <c r="N3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12"/>
      <c r="P36" s="10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36" s="32" t="s">
        <v>40</v>
      </c>
      <c r="R36" s="32">
        <v>7</v>
      </c>
    </row>
    <row r="37" spans="2:23" x14ac:dyDescent="0.3">
      <c r="B37" s="32" t="s">
        <v>580</v>
      </c>
      <c r="C37" s="32" t="s">
        <v>35</v>
      </c>
      <c r="D37" s="32"/>
      <c r="E37" s="32" t="b">
        <v>1</v>
      </c>
      <c r="F37" s="32">
        <v>2</v>
      </c>
      <c r="H37" s="32" t="s">
        <v>152</v>
      </c>
      <c r="I37" s="32" t="s">
        <v>156</v>
      </c>
      <c r="N3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12"/>
      <c r="P37" s="10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7" s="32" t="s">
        <v>40</v>
      </c>
      <c r="R37" s="32">
        <v>7</v>
      </c>
    </row>
    <row r="38" spans="2:23" x14ac:dyDescent="0.3">
      <c r="B38" s="32" t="s">
        <v>580</v>
      </c>
      <c r="C38" s="32" t="s">
        <v>35</v>
      </c>
      <c r="D38" s="32"/>
      <c r="F38" s="32">
        <v>3</v>
      </c>
      <c r="H38" s="32" t="s">
        <v>460</v>
      </c>
      <c r="I38" s="32" t="s">
        <v>457</v>
      </c>
      <c r="J38" s="32" t="s">
        <v>457</v>
      </c>
      <c r="N3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12"/>
      <c r="P38" s="10" t="str">
        <f>tbGroup[[#This Row],[Camp]]&amp;"-"&amp;tbGroup[[#This Row],[Difficulty]]&amp;"-"&amp;GET_GROUP_NAME(tbGroup[[#This Row],[IsBoss]],tbGroup[[#This Row],[Hero1]:[Soldier3]])&amp;tbGroup[[#This Row],[Suffix]]</f>
        <v>黄巾-困难-盾英+法英+法英</v>
      </c>
      <c r="Q38" s="32" t="s">
        <v>685</v>
      </c>
      <c r="R38" s="32">
        <v>0</v>
      </c>
    </row>
    <row r="39" spans="2:23" x14ac:dyDescent="0.3">
      <c r="B39" s="32" t="s">
        <v>580</v>
      </c>
      <c r="C39" s="32" t="s">
        <v>35</v>
      </c>
      <c r="D39" s="32"/>
      <c r="E39" s="32" t="b">
        <v>1</v>
      </c>
      <c r="F39" s="32">
        <v>1</v>
      </c>
      <c r="H39" s="32" t="s">
        <v>152</v>
      </c>
      <c r="N3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12"/>
      <c r="P39" s="10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9" s="32" t="s">
        <v>40</v>
      </c>
      <c r="R39" s="32">
        <v>7</v>
      </c>
    </row>
    <row r="40" spans="2:23" x14ac:dyDescent="0.3">
      <c r="B40" s="32" t="s">
        <v>580</v>
      </c>
      <c r="C40" s="32" t="s">
        <v>35</v>
      </c>
      <c r="D40" s="32"/>
      <c r="E40" s="32" t="b">
        <v>1</v>
      </c>
      <c r="F40" s="32">
        <v>1</v>
      </c>
      <c r="H40" s="32" t="s">
        <v>460</v>
      </c>
      <c r="N4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12"/>
      <c r="P40" s="10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40" s="32" t="s">
        <v>40</v>
      </c>
      <c r="R40" s="32">
        <v>7</v>
      </c>
    </row>
    <row r="41" spans="2:23" x14ac:dyDescent="0.3">
      <c r="B41" s="32" t="s">
        <v>580</v>
      </c>
      <c r="C41" s="32" t="s">
        <v>35</v>
      </c>
      <c r="D41" s="32"/>
      <c r="E41" s="32" t="b">
        <v>1</v>
      </c>
      <c r="F41" s="32">
        <v>1</v>
      </c>
      <c r="G41" s="32">
        <v>1</v>
      </c>
      <c r="H41" s="32" t="s">
        <v>460</v>
      </c>
      <c r="K41" s="32" t="s">
        <v>752</v>
      </c>
      <c r="N4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12"/>
      <c r="P41" s="10" t="str">
        <f>tbGroup[[#This Row],[Camp]]&amp;"-"&amp;tbGroup[[#This Row],[Difficulty]]&amp;"-"&amp;GET_GROUP_NAME(tbGroup[[#This Row],[IsBoss]],tbGroup[[#This Row],[Hero1]:[Soldier3]])&amp;tbGroup[[#This Row],[Suffix]]</f>
        <v>黄巾-困难-[B]盾英+法兵</v>
      </c>
      <c r="Q41" s="32" t="s">
        <v>40</v>
      </c>
      <c r="R41" s="32">
        <v>7</v>
      </c>
    </row>
    <row r="42" spans="2:23" x14ac:dyDescent="0.3">
      <c r="B42" s="32" t="s">
        <v>580</v>
      </c>
      <c r="C42" s="32" t="s">
        <v>35</v>
      </c>
      <c r="D42" s="32"/>
      <c r="E42" s="32" t="b">
        <v>1</v>
      </c>
      <c r="F42" s="32">
        <v>1</v>
      </c>
      <c r="G42" s="32">
        <v>1</v>
      </c>
      <c r="H42" s="32" t="s">
        <v>153</v>
      </c>
      <c r="K42" s="32" t="s">
        <v>162</v>
      </c>
      <c r="N4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12">
        <v>1</v>
      </c>
      <c r="P42" s="10" t="str">
        <f>tbGroup[[#This Row],[Camp]]&amp;"-"&amp;tbGroup[[#This Row],[Difficulty]]&amp;"-"&amp;GET_GROUP_NAME(tbGroup[[#This Row],[IsBoss]],tbGroup[[#This Row],[Hero1]:[Soldier3]])&amp;tbGroup[[#This Row],[Suffix]]</f>
        <v>黄巾-困难-[B]盾英+法兵1</v>
      </c>
      <c r="Q42" s="32" t="s">
        <v>40</v>
      </c>
      <c r="R42" s="32">
        <v>0</v>
      </c>
      <c r="S42" s="32" t="b">
        <v>1</v>
      </c>
      <c r="T42" s="32" t="s">
        <v>692</v>
      </c>
      <c r="U42" s="32" t="s">
        <v>32</v>
      </c>
      <c r="V42" s="32" t="s">
        <v>32</v>
      </c>
      <c r="W42" s="32" t="s">
        <v>32</v>
      </c>
    </row>
    <row r="43" spans="2:23" x14ac:dyDescent="0.3">
      <c r="B43" s="32" t="s">
        <v>580</v>
      </c>
      <c r="C43" s="32" t="s">
        <v>35</v>
      </c>
      <c r="D43" s="32"/>
      <c r="E43" s="32" t="b">
        <v>1</v>
      </c>
      <c r="F43" s="32">
        <v>1</v>
      </c>
      <c r="H43" s="32" t="s">
        <v>455</v>
      </c>
      <c r="N4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12"/>
      <c r="P43" s="10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43" s="32" t="s">
        <v>40</v>
      </c>
      <c r="R43" s="32">
        <v>7</v>
      </c>
    </row>
    <row r="44" spans="2:23" x14ac:dyDescent="0.3">
      <c r="B44" s="32" t="s">
        <v>580</v>
      </c>
      <c r="C44" s="32" t="s">
        <v>35</v>
      </c>
      <c r="D44" s="32"/>
      <c r="G44" s="32">
        <v>2</v>
      </c>
      <c r="K44" s="32" t="s">
        <v>158</v>
      </c>
      <c r="L44" s="32" t="s">
        <v>162</v>
      </c>
      <c r="N4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12"/>
      <c r="P44" s="10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44" s="32" t="s">
        <v>40</v>
      </c>
      <c r="R44" s="32">
        <v>7</v>
      </c>
    </row>
    <row r="45" spans="2:23" x14ac:dyDescent="0.3">
      <c r="B45" s="32" t="s">
        <v>580</v>
      </c>
      <c r="C45" s="32" t="s">
        <v>35</v>
      </c>
      <c r="D45" s="32"/>
      <c r="F45" s="32">
        <v>1</v>
      </c>
      <c r="H45" s="32" t="s">
        <v>152</v>
      </c>
      <c r="N4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12"/>
      <c r="P45" s="10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45" s="32" t="s">
        <v>40</v>
      </c>
      <c r="R45" s="32">
        <v>7</v>
      </c>
    </row>
    <row r="46" spans="2:23" x14ac:dyDescent="0.3">
      <c r="B46" s="32" t="s">
        <v>580</v>
      </c>
      <c r="C46" s="32" t="s">
        <v>36</v>
      </c>
      <c r="D46" s="32"/>
      <c r="E46" s="32" t="b">
        <v>1</v>
      </c>
      <c r="F46" s="32">
        <v>3</v>
      </c>
      <c r="H46" s="32" t="s">
        <v>460</v>
      </c>
      <c r="I46" s="32" t="s">
        <v>457</v>
      </c>
      <c r="J46" s="32" t="s">
        <v>457</v>
      </c>
      <c r="N4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12"/>
      <c r="P46" s="10" t="str">
        <f>tbGroup[[#This Row],[Camp]]&amp;"-"&amp;tbGroup[[#This Row],[Difficulty]]&amp;"-"&amp;GET_GROUP_NAME(tbGroup[[#This Row],[IsBoss]],tbGroup[[#This Row],[Hero1]:[Soldier3]])&amp;tbGroup[[#This Row],[Suffix]]</f>
        <v>黄巾-超难-[B]盾英+法英+法英</v>
      </c>
      <c r="Q46" s="32" t="s">
        <v>40</v>
      </c>
      <c r="R46" s="32">
        <v>7</v>
      </c>
    </row>
    <row r="47" spans="2:23" x14ac:dyDescent="0.3">
      <c r="B47" s="32" t="s">
        <v>580</v>
      </c>
      <c r="C47" s="32" t="s">
        <v>36</v>
      </c>
      <c r="D47" s="32"/>
      <c r="E47" s="32" t="b">
        <v>1</v>
      </c>
      <c r="F47" s="32">
        <v>3</v>
      </c>
      <c r="H47" s="32" t="s">
        <v>460</v>
      </c>
      <c r="I47" s="32" t="s">
        <v>457</v>
      </c>
      <c r="J47" s="32" t="s">
        <v>157</v>
      </c>
      <c r="N4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12"/>
      <c r="P47" s="10" t="str">
        <f>tbGroup[[#This Row],[Camp]]&amp;"-"&amp;tbGroup[[#This Row],[Difficulty]]&amp;"-"&amp;GET_GROUP_NAME(tbGroup[[#This Row],[IsBoss]],tbGroup[[#This Row],[Hero1]:[Soldier3]])&amp;tbGroup[[#This Row],[Suffix]]</f>
        <v>黄巾-超难-[B]盾英+法英+刺英</v>
      </c>
      <c r="Q47" s="32" t="s">
        <v>40</v>
      </c>
      <c r="R47" s="32">
        <v>0</v>
      </c>
    </row>
    <row r="48" spans="2:23" x14ac:dyDescent="0.3">
      <c r="B48" s="32" t="s">
        <v>151</v>
      </c>
      <c r="C48" s="32" t="s">
        <v>29</v>
      </c>
      <c r="D48" s="32" t="s">
        <v>165</v>
      </c>
      <c r="G48" s="32">
        <v>1</v>
      </c>
      <c r="K48" s="32" t="s">
        <v>158</v>
      </c>
      <c r="N4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12"/>
      <c r="P48" s="10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48" s="32" t="s">
        <v>40</v>
      </c>
      <c r="R48" s="32">
        <v>7</v>
      </c>
    </row>
    <row r="49" spans="2:18" x14ac:dyDescent="0.3">
      <c r="B49" s="32" t="s">
        <v>151</v>
      </c>
      <c r="C49" s="32" t="s">
        <v>29</v>
      </c>
      <c r="D49" s="32" t="s">
        <v>165</v>
      </c>
      <c r="G49" s="32">
        <v>1</v>
      </c>
      <c r="K49" s="32" t="s">
        <v>159</v>
      </c>
      <c r="N4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12"/>
      <c r="P49" s="10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49" s="32" t="s">
        <v>40</v>
      </c>
      <c r="R49" s="32">
        <v>7</v>
      </c>
    </row>
    <row r="50" spans="2:18" x14ac:dyDescent="0.3">
      <c r="B50" s="32" t="s">
        <v>151</v>
      </c>
      <c r="C50" s="32" t="s">
        <v>29</v>
      </c>
      <c r="D50" s="32" t="s">
        <v>165</v>
      </c>
      <c r="G50" s="32">
        <v>1</v>
      </c>
      <c r="K50" s="32" t="s">
        <v>160</v>
      </c>
      <c r="N5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12"/>
      <c r="P50" s="10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50" s="32" t="s">
        <v>40</v>
      </c>
      <c r="R50" s="32">
        <v>7</v>
      </c>
    </row>
    <row r="51" spans="2:18" x14ac:dyDescent="0.3">
      <c r="B51" s="32" t="s">
        <v>151</v>
      </c>
      <c r="C51" s="32" t="s">
        <v>29</v>
      </c>
      <c r="D51" s="32" t="s">
        <v>165</v>
      </c>
      <c r="G51" s="32">
        <v>1</v>
      </c>
      <c r="K51" s="32" t="s">
        <v>161</v>
      </c>
      <c r="N5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12"/>
      <c r="P51" s="10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51" s="32" t="s">
        <v>40</v>
      </c>
      <c r="R51" s="32">
        <v>7</v>
      </c>
    </row>
    <row r="52" spans="2:18" x14ac:dyDescent="0.3">
      <c r="B52" s="32" t="s">
        <v>151</v>
      </c>
      <c r="C52" s="32" t="s">
        <v>29</v>
      </c>
      <c r="D52" s="32" t="s">
        <v>165</v>
      </c>
      <c r="G52" s="32">
        <v>1</v>
      </c>
      <c r="K52" s="32" t="s">
        <v>162</v>
      </c>
      <c r="N5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12"/>
      <c r="P52" s="10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52" s="32" t="s">
        <v>40</v>
      </c>
      <c r="R52" s="32">
        <v>7</v>
      </c>
    </row>
    <row r="53" spans="2:18" x14ac:dyDescent="0.3">
      <c r="B53" s="32" t="s">
        <v>151</v>
      </c>
      <c r="C53" s="32" t="s">
        <v>29</v>
      </c>
      <c r="D53" s="32" t="s">
        <v>165</v>
      </c>
      <c r="G53" s="32">
        <v>1</v>
      </c>
      <c r="K53" s="32" t="s">
        <v>163</v>
      </c>
      <c r="N5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12"/>
      <c r="P53" s="10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53" s="32" t="s">
        <v>40</v>
      </c>
      <c r="R53" s="32">
        <v>7</v>
      </c>
    </row>
    <row r="54" spans="2:18" x14ac:dyDescent="0.3">
      <c r="B54" s="32" t="s">
        <v>151</v>
      </c>
      <c r="C54" s="32" t="s">
        <v>29</v>
      </c>
      <c r="D54" s="32" t="s">
        <v>165</v>
      </c>
      <c r="G54" s="32">
        <v>1</v>
      </c>
      <c r="K54" s="32" t="s">
        <v>49</v>
      </c>
      <c r="N5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12"/>
      <c r="P54" s="10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54" s="32" t="s">
        <v>40</v>
      </c>
      <c r="R54" s="32">
        <v>7</v>
      </c>
    </row>
    <row r="55" spans="2:18" x14ac:dyDescent="0.3">
      <c r="B55" s="32" t="s">
        <v>151</v>
      </c>
      <c r="C55" s="32" t="s">
        <v>29</v>
      </c>
      <c r="D55" s="32" t="s">
        <v>166</v>
      </c>
      <c r="G55" s="32">
        <v>2</v>
      </c>
      <c r="K55" s="32" t="s">
        <v>158</v>
      </c>
      <c r="L55" s="32" t="s">
        <v>161</v>
      </c>
      <c r="N5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12"/>
      <c r="P55" s="10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55" s="32" t="s">
        <v>40</v>
      </c>
      <c r="R55" s="32">
        <v>7</v>
      </c>
    </row>
    <row r="56" spans="2:18" x14ac:dyDescent="0.3">
      <c r="B56" s="32" t="s">
        <v>151</v>
      </c>
      <c r="C56" s="32" t="s">
        <v>29</v>
      </c>
      <c r="D56" s="32" t="s">
        <v>166</v>
      </c>
      <c r="G56" s="32">
        <v>2</v>
      </c>
      <c r="K56" s="32" t="s">
        <v>158</v>
      </c>
      <c r="L56" s="32" t="s">
        <v>160</v>
      </c>
      <c r="N5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12"/>
      <c r="P56" s="10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56" s="32" t="s">
        <v>40</v>
      </c>
      <c r="R56" s="32">
        <v>7</v>
      </c>
    </row>
    <row r="57" spans="2:18" x14ac:dyDescent="0.3">
      <c r="B57" s="32" t="s">
        <v>151</v>
      </c>
      <c r="C57" s="32" t="s">
        <v>29</v>
      </c>
      <c r="D57" s="32" t="s">
        <v>166</v>
      </c>
      <c r="G57" s="32">
        <v>2</v>
      </c>
      <c r="K57" s="32" t="s">
        <v>158</v>
      </c>
      <c r="L57" s="32" t="s">
        <v>162</v>
      </c>
      <c r="N5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12"/>
      <c r="P57" s="10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57" s="32" t="s">
        <v>40</v>
      </c>
      <c r="R57" s="32">
        <v>7</v>
      </c>
    </row>
    <row r="58" spans="2:18" x14ac:dyDescent="0.3">
      <c r="B58" s="32" t="s">
        <v>151</v>
      </c>
      <c r="C58" s="32" t="s">
        <v>29</v>
      </c>
      <c r="D58" s="32" t="s">
        <v>166</v>
      </c>
      <c r="G58" s="32">
        <v>2</v>
      </c>
      <c r="K58" s="32" t="s">
        <v>159</v>
      </c>
      <c r="L58" s="32" t="s">
        <v>161</v>
      </c>
      <c r="N5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12"/>
      <c r="P58" s="10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58" s="32" t="s">
        <v>40</v>
      </c>
      <c r="R58" s="32">
        <v>7</v>
      </c>
    </row>
    <row r="59" spans="2:18" x14ac:dyDescent="0.3">
      <c r="B59" s="32" t="s">
        <v>151</v>
      </c>
      <c r="C59" s="32" t="s">
        <v>29</v>
      </c>
      <c r="D59" s="32" t="s">
        <v>166</v>
      </c>
      <c r="G59" s="32">
        <v>2</v>
      </c>
      <c r="K59" s="32" t="s">
        <v>159</v>
      </c>
      <c r="L59" s="32" t="s">
        <v>160</v>
      </c>
      <c r="N5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12"/>
      <c r="P59" s="10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59" s="32" t="s">
        <v>40</v>
      </c>
      <c r="R59" s="32">
        <v>7</v>
      </c>
    </row>
    <row r="60" spans="2:18" x14ac:dyDescent="0.3">
      <c r="B60" s="32" t="s">
        <v>151</v>
      </c>
      <c r="C60" s="32" t="s">
        <v>29</v>
      </c>
      <c r="D60" s="32" t="s">
        <v>166</v>
      </c>
      <c r="G60" s="32">
        <v>2</v>
      </c>
      <c r="K60" s="32" t="s">
        <v>159</v>
      </c>
      <c r="L60" s="32" t="s">
        <v>162</v>
      </c>
      <c r="N6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12"/>
      <c r="P60" s="10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60" s="32" t="s">
        <v>40</v>
      </c>
      <c r="R60" s="32">
        <v>7</v>
      </c>
    </row>
    <row r="61" spans="2:18" x14ac:dyDescent="0.3">
      <c r="B61" s="32" t="s">
        <v>151</v>
      </c>
      <c r="C61" s="32" t="s">
        <v>33</v>
      </c>
      <c r="D61" s="32" t="s">
        <v>167</v>
      </c>
      <c r="G61" s="32">
        <v>1</v>
      </c>
      <c r="K61" s="32" t="s">
        <v>158</v>
      </c>
      <c r="N6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12"/>
      <c r="P61" s="10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61" s="32" t="s">
        <v>40</v>
      </c>
      <c r="R61" s="32">
        <v>7</v>
      </c>
    </row>
    <row r="62" spans="2:18" x14ac:dyDescent="0.3">
      <c r="B62" s="32" t="s">
        <v>151</v>
      </c>
      <c r="C62" s="32" t="s">
        <v>33</v>
      </c>
      <c r="D62" s="32" t="s">
        <v>167</v>
      </c>
      <c r="G62" s="32">
        <v>1</v>
      </c>
      <c r="K62" s="32" t="s">
        <v>159</v>
      </c>
      <c r="N6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12"/>
      <c r="P62" s="10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62" s="32" t="s">
        <v>40</v>
      </c>
      <c r="R62" s="32">
        <v>7</v>
      </c>
    </row>
    <row r="63" spans="2:18" x14ac:dyDescent="0.3">
      <c r="B63" s="32" t="s">
        <v>151</v>
      </c>
      <c r="C63" s="32" t="s">
        <v>33</v>
      </c>
      <c r="D63" s="32" t="s">
        <v>167</v>
      </c>
      <c r="G63" s="32">
        <v>1</v>
      </c>
      <c r="K63" s="32" t="s">
        <v>160</v>
      </c>
      <c r="N6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12"/>
      <c r="P63" s="10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63" s="32" t="s">
        <v>40</v>
      </c>
      <c r="R63" s="32">
        <v>7</v>
      </c>
    </row>
    <row r="64" spans="2:18" x14ac:dyDescent="0.3">
      <c r="B64" s="32" t="s">
        <v>151</v>
      </c>
      <c r="C64" s="32" t="s">
        <v>33</v>
      </c>
      <c r="D64" s="32" t="s">
        <v>167</v>
      </c>
      <c r="G64" s="32">
        <v>1</v>
      </c>
      <c r="K64" s="32" t="s">
        <v>161</v>
      </c>
      <c r="N6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12"/>
      <c r="P64" s="10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64" s="32" t="s">
        <v>40</v>
      </c>
      <c r="R64" s="32">
        <v>7</v>
      </c>
    </row>
    <row r="65" spans="2:22" x14ac:dyDescent="0.3">
      <c r="B65" s="32" t="s">
        <v>151</v>
      </c>
      <c r="C65" s="32" t="s">
        <v>33</v>
      </c>
      <c r="D65" s="32" t="s">
        <v>167</v>
      </c>
      <c r="G65" s="32">
        <v>1</v>
      </c>
      <c r="K65" s="32" t="s">
        <v>162</v>
      </c>
      <c r="N6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12"/>
      <c r="P65" s="10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65" s="32" t="s">
        <v>40</v>
      </c>
      <c r="R65" s="32">
        <v>7</v>
      </c>
    </row>
    <row r="66" spans="2:22" x14ac:dyDescent="0.3">
      <c r="B66" s="32" t="s">
        <v>151</v>
      </c>
      <c r="C66" s="32" t="s">
        <v>33</v>
      </c>
      <c r="D66" s="32" t="s">
        <v>167</v>
      </c>
      <c r="G66" s="32">
        <v>1</v>
      </c>
      <c r="K66" s="32" t="s">
        <v>163</v>
      </c>
      <c r="N6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12"/>
      <c r="P66" s="10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66" s="32" t="s">
        <v>40</v>
      </c>
      <c r="R66" s="32">
        <v>7</v>
      </c>
    </row>
    <row r="67" spans="2:22" x14ac:dyDescent="0.3">
      <c r="B67" s="32" t="s">
        <v>151</v>
      </c>
      <c r="C67" s="32" t="s">
        <v>33</v>
      </c>
      <c r="D67" s="32" t="s">
        <v>167</v>
      </c>
      <c r="G67" s="32">
        <v>1</v>
      </c>
      <c r="K67" s="32" t="s">
        <v>49</v>
      </c>
      <c r="N6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12"/>
      <c r="P67" s="10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67" s="32" t="s">
        <v>40</v>
      </c>
      <c r="R67" s="32">
        <v>7</v>
      </c>
    </row>
    <row r="68" spans="2:22" x14ac:dyDescent="0.3">
      <c r="B68" s="32" t="s">
        <v>151</v>
      </c>
      <c r="C68" s="32" t="s">
        <v>33</v>
      </c>
      <c r="D68" s="32" t="s">
        <v>168</v>
      </c>
      <c r="G68" s="32">
        <v>2</v>
      </c>
      <c r="K68" s="32" t="s">
        <v>158</v>
      </c>
      <c r="L68" s="32" t="s">
        <v>161</v>
      </c>
      <c r="N6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12"/>
      <c r="P68" s="10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68" s="32" t="s">
        <v>40</v>
      </c>
      <c r="R68" s="32">
        <v>7</v>
      </c>
    </row>
    <row r="69" spans="2:22" x14ac:dyDescent="0.3">
      <c r="B69" s="32" t="s">
        <v>151</v>
      </c>
      <c r="C69" s="32" t="s">
        <v>33</v>
      </c>
      <c r="D69" s="32" t="s">
        <v>168</v>
      </c>
      <c r="G69" s="32">
        <v>2</v>
      </c>
      <c r="K69" s="32" t="s">
        <v>158</v>
      </c>
      <c r="L69" s="32" t="s">
        <v>160</v>
      </c>
      <c r="N6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12"/>
      <c r="P69" s="10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69" s="32" t="s">
        <v>40</v>
      </c>
      <c r="R69" s="32">
        <v>7</v>
      </c>
    </row>
    <row r="70" spans="2:22" x14ac:dyDescent="0.3">
      <c r="B70" s="32" t="s">
        <v>151</v>
      </c>
      <c r="C70" s="32" t="s">
        <v>33</v>
      </c>
      <c r="D70" s="32" t="s">
        <v>168</v>
      </c>
      <c r="G70" s="32">
        <v>2</v>
      </c>
      <c r="K70" s="32" t="s">
        <v>158</v>
      </c>
      <c r="L70" s="32" t="s">
        <v>162</v>
      </c>
      <c r="N7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12"/>
      <c r="P70" s="10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70" s="32" t="s">
        <v>40</v>
      </c>
      <c r="R70" s="32">
        <v>7</v>
      </c>
    </row>
    <row r="71" spans="2:22" x14ac:dyDescent="0.3">
      <c r="B71" s="32" t="s">
        <v>151</v>
      </c>
      <c r="C71" s="32" t="s">
        <v>33</v>
      </c>
      <c r="D71" s="32" t="s">
        <v>626</v>
      </c>
      <c r="G71" s="32">
        <v>2</v>
      </c>
      <c r="K71" s="32" t="s">
        <v>158</v>
      </c>
      <c r="L71" s="32" t="s">
        <v>163</v>
      </c>
      <c r="N7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12"/>
      <c r="P71" s="10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71" s="32" t="s">
        <v>40</v>
      </c>
      <c r="R71" s="32">
        <v>7</v>
      </c>
    </row>
    <row r="72" spans="2:22" x14ac:dyDescent="0.3">
      <c r="B72" s="32" t="s">
        <v>151</v>
      </c>
      <c r="C72" s="32" t="s">
        <v>33</v>
      </c>
      <c r="D72" s="32" t="s">
        <v>168</v>
      </c>
      <c r="G72" s="32">
        <v>2</v>
      </c>
      <c r="K72" s="32" t="s">
        <v>159</v>
      </c>
      <c r="L72" s="32" t="s">
        <v>161</v>
      </c>
      <c r="N7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12"/>
      <c r="P72" s="10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72" s="32" t="s">
        <v>40</v>
      </c>
      <c r="R72" s="32">
        <v>7</v>
      </c>
    </row>
    <row r="73" spans="2:22" x14ac:dyDescent="0.3">
      <c r="B73" s="32" t="s">
        <v>151</v>
      </c>
      <c r="C73" s="32" t="s">
        <v>33</v>
      </c>
      <c r="D73" s="32" t="s">
        <v>168</v>
      </c>
      <c r="G73" s="32">
        <v>2</v>
      </c>
      <c r="K73" s="32" t="s">
        <v>159</v>
      </c>
      <c r="L73" s="32" t="s">
        <v>160</v>
      </c>
      <c r="N7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12"/>
      <c r="P73" s="10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73" s="32" t="s">
        <v>40</v>
      </c>
      <c r="R73" s="32">
        <v>7</v>
      </c>
    </row>
    <row r="74" spans="2:22" x14ac:dyDescent="0.3">
      <c r="B74" s="32" t="s">
        <v>151</v>
      </c>
      <c r="C74" s="32" t="s">
        <v>33</v>
      </c>
      <c r="D74" s="32" t="s">
        <v>168</v>
      </c>
      <c r="G74" s="32">
        <v>2</v>
      </c>
      <c r="K74" s="32" t="s">
        <v>159</v>
      </c>
      <c r="L74" s="32" t="s">
        <v>162</v>
      </c>
      <c r="N7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12"/>
      <c r="P74" s="10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74" s="32" t="s">
        <v>40</v>
      </c>
      <c r="R74" s="32">
        <v>7</v>
      </c>
    </row>
    <row r="75" spans="2:22" x14ac:dyDescent="0.3">
      <c r="B75" s="32" t="s">
        <v>151</v>
      </c>
      <c r="C75" s="32" t="s">
        <v>33</v>
      </c>
      <c r="D75" s="32" t="s">
        <v>626</v>
      </c>
      <c r="G75" s="32">
        <v>2</v>
      </c>
      <c r="K75" s="32" t="s">
        <v>159</v>
      </c>
      <c r="L75" s="32" t="s">
        <v>163</v>
      </c>
      <c r="N7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12"/>
      <c r="P75" s="10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75" s="32" t="s">
        <v>40</v>
      </c>
      <c r="R75" s="32">
        <v>7</v>
      </c>
    </row>
    <row r="76" spans="2:22" x14ac:dyDescent="0.3">
      <c r="B76" s="32" t="s">
        <v>151</v>
      </c>
      <c r="C76" s="32" t="s">
        <v>33</v>
      </c>
      <c r="D76" s="32" t="s">
        <v>169</v>
      </c>
      <c r="F76" s="32">
        <v>1</v>
      </c>
      <c r="H76" s="32" t="s">
        <v>152</v>
      </c>
      <c r="N7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13"/>
      <c r="P76" s="11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76" s="32" t="s">
        <v>40</v>
      </c>
      <c r="R76" s="32">
        <v>7</v>
      </c>
    </row>
    <row r="77" spans="2:22" x14ac:dyDescent="0.3">
      <c r="B77" s="32" t="s">
        <v>151</v>
      </c>
      <c r="C77" s="32" t="s">
        <v>33</v>
      </c>
      <c r="D77" s="32" t="s">
        <v>169</v>
      </c>
      <c r="F77" s="32">
        <v>1</v>
      </c>
      <c r="H77" s="32" t="s">
        <v>153</v>
      </c>
      <c r="N7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13"/>
      <c r="P77" s="11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77" s="32" t="s">
        <v>40</v>
      </c>
      <c r="R77" s="32">
        <v>7</v>
      </c>
    </row>
    <row r="78" spans="2:22" x14ac:dyDescent="0.3">
      <c r="B78" s="32" t="s">
        <v>151</v>
      </c>
      <c r="C78" s="32" t="s">
        <v>33</v>
      </c>
      <c r="D78" s="32" t="s">
        <v>169</v>
      </c>
      <c r="F78" s="32">
        <v>1</v>
      </c>
      <c r="H78" s="32" t="s">
        <v>154</v>
      </c>
      <c r="N7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13"/>
      <c r="P78" s="11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78" s="32" t="s">
        <v>40</v>
      </c>
      <c r="R78" s="32">
        <v>7</v>
      </c>
      <c r="S78" s="32" t="b">
        <v>1</v>
      </c>
      <c r="T78" s="32" t="s">
        <v>669</v>
      </c>
      <c r="U78" s="32" t="s">
        <v>589</v>
      </c>
      <c r="V78" s="32" t="s">
        <v>589</v>
      </c>
    </row>
    <row r="79" spans="2:22" x14ac:dyDescent="0.3">
      <c r="B79" s="32" t="s">
        <v>151</v>
      </c>
      <c r="C79" s="32" t="s">
        <v>33</v>
      </c>
      <c r="D79" s="32" t="s">
        <v>169</v>
      </c>
      <c r="F79" s="32">
        <v>1</v>
      </c>
      <c r="H79" s="32" t="s">
        <v>155</v>
      </c>
      <c r="N7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13"/>
      <c r="P79" s="11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79" s="32" t="s">
        <v>40</v>
      </c>
      <c r="R79" s="32">
        <v>7</v>
      </c>
      <c r="S79" s="32" t="b">
        <v>1</v>
      </c>
      <c r="T79" s="32" t="s">
        <v>671</v>
      </c>
      <c r="U79" s="32" t="s">
        <v>590</v>
      </c>
      <c r="V79" s="32" t="s">
        <v>590</v>
      </c>
    </row>
    <row r="80" spans="2:22" x14ac:dyDescent="0.3">
      <c r="B80" s="32" t="s">
        <v>151</v>
      </c>
      <c r="C80" s="32" t="s">
        <v>33</v>
      </c>
      <c r="D80" s="32" t="s">
        <v>169</v>
      </c>
      <c r="F80" s="32">
        <v>1</v>
      </c>
      <c r="H80" s="32" t="s">
        <v>156</v>
      </c>
      <c r="N8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13"/>
      <c r="P80" s="11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80" s="32" t="s">
        <v>40</v>
      </c>
      <c r="R80" s="32">
        <v>7</v>
      </c>
      <c r="S80" s="32" t="b">
        <v>1</v>
      </c>
      <c r="T80" s="32" t="s">
        <v>668</v>
      </c>
      <c r="U80" s="32" t="s">
        <v>591</v>
      </c>
      <c r="V80" s="32" t="s">
        <v>591</v>
      </c>
    </row>
    <row r="81" spans="2:18" x14ac:dyDescent="0.3">
      <c r="B81" s="32" t="s">
        <v>151</v>
      </c>
      <c r="C81" s="32" t="s">
        <v>33</v>
      </c>
      <c r="D81" s="32" t="s">
        <v>169</v>
      </c>
      <c r="F81" s="32">
        <v>1</v>
      </c>
      <c r="H81" s="32" t="s">
        <v>157</v>
      </c>
      <c r="N8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13"/>
      <c r="P81" s="11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81" s="32" t="s">
        <v>40</v>
      </c>
      <c r="R81" s="32">
        <v>7</v>
      </c>
    </row>
    <row r="82" spans="2:18" x14ac:dyDescent="0.3">
      <c r="B82" s="32" t="s">
        <v>151</v>
      </c>
      <c r="C82" s="32" t="s">
        <v>33</v>
      </c>
      <c r="D82" s="32" t="s">
        <v>170</v>
      </c>
      <c r="F82" s="32">
        <v>1</v>
      </c>
      <c r="G82" s="32">
        <v>1</v>
      </c>
      <c r="H82" s="32" t="s">
        <v>152</v>
      </c>
      <c r="K82" s="32" t="s">
        <v>160</v>
      </c>
      <c r="N8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13"/>
      <c r="P82" s="11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82" s="32" t="s">
        <v>40</v>
      </c>
      <c r="R82" s="32">
        <v>7</v>
      </c>
    </row>
    <row r="83" spans="2:18" x14ac:dyDescent="0.3">
      <c r="B83" s="32" t="s">
        <v>151</v>
      </c>
      <c r="C83" s="32" t="s">
        <v>33</v>
      </c>
      <c r="D83" s="32" t="s">
        <v>170</v>
      </c>
      <c r="F83" s="32">
        <v>1</v>
      </c>
      <c r="G83" s="32">
        <v>1</v>
      </c>
      <c r="H83" s="32" t="s">
        <v>152</v>
      </c>
      <c r="K83" s="32" t="s">
        <v>161</v>
      </c>
      <c r="N8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13"/>
      <c r="P83" s="11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83" s="32" t="s">
        <v>40</v>
      </c>
      <c r="R83" s="32">
        <v>7</v>
      </c>
    </row>
    <row r="84" spans="2:18" x14ac:dyDescent="0.3">
      <c r="B84" s="32" t="s">
        <v>151</v>
      </c>
      <c r="C84" s="32" t="s">
        <v>33</v>
      </c>
      <c r="D84" s="32" t="s">
        <v>170</v>
      </c>
      <c r="F84" s="32">
        <v>1</v>
      </c>
      <c r="G84" s="32">
        <v>1</v>
      </c>
      <c r="H84" s="32" t="s">
        <v>152</v>
      </c>
      <c r="K84" s="32" t="s">
        <v>162</v>
      </c>
      <c r="N8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13"/>
      <c r="P84" s="11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84" s="32" t="s">
        <v>40</v>
      </c>
      <c r="R84" s="32">
        <v>7</v>
      </c>
    </row>
    <row r="85" spans="2:18" x14ac:dyDescent="0.3">
      <c r="B85" s="32" t="s">
        <v>151</v>
      </c>
      <c r="C85" s="32" t="s">
        <v>33</v>
      </c>
      <c r="D85" s="32" t="s">
        <v>170</v>
      </c>
      <c r="F85" s="32">
        <v>1</v>
      </c>
      <c r="G85" s="32">
        <v>1</v>
      </c>
      <c r="H85" s="32" t="s">
        <v>152</v>
      </c>
      <c r="K85" s="32" t="s">
        <v>630</v>
      </c>
      <c r="N8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13"/>
      <c r="P85" s="11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85" s="32" t="s">
        <v>40</v>
      </c>
      <c r="R85" s="32">
        <v>7</v>
      </c>
    </row>
    <row r="86" spans="2:18" x14ac:dyDescent="0.3">
      <c r="B86" s="32" t="s">
        <v>151</v>
      </c>
      <c r="C86" s="32" t="s">
        <v>33</v>
      </c>
      <c r="D86" s="32" t="s">
        <v>170</v>
      </c>
      <c r="F86" s="32">
        <v>1</v>
      </c>
      <c r="G86" s="32">
        <v>1</v>
      </c>
      <c r="H86" s="32" t="s">
        <v>153</v>
      </c>
      <c r="K86" s="32" t="s">
        <v>160</v>
      </c>
      <c r="N8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13"/>
      <c r="P86" s="11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86" s="32" t="s">
        <v>40</v>
      </c>
      <c r="R86" s="32">
        <v>7</v>
      </c>
    </row>
    <row r="87" spans="2:18" x14ac:dyDescent="0.3">
      <c r="B87" s="32" t="s">
        <v>151</v>
      </c>
      <c r="C87" s="32" t="s">
        <v>33</v>
      </c>
      <c r="D87" s="32" t="s">
        <v>170</v>
      </c>
      <c r="F87" s="32">
        <v>1</v>
      </c>
      <c r="G87" s="32">
        <v>1</v>
      </c>
      <c r="H87" s="32" t="s">
        <v>153</v>
      </c>
      <c r="K87" s="32" t="s">
        <v>161</v>
      </c>
      <c r="N8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13"/>
      <c r="P87" s="11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87" s="32" t="s">
        <v>40</v>
      </c>
      <c r="R87" s="32">
        <v>7</v>
      </c>
    </row>
    <row r="88" spans="2:18" x14ac:dyDescent="0.3">
      <c r="B88" s="32" t="s">
        <v>151</v>
      </c>
      <c r="C88" s="32" t="s">
        <v>33</v>
      </c>
      <c r="D88" s="32" t="s">
        <v>170</v>
      </c>
      <c r="F88" s="32">
        <v>1</v>
      </c>
      <c r="G88" s="32">
        <v>1</v>
      </c>
      <c r="H88" s="32" t="s">
        <v>153</v>
      </c>
      <c r="K88" s="32" t="s">
        <v>162</v>
      </c>
      <c r="N8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13"/>
      <c r="P88" s="11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88" s="32" t="s">
        <v>40</v>
      </c>
      <c r="R88" s="32">
        <v>7</v>
      </c>
    </row>
    <row r="89" spans="2:18" x14ac:dyDescent="0.3">
      <c r="B89" s="32" t="s">
        <v>151</v>
      </c>
      <c r="C89" s="32" t="s">
        <v>33</v>
      </c>
      <c r="D89" s="32" t="s">
        <v>170</v>
      </c>
      <c r="F89" s="32">
        <v>1</v>
      </c>
      <c r="G89" s="32">
        <v>1</v>
      </c>
      <c r="H89" s="32" t="s">
        <v>153</v>
      </c>
      <c r="K89" s="32" t="s">
        <v>630</v>
      </c>
      <c r="N8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13"/>
      <c r="P89" s="11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89" s="32" t="s">
        <v>40</v>
      </c>
      <c r="R89" s="32">
        <v>7</v>
      </c>
    </row>
    <row r="90" spans="2:18" x14ac:dyDescent="0.3">
      <c r="B90" s="32" t="s">
        <v>151</v>
      </c>
      <c r="C90" s="32" t="s">
        <v>33</v>
      </c>
      <c r="D90" s="32" t="s">
        <v>171</v>
      </c>
      <c r="F90" s="32">
        <v>1</v>
      </c>
      <c r="G90" s="32">
        <v>1</v>
      </c>
      <c r="H90" s="32" t="s">
        <v>154</v>
      </c>
      <c r="K90" s="32" t="s">
        <v>158</v>
      </c>
      <c r="N9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13"/>
      <c r="P90" s="11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90" s="32" t="s">
        <v>40</v>
      </c>
      <c r="R90" s="32">
        <v>7</v>
      </c>
    </row>
    <row r="91" spans="2:18" x14ac:dyDescent="0.3">
      <c r="B91" s="32" t="s">
        <v>151</v>
      </c>
      <c r="C91" s="32" t="s">
        <v>33</v>
      </c>
      <c r="D91" s="32" t="s">
        <v>171</v>
      </c>
      <c r="F91" s="32">
        <v>1</v>
      </c>
      <c r="G91" s="32">
        <v>1</v>
      </c>
      <c r="H91" s="32" t="s">
        <v>154</v>
      </c>
      <c r="K91" s="32" t="s">
        <v>159</v>
      </c>
      <c r="N9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13"/>
      <c r="P91" s="11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91" s="32" t="s">
        <v>40</v>
      </c>
      <c r="R91" s="32">
        <v>7</v>
      </c>
    </row>
    <row r="92" spans="2:18" x14ac:dyDescent="0.3">
      <c r="B92" s="32" t="s">
        <v>151</v>
      </c>
      <c r="C92" s="32" t="s">
        <v>33</v>
      </c>
      <c r="D92" s="32" t="s">
        <v>171</v>
      </c>
      <c r="F92" s="32">
        <v>1</v>
      </c>
      <c r="G92" s="32">
        <v>1</v>
      </c>
      <c r="H92" s="32" t="s">
        <v>154</v>
      </c>
      <c r="K92" s="32" t="s">
        <v>164</v>
      </c>
      <c r="N9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13"/>
      <c r="P92" s="11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92" s="32" t="s">
        <v>40</v>
      </c>
      <c r="R92" s="32">
        <v>7</v>
      </c>
    </row>
    <row r="93" spans="2:18" x14ac:dyDescent="0.3">
      <c r="B93" s="32" t="s">
        <v>151</v>
      </c>
      <c r="C93" s="32" t="s">
        <v>33</v>
      </c>
      <c r="D93" s="32" t="s">
        <v>171</v>
      </c>
      <c r="F93" s="32">
        <v>1</v>
      </c>
      <c r="G93" s="32">
        <v>1</v>
      </c>
      <c r="H93" s="32" t="s">
        <v>156</v>
      </c>
      <c r="K93" s="32" t="s">
        <v>158</v>
      </c>
      <c r="N9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13"/>
      <c r="P93" s="11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93" s="32" t="s">
        <v>40</v>
      </c>
      <c r="R93" s="32">
        <v>7</v>
      </c>
    </row>
    <row r="94" spans="2:18" x14ac:dyDescent="0.3">
      <c r="B94" s="32" t="s">
        <v>151</v>
      </c>
      <c r="C94" s="32" t="s">
        <v>33</v>
      </c>
      <c r="D94" s="32" t="s">
        <v>171</v>
      </c>
      <c r="F94" s="32">
        <v>1</v>
      </c>
      <c r="G94" s="32">
        <v>1</v>
      </c>
      <c r="H94" s="32" t="s">
        <v>156</v>
      </c>
      <c r="K94" s="32" t="s">
        <v>159</v>
      </c>
      <c r="N9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13"/>
      <c r="P94" s="11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94" s="32" t="s">
        <v>40</v>
      </c>
      <c r="R94" s="32">
        <v>7</v>
      </c>
    </row>
    <row r="95" spans="2:18" x14ac:dyDescent="0.3">
      <c r="B95" s="32" t="s">
        <v>151</v>
      </c>
      <c r="C95" s="32" t="s">
        <v>33</v>
      </c>
      <c r="D95" s="32" t="s">
        <v>171</v>
      </c>
      <c r="F95" s="32">
        <v>1</v>
      </c>
      <c r="G95" s="32">
        <v>1</v>
      </c>
      <c r="H95" s="32" t="s">
        <v>156</v>
      </c>
      <c r="K95" s="32" t="s">
        <v>164</v>
      </c>
      <c r="N9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13"/>
      <c r="P95" s="11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95" s="32" t="s">
        <v>40</v>
      </c>
      <c r="R95" s="32">
        <v>7</v>
      </c>
    </row>
    <row r="96" spans="2:18" x14ac:dyDescent="0.3">
      <c r="B96" s="32" t="s">
        <v>151</v>
      </c>
      <c r="C96" s="32" t="s">
        <v>33</v>
      </c>
      <c r="D96" s="32" t="s">
        <v>171</v>
      </c>
      <c r="F96" s="32">
        <v>1</v>
      </c>
      <c r="G96" s="32">
        <v>1</v>
      </c>
      <c r="H96" s="32" t="s">
        <v>155</v>
      </c>
      <c r="K96" s="32" t="s">
        <v>158</v>
      </c>
      <c r="N9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13"/>
      <c r="P96" s="11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96" s="32" t="s">
        <v>40</v>
      </c>
      <c r="R96" s="32">
        <v>7</v>
      </c>
    </row>
    <row r="97" spans="2:18" x14ac:dyDescent="0.3">
      <c r="B97" s="32" t="s">
        <v>151</v>
      </c>
      <c r="C97" s="32" t="s">
        <v>33</v>
      </c>
      <c r="D97" s="32" t="s">
        <v>171</v>
      </c>
      <c r="F97" s="32">
        <v>1</v>
      </c>
      <c r="G97" s="32">
        <v>1</v>
      </c>
      <c r="H97" s="32" t="s">
        <v>155</v>
      </c>
      <c r="K97" s="32" t="s">
        <v>159</v>
      </c>
      <c r="N9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13"/>
      <c r="P97" s="11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7" s="32" t="s">
        <v>40</v>
      </c>
      <c r="R97" s="32">
        <v>7</v>
      </c>
    </row>
    <row r="98" spans="2:18" x14ac:dyDescent="0.3">
      <c r="B98" s="32" t="s">
        <v>151</v>
      </c>
      <c r="C98" s="32" t="s">
        <v>33</v>
      </c>
      <c r="D98" s="32" t="s">
        <v>171</v>
      </c>
      <c r="F98" s="32">
        <v>1</v>
      </c>
      <c r="G98" s="32">
        <v>1</v>
      </c>
      <c r="H98" s="32" t="s">
        <v>155</v>
      </c>
      <c r="K98" s="32" t="s">
        <v>164</v>
      </c>
      <c r="N9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13"/>
      <c r="P98" s="11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8" s="32" t="s">
        <v>40</v>
      </c>
      <c r="R98" s="32">
        <v>7</v>
      </c>
    </row>
    <row r="99" spans="2:18" x14ac:dyDescent="0.3">
      <c r="B99" s="32" t="s">
        <v>151</v>
      </c>
      <c r="C99" s="32" t="s">
        <v>33</v>
      </c>
      <c r="D99" s="32" t="s">
        <v>171</v>
      </c>
      <c r="F99" s="32">
        <v>1</v>
      </c>
      <c r="G99" s="32">
        <v>1</v>
      </c>
      <c r="H99" s="32" t="s">
        <v>157</v>
      </c>
      <c r="K99" s="32" t="s">
        <v>158</v>
      </c>
      <c r="N9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13"/>
      <c r="P99" s="11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9" s="32" t="s">
        <v>40</v>
      </c>
      <c r="R99" s="32">
        <v>7</v>
      </c>
    </row>
    <row r="100" spans="2:18" x14ac:dyDescent="0.3">
      <c r="B100" s="32" t="s">
        <v>151</v>
      </c>
      <c r="C100" s="32" t="s">
        <v>33</v>
      </c>
      <c r="D100" s="32" t="s">
        <v>171</v>
      </c>
      <c r="F100" s="32">
        <v>1</v>
      </c>
      <c r="G100" s="32">
        <v>1</v>
      </c>
      <c r="H100" s="32" t="s">
        <v>157</v>
      </c>
      <c r="K100" s="32" t="s">
        <v>159</v>
      </c>
      <c r="N10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13"/>
      <c r="P100" s="11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100" s="32" t="s">
        <v>40</v>
      </c>
      <c r="R100" s="32">
        <v>7</v>
      </c>
    </row>
    <row r="101" spans="2:18" x14ac:dyDescent="0.3">
      <c r="B101" s="32" t="s">
        <v>151</v>
      </c>
      <c r="C101" s="32" t="s">
        <v>33</v>
      </c>
      <c r="D101" s="32" t="s">
        <v>171</v>
      </c>
      <c r="F101" s="32">
        <v>1</v>
      </c>
      <c r="G101" s="32">
        <v>1</v>
      </c>
      <c r="H101" s="32" t="s">
        <v>157</v>
      </c>
      <c r="K101" s="32" t="s">
        <v>164</v>
      </c>
      <c r="N101" s="11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01" s="13"/>
      <c r="P101" s="11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101" s="32" t="s">
        <v>40</v>
      </c>
      <c r="R101" s="32">
        <v>7</v>
      </c>
    </row>
    <row r="102" spans="2:18" x14ac:dyDescent="0.3">
      <c r="B102" s="32" t="s">
        <v>151</v>
      </c>
      <c r="C102" s="32" t="s">
        <v>35</v>
      </c>
      <c r="D102" s="32" t="s">
        <v>614</v>
      </c>
      <c r="G102" s="32">
        <v>1</v>
      </c>
      <c r="K102" s="32" t="s">
        <v>163</v>
      </c>
      <c r="N10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13"/>
      <c r="P102" s="11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102" s="32" t="s">
        <v>40</v>
      </c>
      <c r="R102" s="32">
        <v>7</v>
      </c>
    </row>
    <row r="103" spans="2:18" x14ac:dyDescent="0.3">
      <c r="B103" s="32" t="s">
        <v>151</v>
      </c>
      <c r="C103" s="32" t="s">
        <v>35</v>
      </c>
      <c r="D103" s="32" t="s">
        <v>614</v>
      </c>
      <c r="G103" s="32">
        <v>1</v>
      </c>
      <c r="K103" s="32" t="s">
        <v>164</v>
      </c>
      <c r="N10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13"/>
      <c r="P103" s="11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103" s="32" t="s">
        <v>40</v>
      </c>
      <c r="R103" s="32">
        <v>7</v>
      </c>
    </row>
    <row r="104" spans="2:18" x14ac:dyDescent="0.3">
      <c r="B104" s="32" t="s">
        <v>172</v>
      </c>
      <c r="C104" s="32" t="s">
        <v>35</v>
      </c>
      <c r="D104" s="32" t="s">
        <v>173</v>
      </c>
      <c r="G104" s="32">
        <v>2</v>
      </c>
      <c r="K104" s="32" t="s">
        <v>158</v>
      </c>
      <c r="L104" s="32" t="s">
        <v>161</v>
      </c>
      <c r="N10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12"/>
      <c r="P104" s="10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104" s="32" t="s">
        <v>40</v>
      </c>
      <c r="R104" s="32">
        <v>7</v>
      </c>
    </row>
    <row r="105" spans="2:18" x14ac:dyDescent="0.3">
      <c r="B105" s="32" t="s">
        <v>172</v>
      </c>
      <c r="C105" s="32" t="s">
        <v>35</v>
      </c>
      <c r="D105" s="32" t="s">
        <v>173</v>
      </c>
      <c r="G105" s="32">
        <v>2</v>
      </c>
      <c r="K105" s="32" t="s">
        <v>158</v>
      </c>
      <c r="L105" s="32" t="s">
        <v>160</v>
      </c>
      <c r="N10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12"/>
      <c r="P105" s="10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105" s="32" t="s">
        <v>40</v>
      </c>
      <c r="R105" s="32">
        <v>7</v>
      </c>
    </row>
    <row r="106" spans="2:18" x14ac:dyDescent="0.3">
      <c r="B106" s="32" t="s">
        <v>172</v>
      </c>
      <c r="C106" s="32" t="s">
        <v>35</v>
      </c>
      <c r="D106" s="32" t="s">
        <v>173</v>
      </c>
      <c r="G106" s="32">
        <v>2</v>
      </c>
      <c r="K106" s="32" t="s">
        <v>158</v>
      </c>
      <c r="L106" s="32" t="s">
        <v>162</v>
      </c>
      <c r="N10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12"/>
      <c r="P106" s="10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106" s="32" t="s">
        <v>40</v>
      </c>
      <c r="R106" s="32">
        <v>7</v>
      </c>
    </row>
    <row r="107" spans="2:18" x14ac:dyDescent="0.3">
      <c r="B107" s="32" t="s">
        <v>151</v>
      </c>
      <c r="C107" s="32" t="s">
        <v>35</v>
      </c>
      <c r="D107" s="32" t="s">
        <v>625</v>
      </c>
      <c r="G107" s="32">
        <v>2</v>
      </c>
      <c r="K107" s="32" t="s">
        <v>158</v>
      </c>
      <c r="L107" s="32" t="s">
        <v>163</v>
      </c>
      <c r="N10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12"/>
      <c r="P107" s="10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07" s="32" t="s">
        <v>40</v>
      </c>
      <c r="R107" s="32">
        <v>7</v>
      </c>
    </row>
    <row r="108" spans="2:18" x14ac:dyDescent="0.3">
      <c r="B108" s="32" t="s">
        <v>172</v>
      </c>
      <c r="C108" s="32" t="s">
        <v>35</v>
      </c>
      <c r="D108" s="32" t="s">
        <v>173</v>
      </c>
      <c r="G108" s="32">
        <v>2</v>
      </c>
      <c r="K108" s="32" t="s">
        <v>159</v>
      </c>
      <c r="L108" s="32" t="s">
        <v>161</v>
      </c>
      <c r="N10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12"/>
      <c r="P108" s="10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08" s="32" t="s">
        <v>40</v>
      </c>
      <c r="R108" s="32">
        <v>7</v>
      </c>
    </row>
    <row r="109" spans="2:18" x14ac:dyDescent="0.3">
      <c r="B109" s="32" t="s">
        <v>172</v>
      </c>
      <c r="C109" s="32" t="s">
        <v>35</v>
      </c>
      <c r="D109" s="32" t="s">
        <v>173</v>
      </c>
      <c r="G109" s="32">
        <v>2</v>
      </c>
      <c r="K109" s="32" t="s">
        <v>159</v>
      </c>
      <c r="L109" s="32" t="s">
        <v>160</v>
      </c>
      <c r="N10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12"/>
      <c r="P109" s="10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09" s="32" t="s">
        <v>40</v>
      </c>
      <c r="R109" s="32">
        <v>7</v>
      </c>
    </row>
    <row r="110" spans="2:18" x14ac:dyDescent="0.3">
      <c r="B110" s="32" t="s">
        <v>172</v>
      </c>
      <c r="C110" s="32" t="s">
        <v>35</v>
      </c>
      <c r="D110" s="32" t="s">
        <v>173</v>
      </c>
      <c r="G110" s="32">
        <v>2</v>
      </c>
      <c r="K110" s="32" t="s">
        <v>159</v>
      </c>
      <c r="L110" s="32" t="s">
        <v>162</v>
      </c>
      <c r="N11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12"/>
      <c r="P110" s="10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10" s="32" t="s">
        <v>40</v>
      </c>
      <c r="R110" s="32">
        <v>7</v>
      </c>
    </row>
    <row r="111" spans="2:18" x14ac:dyDescent="0.3">
      <c r="B111" s="32" t="s">
        <v>151</v>
      </c>
      <c r="C111" s="32" t="s">
        <v>35</v>
      </c>
      <c r="D111" s="32" t="s">
        <v>625</v>
      </c>
      <c r="G111" s="32">
        <v>2</v>
      </c>
      <c r="K111" s="32" t="s">
        <v>159</v>
      </c>
      <c r="L111" s="32" t="s">
        <v>163</v>
      </c>
      <c r="N11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12"/>
      <c r="P111" s="10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11" s="32" t="s">
        <v>40</v>
      </c>
      <c r="R111" s="32">
        <v>7</v>
      </c>
    </row>
    <row r="112" spans="2:18" x14ac:dyDescent="0.3">
      <c r="B112" s="32" t="s">
        <v>151</v>
      </c>
      <c r="C112" s="32" t="s">
        <v>35</v>
      </c>
      <c r="D112" s="32" t="s">
        <v>175</v>
      </c>
      <c r="G112" s="32">
        <v>3</v>
      </c>
      <c r="K112" s="32" t="s">
        <v>158</v>
      </c>
      <c r="L112" s="32" t="s">
        <v>159</v>
      </c>
      <c r="M112" s="32" t="s">
        <v>160</v>
      </c>
      <c r="N11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12"/>
      <c r="P112" s="10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12" s="32" t="s">
        <v>40</v>
      </c>
      <c r="R112" s="32">
        <v>7</v>
      </c>
    </row>
    <row r="113" spans="2:18" x14ac:dyDescent="0.3">
      <c r="B113" s="32" t="s">
        <v>151</v>
      </c>
      <c r="C113" s="32" t="s">
        <v>35</v>
      </c>
      <c r="D113" s="32" t="s">
        <v>175</v>
      </c>
      <c r="G113" s="32">
        <v>3</v>
      </c>
      <c r="K113" s="32" t="s">
        <v>158</v>
      </c>
      <c r="L113" s="32" t="s">
        <v>159</v>
      </c>
      <c r="M113" s="32" t="s">
        <v>161</v>
      </c>
      <c r="N11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12"/>
      <c r="P113" s="10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13" s="32" t="s">
        <v>40</v>
      </c>
      <c r="R113" s="32">
        <v>7</v>
      </c>
    </row>
    <row r="114" spans="2:18" x14ac:dyDescent="0.3">
      <c r="B114" s="32" t="s">
        <v>151</v>
      </c>
      <c r="C114" s="32" t="s">
        <v>35</v>
      </c>
      <c r="D114" s="32" t="s">
        <v>175</v>
      </c>
      <c r="G114" s="32">
        <v>3</v>
      </c>
      <c r="K114" s="32" t="s">
        <v>158</v>
      </c>
      <c r="L114" s="32" t="s">
        <v>159</v>
      </c>
      <c r="M114" s="32" t="s">
        <v>162</v>
      </c>
      <c r="N11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12"/>
      <c r="P114" s="10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14" s="32" t="s">
        <v>40</v>
      </c>
      <c r="R114" s="32">
        <v>7</v>
      </c>
    </row>
    <row r="115" spans="2:18" x14ac:dyDescent="0.3">
      <c r="B115" s="32" t="s">
        <v>151</v>
      </c>
      <c r="C115" s="32" t="s">
        <v>35</v>
      </c>
      <c r="D115" s="32" t="s">
        <v>627</v>
      </c>
      <c r="G115" s="32">
        <v>3</v>
      </c>
      <c r="K115" s="32" t="s">
        <v>158</v>
      </c>
      <c r="L115" s="32" t="s">
        <v>159</v>
      </c>
      <c r="M115" s="32" t="s">
        <v>163</v>
      </c>
      <c r="N11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12"/>
      <c r="P115" s="10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15" s="32" t="s">
        <v>40</v>
      </c>
      <c r="R115" s="32">
        <v>7</v>
      </c>
    </row>
    <row r="116" spans="2:18" x14ac:dyDescent="0.3">
      <c r="B116" s="32" t="s">
        <v>151</v>
      </c>
      <c r="C116" s="32" t="s">
        <v>35</v>
      </c>
      <c r="D116" s="32" t="s">
        <v>175</v>
      </c>
      <c r="G116" s="32">
        <v>3</v>
      </c>
      <c r="K116" s="32" t="s">
        <v>159</v>
      </c>
      <c r="L116" s="32" t="s">
        <v>160</v>
      </c>
      <c r="M116" s="32" t="s">
        <v>161</v>
      </c>
      <c r="N11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12"/>
      <c r="P116" s="10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16" s="32" t="s">
        <v>40</v>
      </c>
      <c r="R116" s="32">
        <v>7</v>
      </c>
    </row>
    <row r="117" spans="2:18" x14ac:dyDescent="0.3">
      <c r="B117" s="32" t="s">
        <v>151</v>
      </c>
      <c r="C117" s="32" t="s">
        <v>35</v>
      </c>
      <c r="D117" s="32" t="s">
        <v>175</v>
      </c>
      <c r="G117" s="32">
        <v>3</v>
      </c>
      <c r="K117" s="32" t="s">
        <v>159</v>
      </c>
      <c r="L117" s="32" t="s">
        <v>160</v>
      </c>
      <c r="M117" s="32" t="s">
        <v>162</v>
      </c>
      <c r="N11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12"/>
      <c r="P117" s="10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17" s="32" t="s">
        <v>40</v>
      </c>
      <c r="R117" s="32">
        <v>7</v>
      </c>
    </row>
    <row r="118" spans="2:18" x14ac:dyDescent="0.3">
      <c r="B118" s="32" t="s">
        <v>151</v>
      </c>
      <c r="C118" s="32" t="s">
        <v>35</v>
      </c>
      <c r="D118" s="32" t="s">
        <v>175</v>
      </c>
      <c r="G118" s="32">
        <v>3</v>
      </c>
      <c r="K118" s="32" t="s">
        <v>159</v>
      </c>
      <c r="L118" s="32" t="s">
        <v>161</v>
      </c>
      <c r="M118" s="32" t="s">
        <v>162</v>
      </c>
      <c r="N11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12"/>
      <c r="P118" s="10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18" s="32" t="s">
        <v>40</v>
      </c>
      <c r="R118" s="32">
        <v>7</v>
      </c>
    </row>
    <row r="119" spans="2:18" x14ac:dyDescent="0.3">
      <c r="B119" s="32" t="s">
        <v>151</v>
      </c>
      <c r="C119" s="32" t="s">
        <v>35</v>
      </c>
      <c r="D119" s="32" t="s">
        <v>627</v>
      </c>
      <c r="G119" s="32">
        <v>3</v>
      </c>
      <c r="K119" s="32" t="s">
        <v>159</v>
      </c>
      <c r="L119" s="32" t="s">
        <v>160</v>
      </c>
      <c r="M119" s="32" t="s">
        <v>163</v>
      </c>
      <c r="N11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12"/>
      <c r="P119" s="10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19" s="32" t="s">
        <v>40</v>
      </c>
      <c r="R119" s="32">
        <v>7</v>
      </c>
    </row>
    <row r="120" spans="2:18" x14ac:dyDescent="0.3">
      <c r="B120" s="32" t="s">
        <v>151</v>
      </c>
      <c r="C120" s="32" t="s">
        <v>35</v>
      </c>
      <c r="D120" s="32" t="s">
        <v>627</v>
      </c>
      <c r="G120" s="32">
        <v>3</v>
      </c>
      <c r="K120" s="32" t="s">
        <v>159</v>
      </c>
      <c r="L120" s="32" t="s">
        <v>161</v>
      </c>
      <c r="M120" s="32" t="s">
        <v>163</v>
      </c>
      <c r="N12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12"/>
      <c r="P120" s="10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20" s="32" t="s">
        <v>40</v>
      </c>
      <c r="R120" s="32">
        <v>7</v>
      </c>
    </row>
    <row r="121" spans="2:18" x14ac:dyDescent="0.3">
      <c r="B121" s="32" t="s">
        <v>151</v>
      </c>
      <c r="C121" s="32" t="s">
        <v>35</v>
      </c>
      <c r="D121" s="32" t="s">
        <v>627</v>
      </c>
      <c r="G121" s="32">
        <v>3</v>
      </c>
      <c r="K121" s="32" t="s">
        <v>159</v>
      </c>
      <c r="L121" s="32" t="s">
        <v>162</v>
      </c>
      <c r="M121" s="32" t="s">
        <v>163</v>
      </c>
      <c r="N12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12"/>
      <c r="P121" s="10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21" s="32" t="s">
        <v>40</v>
      </c>
      <c r="R121" s="32">
        <v>7</v>
      </c>
    </row>
    <row r="122" spans="2:18" x14ac:dyDescent="0.3">
      <c r="B122" s="32" t="s">
        <v>151</v>
      </c>
      <c r="C122" s="32" t="s">
        <v>35</v>
      </c>
      <c r="D122" s="32" t="s">
        <v>175</v>
      </c>
      <c r="G122" s="32">
        <v>3</v>
      </c>
      <c r="K122" s="32" t="s">
        <v>158</v>
      </c>
      <c r="L122" s="32" t="s">
        <v>160</v>
      </c>
      <c r="M122" s="32" t="s">
        <v>161</v>
      </c>
      <c r="N12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12"/>
      <c r="P122" s="10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22" s="32" t="s">
        <v>40</v>
      </c>
      <c r="R122" s="32">
        <v>7</v>
      </c>
    </row>
    <row r="123" spans="2:18" x14ac:dyDescent="0.3">
      <c r="B123" s="32" t="s">
        <v>151</v>
      </c>
      <c r="C123" s="32" t="s">
        <v>35</v>
      </c>
      <c r="D123" s="32" t="s">
        <v>175</v>
      </c>
      <c r="G123" s="32">
        <v>3</v>
      </c>
      <c r="K123" s="32" t="s">
        <v>158</v>
      </c>
      <c r="L123" s="32" t="s">
        <v>160</v>
      </c>
      <c r="M123" s="32" t="s">
        <v>162</v>
      </c>
      <c r="N12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12"/>
      <c r="P123" s="10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23" s="32" t="s">
        <v>40</v>
      </c>
      <c r="R123" s="32">
        <v>7</v>
      </c>
    </row>
    <row r="124" spans="2:18" x14ac:dyDescent="0.3">
      <c r="B124" s="32" t="s">
        <v>151</v>
      </c>
      <c r="C124" s="32" t="s">
        <v>35</v>
      </c>
      <c r="D124" s="32" t="s">
        <v>175</v>
      </c>
      <c r="G124" s="32">
        <v>3</v>
      </c>
      <c r="K124" s="32" t="s">
        <v>158</v>
      </c>
      <c r="L124" s="32" t="s">
        <v>161</v>
      </c>
      <c r="M124" s="32" t="s">
        <v>162</v>
      </c>
      <c r="N12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12"/>
      <c r="P124" s="10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24" s="32" t="s">
        <v>40</v>
      </c>
      <c r="R124" s="32">
        <v>7</v>
      </c>
    </row>
    <row r="125" spans="2:18" x14ac:dyDescent="0.3">
      <c r="B125" s="32" t="s">
        <v>151</v>
      </c>
      <c r="C125" s="32" t="s">
        <v>35</v>
      </c>
      <c r="D125" s="32" t="s">
        <v>627</v>
      </c>
      <c r="G125" s="32">
        <v>3</v>
      </c>
      <c r="K125" s="32" t="s">
        <v>158</v>
      </c>
      <c r="L125" s="32" t="s">
        <v>160</v>
      </c>
      <c r="M125" s="32" t="s">
        <v>163</v>
      </c>
      <c r="N12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12"/>
      <c r="P125" s="10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25" s="32" t="s">
        <v>40</v>
      </c>
      <c r="R125" s="32">
        <v>7</v>
      </c>
    </row>
    <row r="126" spans="2:18" x14ac:dyDescent="0.3">
      <c r="B126" s="32" t="s">
        <v>151</v>
      </c>
      <c r="C126" s="32" t="s">
        <v>35</v>
      </c>
      <c r="D126" s="32" t="s">
        <v>627</v>
      </c>
      <c r="G126" s="32">
        <v>3</v>
      </c>
      <c r="K126" s="32" t="s">
        <v>158</v>
      </c>
      <c r="L126" s="32" t="s">
        <v>161</v>
      </c>
      <c r="M126" s="32" t="s">
        <v>163</v>
      </c>
      <c r="N12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12"/>
      <c r="P126" s="10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26" s="32" t="s">
        <v>40</v>
      </c>
      <c r="R126" s="32">
        <v>7</v>
      </c>
    </row>
    <row r="127" spans="2:18" x14ac:dyDescent="0.3">
      <c r="B127" s="32" t="s">
        <v>151</v>
      </c>
      <c r="C127" s="32" t="s">
        <v>35</v>
      </c>
      <c r="D127" s="32" t="s">
        <v>627</v>
      </c>
      <c r="G127" s="32">
        <v>3</v>
      </c>
      <c r="K127" s="32" t="s">
        <v>158</v>
      </c>
      <c r="L127" s="32" t="s">
        <v>162</v>
      </c>
      <c r="M127" s="32" t="s">
        <v>163</v>
      </c>
      <c r="N12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12"/>
      <c r="P127" s="10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27" s="32" t="s">
        <v>40</v>
      </c>
      <c r="R127" s="32">
        <v>7</v>
      </c>
    </row>
    <row r="128" spans="2:18" x14ac:dyDescent="0.3">
      <c r="B128" s="32" t="s">
        <v>151</v>
      </c>
      <c r="C128" s="32" t="s">
        <v>35</v>
      </c>
      <c r="D128" s="32" t="s">
        <v>176</v>
      </c>
      <c r="F128" s="32">
        <v>1</v>
      </c>
      <c r="G128" s="32">
        <v>1</v>
      </c>
      <c r="H128" s="32" t="s">
        <v>152</v>
      </c>
      <c r="K128" s="32" t="s">
        <v>160</v>
      </c>
      <c r="N12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13"/>
      <c r="P128" s="11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28" s="32" t="s">
        <v>40</v>
      </c>
      <c r="R128" s="32">
        <v>7</v>
      </c>
    </row>
    <row r="129" spans="2:18" x14ac:dyDescent="0.3">
      <c r="B129" s="32" t="s">
        <v>151</v>
      </c>
      <c r="C129" s="32" t="s">
        <v>35</v>
      </c>
      <c r="D129" s="32" t="s">
        <v>176</v>
      </c>
      <c r="F129" s="32">
        <v>1</v>
      </c>
      <c r="G129" s="32">
        <v>1</v>
      </c>
      <c r="H129" s="32" t="s">
        <v>152</v>
      </c>
      <c r="K129" s="32" t="s">
        <v>161</v>
      </c>
      <c r="N12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13"/>
      <c r="P129" s="11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29" s="32" t="s">
        <v>40</v>
      </c>
      <c r="R129" s="32">
        <v>7</v>
      </c>
    </row>
    <row r="130" spans="2:18" x14ac:dyDescent="0.3">
      <c r="B130" s="32" t="s">
        <v>151</v>
      </c>
      <c r="C130" s="32" t="s">
        <v>35</v>
      </c>
      <c r="D130" s="32" t="s">
        <v>176</v>
      </c>
      <c r="F130" s="32">
        <v>1</v>
      </c>
      <c r="G130" s="32">
        <v>1</v>
      </c>
      <c r="H130" s="32" t="s">
        <v>152</v>
      </c>
      <c r="K130" s="32" t="s">
        <v>162</v>
      </c>
      <c r="N13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13"/>
      <c r="P130" s="11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30" s="32" t="s">
        <v>40</v>
      </c>
      <c r="R130" s="32">
        <v>7</v>
      </c>
    </row>
    <row r="131" spans="2:18" x14ac:dyDescent="0.3">
      <c r="B131" s="32" t="s">
        <v>151</v>
      </c>
      <c r="C131" s="32" t="s">
        <v>35</v>
      </c>
      <c r="D131" s="32" t="s">
        <v>176</v>
      </c>
      <c r="F131" s="32">
        <v>1</v>
      </c>
      <c r="G131" s="32">
        <v>1</v>
      </c>
      <c r="H131" s="32" t="s">
        <v>152</v>
      </c>
      <c r="K131" s="32" t="s">
        <v>630</v>
      </c>
      <c r="N13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13"/>
      <c r="P131" s="11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31" s="32" t="s">
        <v>40</v>
      </c>
      <c r="R131" s="32">
        <v>7</v>
      </c>
    </row>
    <row r="132" spans="2:18" x14ac:dyDescent="0.3">
      <c r="B132" s="32" t="s">
        <v>151</v>
      </c>
      <c r="C132" s="32" t="s">
        <v>35</v>
      </c>
      <c r="D132" s="32" t="s">
        <v>176</v>
      </c>
      <c r="F132" s="32">
        <v>1</v>
      </c>
      <c r="G132" s="32">
        <v>1</v>
      </c>
      <c r="H132" s="32" t="s">
        <v>153</v>
      </c>
      <c r="K132" s="32" t="s">
        <v>160</v>
      </c>
      <c r="N13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13"/>
      <c r="P132" s="11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32" s="32" t="s">
        <v>40</v>
      </c>
      <c r="R132" s="32">
        <v>7</v>
      </c>
    </row>
    <row r="133" spans="2:18" x14ac:dyDescent="0.3">
      <c r="B133" s="32" t="s">
        <v>151</v>
      </c>
      <c r="C133" s="32" t="s">
        <v>35</v>
      </c>
      <c r="D133" s="32" t="s">
        <v>176</v>
      </c>
      <c r="F133" s="32">
        <v>1</v>
      </c>
      <c r="G133" s="32">
        <v>1</v>
      </c>
      <c r="H133" s="32" t="s">
        <v>153</v>
      </c>
      <c r="K133" s="32" t="s">
        <v>161</v>
      </c>
      <c r="N13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13"/>
      <c r="P133" s="11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33" s="32" t="s">
        <v>40</v>
      </c>
      <c r="R133" s="32">
        <v>7</v>
      </c>
    </row>
    <row r="134" spans="2:18" x14ac:dyDescent="0.3">
      <c r="B134" s="32" t="s">
        <v>151</v>
      </c>
      <c r="C134" s="32" t="s">
        <v>35</v>
      </c>
      <c r="D134" s="32" t="s">
        <v>176</v>
      </c>
      <c r="F134" s="32">
        <v>1</v>
      </c>
      <c r="G134" s="32">
        <v>1</v>
      </c>
      <c r="H134" s="32" t="s">
        <v>153</v>
      </c>
      <c r="K134" s="32" t="s">
        <v>162</v>
      </c>
      <c r="N13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13"/>
      <c r="P134" s="11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34" s="32" t="s">
        <v>40</v>
      </c>
      <c r="R134" s="32">
        <v>7</v>
      </c>
    </row>
    <row r="135" spans="2:18" x14ac:dyDescent="0.3">
      <c r="B135" s="32" t="s">
        <v>151</v>
      </c>
      <c r="C135" s="32" t="s">
        <v>35</v>
      </c>
      <c r="D135" s="32" t="s">
        <v>176</v>
      </c>
      <c r="F135" s="32">
        <v>1</v>
      </c>
      <c r="G135" s="32">
        <v>1</v>
      </c>
      <c r="H135" s="32" t="s">
        <v>153</v>
      </c>
      <c r="K135" s="32" t="s">
        <v>630</v>
      </c>
      <c r="N13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13"/>
      <c r="P135" s="11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35" s="32" t="s">
        <v>40</v>
      </c>
      <c r="R135" s="32">
        <v>7</v>
      </c>
    </row>
    <row r="136" spans="2:18" x14ac:dyDescent="0.3">
      <c r="B136" s="32" t="s">
        <v>151</v>
      </c>
      <c r="C136" s="32" t="s">
        <v>35</v>
      </c>
      <c r="D136" s="32" t="s">
        <v>186</v>
      </c>
      <c r="E136" s="32" t="b">
        <v>1</v>
      </c>
      <c r="F136" s="32">
        <v>1</v>
      </c>
      <c r="G136" s="32">
        <v>1</v>
      </c>
      <c r="H136" s="32" t="s">
        <v>152</v>
      </c>
      <c r="K136" s="32" t="s">
        <v>160</v>
      </c>
      <c r="N13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13"/>
      <c r="P136" s="11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36" s="32" t="s">
        <v>40</v>
      </c>
      <c r="R136" s="32">
        <v>7</v>
      </c>
    </row>
    <row r="137" spans="2:18" x14ac:dyDescent="0.3">
      <c r="B137" s="32" t="s">
        <v>151</v>
      </c>
      <c r="C137" s="32" t="s">
        <v>35</v>
      </c>
      <c r="D137" s="32" t="s">
        <v>186</v>
      </c>
      <c r="E137" s="32" t="b">
        <v>1</v>
      </c>
      <c r="F137" s="32">
        <v>1</v>
      </c>
      <c r="G137" s="32">
        <v>1</v>
      </c>
      <c r="H137" s="32" t="s">
        <v>152</v>
      </c>
      <c r="K137" s="32" t="s">
        <v>161</v>
      </c>
      <c r="N13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13"/>
      <c r="P137" s="11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37" s="32" t="s">
        <v>40</v>
      </c>
      <c r="R137" s="32">
        <v>7</v>
      </c>
    </row>
    <row r="138" spans="2:18" x14ac:dyDescent="0.3">
      <c r="B138" s="32" t="s">
        <v>151</v>
      </c>
      <c r="C138" s="32" t="s">
        <v>35</v>
      </c>
      <c r="D138" s="32" t="s">
        <v>186</v>
      </c>
      <c r="E138" s="32" t="b">
        <v>1</v>
      </c>
      <c r="F138" s="32">
        <v>1</v>
      </c>
      <c r="G138" s="32">
        <v>1</v>
      </c>
      <c r="H138" s="32" t="s">
        <v>152</v>
      </c>
      <c r="K138" s="32" t="s">
        <v>162</v>
      </c>
      <c r="N13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13"/>
      <c r="P138" s="11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38" s="32" t="s">
        <v>40</v>
      </c>
      <c r="R138" s="32">
        <v>7</v>
      </c>
    </row>
    <row r="139" spans="2:18" x14ac:dyDescent="0.3">
      <c r="B139" s="32" t="s">
        <v>151</v>
      </c>
      <c r="C139" s="32" t="s">
        <v>35</v>
      </c>
      <c r="D139" s="32" t="s">
        <v>186</v>
      </c>
      <c r="E139" s="32" t="b">
        <v>1</v>
      </c>
      <c r="F139" s="32">
        <v>1</v>
      </c>
      <c r="G139" s="32">
        <v>1</v>
      </c>
      <c r="H139" s="32" t="s">
        <v>152</v>
      </c>
      <c r="K139" s="32" t="s">
        <v>630</v>
      </c>
      <c r="N13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13"/>
      <c r="P139" s="11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39" s="32" t="s">
        <v>40</v>
      </c>
      <c r="R139" s="32">
        <v>7</v>
      </c>
    </row>
    <row r="140" spans="2:18" x14ac:dyDescent="0.3">
      <c r="B140" s="32" t="s">
        <v>151</v>
      </c>
      <c r="C140" s="32" t="s">
        <v>35</v>
      </c>
      <c r="D140" s="32" t="s">
        <v>186</v>
      </c>
      <c r="E140" s="32" t="b">
        <v>1</v>
      </c>
      <c r="F140" s="32">
        <v>1</v>
      </c>
      <c r="G140" s="32">
        <v>1</v>
      </c>
      <c r="H140" s="32" t="s">
        <v>153</v>
      </c>
      <c r="K140" s="32" t="s">
        <v>160</v>
      </c>
      <c r="N14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13"/>
      <c r="P140" s="11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40" s="32" t="s">
        <v>40</v>
      </c>
      <c r="R140" s="32">
        <v>7</v>
      </c>
    </row>
    <row r="141" spans="2:18" x14ac:dyDescent="0.3">
      <c r="B141" s="32" t="s">
        <v>151</v>
      </c>
      <c r="C141" s="32" t="s">
        <v>35</v>
      </c>
      <c r="D141" s="32" t="s">
        <v>186</v>
      </c>
      <c r="E141" s="32" t="b">
        <v>1</v>
      </c>
      <c r="F141" s="32">
        <v>1</v>
      </c>
      <c r="G141" s="32">
        <v>1</v>
      </c>
      <c r="H141" s="32" t="s">
        <v>153</v>
      </c>
      <c r="K141" s="32" t="s">
        <v>161</v>
      </c>
      <c r="N14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13"/>
      <c r="P141" s="11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41" s="32" t="s">
        <v>40</v>
      </c>
      <c r="R141" s="32">
        <v>7</v>
      </c>
    </row>
    <row r="142" spans="2:18" x14ac:dyDescent="0.3">
      <c r="B142" s="32" t="s">
        <v>151</v>
      </c>
      <c r="C142" s="32" t="s">
        <v>35</v>
      </c>
      <c r="D142" s="32" t="s">
        <v>186</v>
      </c>
      <c r="E142" s="32" t="b">
        <v>1</v>
      </c>
      <c r="F142" s="32">
        <v>1</v>
      </c>
      <c r="G142" s="32">
        <v>1</v>
      </c>
      <c r="H142" s="32" t="s">
        <v>153</v>
      </c>
      <c r="K142" s="32" t="s">
        <v>162</v>
      </c>
      <c r="N14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13"/>
      <c r="P142" s="11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42" s="32" t="s">
        <v>40</v>
      </c>
      <c r="R142" s="32">
        <v>7</v>
      </c>
    </row>
    <row r="143" spans="2:18" x14ac:dyDescent="0.3">
      <c r="B143" s="32" t="s">
        <v>151</v>
      </c>
      <c r="C143" s="32" t="s">
        <v>35</v>
      </c>
      <c r="D143" s="32" t="s">
        <v>186</v>
      </c>
      <c r="E143" s="32" t="b">
        <v>1</v>
      </c>
      <c r="F143" s="32">
        <v>1</v>
      </c>
      <c r="G143" s="32">
        <v>1</v>
      </c>
      <c r="H143" s="32" t="s">
        <v>153</v>
      </c>
      <c r="K143" s="32" t="s">
        <v>630</v>
      </c>
      <c r="N14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13"/>
      <c r="P143" s="11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43" s="32" t="s">
        <v>40</v>
      </c>
      <c r="R143" s="32">
        <v>7</v>
      </c>
    </row>
    <row r="144" spans="2:18" x14ac:dyDescent="0.3">
      <c r="B144" s="32" t="s">
        <v>151</v>
      </c>
      <c r="C144" s="32" t="s">
        <v>35</v>
      </c>
      <c r="D144" s="32" t="s">
        <v>177</v>
      </c>
      <c r="F144" s="32">
        <v>1</v>
      </c>
      <c r="G144" s="32">
        <v>1</v>
      </c>
      <c r="H144" s="32" t="s">
        <v>154</v>
      </c>
      <c r="K144" s="32" t="s">
        <v>158</v>
      </c>
      <c r="N14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13"/>
      <c r="P144" s="11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44" s="32" t="s">
        <v>40</v>
      </c>
      <c r="R144" s="32">
        <v>7</v>
      </c>
    </row>
    <row r="145" spans="2:18" x14ac:dyDescent="0.3">
      <c r="B145" s="32" t="s">
        <v>151</v>
      </c>
      <c r="C145" s="32" t="s">
        <v>35</v>
      </c>
      <c r="D145" s="32" t="s">
        <v>177</v>
      </c>
      <c r="F145" s="32">
        <v>1</v>
      </c>
      <c r="G145" s="32">
        <v>1</v>
      </c>
      <c r="H145" s="32" t="s">
        <v>154</v>
      </c>
      <c r="K145" s="32" t="s">
        <v>159</v>
      </c>
      <c r="N14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13"/>
      <c r="P145" s="11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45" s="32" t="s">
        <v>40</v>
      </c>
      <c r="R145" s="32">
        <v>7</v>
      </c>
    </row>
    <row r="146" spans="2:18" x14ac:dyDescent="0.3">
      <c r="B146" s="32" t="s">
        <v>151</v>
      </c>
      <c r="C146" s="32" t="s">
        <v>35</v>
      </c>
      <c r="D146" s="32" t="s">
        <v>177</v>
      </c>
      <c r="F146" s="32">
        <v>1</v>
      </c>
      <c r="G146" s="32">
        <v>1</v>
      </c>
      <c r="H146" s="32" t="s">
        <v>154</v>
      </c>
      <c r="K146" s="32" t="s">
        <v>164</v>
      </c>
      <c r="N14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13"/>
      <c r="P146" s="11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46" s="32" t="s">
        <v>40</v>
      </c>
      <c r="R146" s="32">
        <v>7</v>
      </c>
    </row>
    <row r="147" spans="2:18" x14ac:dyDescent="0.3">
      <c r="B147" s="32" t="s">
        <v>151</v>
      </c>
      <c r="C147" s="32" t="s">
        <v>35</v>
      </c>
      <c r="D147" s="32" t="s">
        <v>177</v>
      </c>
      <c r="F147" s="32">
        <v>1</v>
      </c>
      <c r="G147" s="32">
        <v>1</v>
      </c>
      <c r="H147" s="32" t="s">
        <v>156</v>
      </c>
      <c r="K147" s="32" t="s">
        <v>158</v>
      </c>
      <c r="N14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13"/>
      <c r="P147" s="11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47" s="32" t="s">
        <v>40</v>
      </c>
      <c r="R147" s="32">
        <v>7</v>
      </c>
    </row>
    <row r="148" spans="2:18" x14ac:dyDescent="0.3">
      <c r="B148" s="32" t="s">
        <v>151</v>
      </c>
      <c r="C148" s="32" t="s">
        <v>35</v>
      </c>
      <c r="D148" s="32" t="s">
        <v>177</v>
      </c>
      <c r="F148" s="32">
        <v>1</v>
      </c>
      <c r="G148" s="32">
        <v>1</v>
      </c>
      <c r="H148" s="32" t="s">
        <v>156</v>
      </c>
      <c r="K148" s="32" t="s">
        <v>159</v>
      </c>
      <c r="N14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13"/>
      <c r="P148" s="11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48" s="32" t="s">
        <v>40</v>
      </c>
      <c r="R148" s="32">
        <v>7</v>
      </c>
    </row>
    <row r="149" spans="2:18" x14ac:dyDescent="0.3">
      <c r="B149" s="32" t="s">
        <v>151</v>
      </c>
      <c r="C149" s="32" t="s">
        <v>35</v>
      </c>
      <c r="D149" s="32" t="s">
        <v>628</v>
      </c>
      <c r="F149" s="32">
        <v>1</v>
      </c>
      <c r="G149" s="32">
        <v>1</v>
      </c>
      <c r="H149" s="32" t="s">
        <v>156</v>
      </c>
      <c r="K149" s="32" t="s">
        <v>164</v>
      </c>
      <c r="N14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13"/>
      <c r="P149" s="11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49" s="32" t="s">
        <v>40</v>
      </c>
      <c r="R149" s="32">
        <v>7</v>
      </c>
    </row>
    <row r="150" spans="2:18" x14ac:dyDescent="0.3">
      <c r="B150" s="32" t="s">
        <v>151</v>
      </c>
      <c r="C150" s="32" t="s">
        <v>35</v>
      </c>
      <c r="D150" s="32" t="s">
        <v>177</v>
      </c>
      <c r="F150" s="32">
        <v>1</v>
      </c>
      <c r="G150" s="32">
        <v>1</v>
      </c>
      <c r="H150" s="32" t="s">
        <v>155</v>
      </c>
      <c r="K150" s="32" t="s">
        <v>158</v>
      </c>
      <c r="N15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13"/>
      <c r="P150" s="11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50" s="32" t="s">
        <v>40</v>
      </c>
      <c r="R150" s="32">
        <v>7</v>
      </c>
    </row>
    <row r="151" spans="2:18" x14ac:dyDescent="0.3">
      <c r="B151" s="32" t="s">
        <v>151</v>
      </c>
      <c r="C151" s="32" t="s">
        <v>35</v>
      </c>
      <c r="D151" s="32" t="s">
        <v>177</v>
      </c>
      <c r="F151" s="32">
        <v>1</v>
      </c>
      <c r="G151" s="32">
        <v>1</v>
      </c>
      <c r="H151" s="32" t="s">
        <v>155</v>
      </c>
      <c r="K151" s="32" t="s">
        <v>159</v>
      </c>
      <c r="N15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13"/>
      <c r="P151" s="11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51" s="32" t="s">
        <v>40</v>
      </c>
      <c r="R151" s="32">
        <v>7</v>
      </c>
    </row>
    <row r="152" spans="2:18" x14ac:dyDescent="0.3">
      <c r="B152" s="32" t="s">
        <v>151</v>
      </c>
      <c r="C152" s="32" t="s">
        <v>35</v>
      </c>
      <c r="D152" s="32" t="s">
        <v>628</v>
      </c>
      <c r="F152" s="32">
        <v>1</v>
      </c>
      <c r="G152" s="32">
        <v>1</v>
      </c>
      <c r="H152" s="32" t="s">
        <v>155</v>
      </c>
      <c r="K152" s="32" t="s">
        <v>164</v>
      </c>
      <c r="N15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13"/>
      <c r="P152" s="11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52" s="32" t="s">
        <v>40</v>
      </c>
      <c r="R152" s="32">
        <v>7</v>
      </c>
    </row>
    <row r="153" spans="2:18" x14ac:dyDescent="0.3">
      <c r="B153" s="32" t="s">
        <v>151</v>
      </c>
      <c r="C153" s="32" t="s">
        <v>35</v>
      </c>
      <c r="D153" s="32" t="s">
        <v>177</v>
      </c>
      <c r="F153" s="32">
        <v>1</v>
      </c>
      <c r="G153" s="32">
        <v>1</v>
      </c>
      <c r="H153" s="32" t="s">
        <v>157</v>
      </c>
      <c r="K153" s="32" t="s">
        <v>158</v>
      </c>
      <c r="N15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13"/>
      <c r="P153" s="11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53" s="32" t="s">
        <v>40</v>
      </c>
      <c r="R153" s="32">
        <v>7</v>
      </c>
    </row>
    <row r="154" spans="2:18" x14ac:dyDescent="0.3">
      <c r="B154" s="32" t="s">
        <v>151</v>
      </c>
      <c r="C154" s="32" t="s">
        <v>35</v>
      </c>
      <c r="D154" s="32" t="s">
        <v>628</v>
      </c>
      <c r="F154" s="32">
        <v>1</v>
      </c>
      <c r="G154" s="32">
        <v>1</v>
      </c>
      <c r="H154" s="32" t="s">
        <v>157</v>
      </c>
      <c r="K154" s="32" t="s">
        <v>159</v>
      </c>
      <c r="N15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13"/>
      <c r="P154" s="11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54" s="32" t="s">
        <v>40</v>
      </c>
      <c r="R154" s="32">
        <v>7</v>
      </c>
    </row>
    <row r="155" spans="2:18" x14ac:dyDescent="0.3">
      <c r="B155" s="32" t="s">
        <v>151</v>
      </c>
      <c r="C155" s="32" t="s">
        <v>35</v>
      </c>
      <c r="D155" s="32" t="s">
        <v>628</v>
      </c>
      <c r="F155" s="32">
        <v>1</v>
      </c>
      <c r="G155" s="32">
        <v>1</v>
      </c>
      <c r="H155" s="32" t="s">
        <v>157</v>
      </c>
      <c r="K155" s="32" t="s">
        <v>164</v>
      </c>
      <c r="N155" s="11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55" s="13"/>
      <c r="P155" s="11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55" s="32" t="s">
        <v>40</v>
      </c>
      <c r="R155" s="32">
        <v>7</v>
      </c>
    </row>
    <row r="156" spans="2:18" x14ac:dyDescent="0.3">
      <c r="B156" s="32" t="s">
        <v>151</v>
      </c>
      <c r="C156" s="32" t="s">
        <v>35</v>
      </c>
      <c r="D156" s="32" t="s">
        <v>187</v>
      </c>
      <c r="E156" s="32" t="b">
        <v>1</v>
      </c>
      <c r="F156" s="32">
        <v>1</v>
      </c>
      <c r="G156" s="32">
        <v>1</v>
      </c>
      <c r="H156" s="32" t="s">
        <v>154</v>
      </c>
      <c r="K156" s="32" t="s">
        <v>158</v>
      </c>
      <c r="N15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13"/>
      <c r="P156" s="11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56" s="32" t="s">
        <v>40</v>
      </c>
      <c r="R156" s="32">
        <v>7</v>
      </c>
    </row>
    <row r="157" spans="2:18" x14ac:dyDescent="0.3">
      <c r="B157" s="32" t="s">
        <v>151</v>
      </c>
      <c r="C157" s="32" t="s">
        <v>35</v>
      </c>
      <c r="D157" s="32" t="s">
        <v>187</v>
      </c>
      <c r="E157" s="32" t="b">
        <v>1</v>
      </c>
      <c r="F157" s="32">
        <v>1</v>
      </c>
      <c r="G157" s="32">
        <v>1</v>
      </c>
      <c r="H157" s="32" t="s">
        <v>154</v>
      </c>
      <c r="K157" s="32" t="s">
        <v>159</v>
      </c>
      <c r="N15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13"/>
      <c r="P157" s="11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57" s="32" t="s">
        <v>40</v>
      </c>
      <c r="R157" s="32">
        <v>7</v>
      </c>
    </row>
    <row r="158" spans="2:18" x14ac:dyDescent="0.3">
      <c r="B158" s="32" t="s">
        <v>151</v>
      </c>
      <c r="C158" s="32" t="s">
        <v>35</v>
      </c>
      <c r="D158" s="32" t="s">
        <v>187</v>
      </c>
      <c r="E158" s="32" t="b">
        <v>1</v>
      </c>
      <c r="F158" s="32">
        <v>1</v>
      </c>
      <c r="G158" s="32">
        <v>1</v>
      </c>
      <c r="H158" s="32" t="s">
        <v>154</v>
      </c>
      <c r="K158" s="32" t="s">
        <v>164</v>
      </c>
      <c r="N15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13"/>
      <c r="P158" s="11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58" s="32" t="s">
        <v>40</v>
      </c>
      <c r="R158" s="32">
        <v>7</v>
      </c>
    </row>
    <row r="159" spans="2:18" x14ac:dyDescent="0.3">
      <c r="B159" s="32" t="s">
        <v>151</v>
      </c>
      <c r="C159" s="32" t="s">
        <v>35</v>
      </c>
      <c r="D159" s="32" t="s">
        <v>187</v>
      </c>
      <c r="E159" s="32" t="b">
        <v>1</v>
      </c>
      <c r="F159" s="32">
        <v>1</v>
      </c>
      <c r="G159" s="32">
        <v>1</v>
      </c>
      <c r="H159" s="32" t="s">
        <v>156</v>
      </c>
      <c r="K159" s="32" t="s">
        <v>158</v>
      </c>
      <c r="N15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13"/>
      <c r="P159" s="11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59" s="32" t="s">
        <v>40</v>
      </c>
      <c r="R159" s="32">
        <v>7</v>
      </c>
    </row>
    <row r="160" spans="2:18" x14ac:dyDescent="0.3">
      <c r="B160" s="32" t="s">
        <v>151</v>
      </c>
      <c r="C160" s="32" t="s">
        <v>35</v>
      </c>
      <c r="D160" s="32" t="s">
        <v>187</v>
      </c>
      <c r="E160" s="32" t="b">
        <v>1</v>
      </c>
      <c r="F160" s="32">
        <v>1</v>
      </c>
      <c r="G160" s="32">
        <v>1</v>
      </c>
      <c r="H160" s="32" t="s">
        <v>156</v>
      </c>
      <c r="K160" s="32" t="s">
        <v>159</v>
      </c>
      <c r="N16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13"/>
      <c r="P160" s="11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60" s="32" t="s">
        <v>40</v>
      </c>
      <c r="R160" s="32">
        <v>7</v>
      </c>
    </row>
    <row r="161" spans="2:18" x14ac:dyDescent="0.3">
      <c r="B161" s="32" t="s">
        <v>151</v>
      </c>
      <c r="C161" s="32" t="s">
        <v>35</v>
      </c>
      <c r="D161" s="32" t="s">
        <v>187</v>
      </c>
      <c r="E161" s="32" t="b">
        <v>1</v>
      </c>
      <c r="F161" s="32">
        <v>1</v>
      </c>
      <c r="G161" s="32">
        <v>1</v>
      </c>
      <c r="H161" s="32" t="s">
        <v>156</v>
      </c>
      <c r="K161" s="32" t="s">
        <v>164</v>
      </c>
      <c r="N16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13"/>
      <c r="P161" s="11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61" s="32" t="s">
        <v>40</v>
      </c>
      <c r="R161" s="32">
        <v>7</v>
      </c>
    </row>
    <row r="162" spans="2:18" x14ac:dyDescent="0.3">
      <c r="B162" s="32" t="s">
        <v>151</v>
      </c>
      <c r="C162" s="32" t="s">
        <v>35</v>
      </c>
      <c r="D162" s="32" t="s">
        <v>187</v>
      </c>
      <c r="E162" s="32" t="b">
        <v>1</v>
      </c>
      <c r="F162" s="32">
        <v>1</v>
      </c>
      <c r="G162" s="32">
        <v>1</v>
      </c>
      <c r="H162" s="32" t="s">
        <v>155</v>
      </c>
      <c r="K162" s="32" t="s">
        <v>158</v>
      </c>
      <c r="N16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13"/>
      <c r="P162" s="11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62" s="32" t="s">
        <v>40</v>
      </c>
      <c r="R162" s="32">
        <v>7</v>
      </c>
    </row>
    <row r="163" spans="2:18" x14ac:dyDescent="0.3">
      <c r="B163" s="32" t="s">
        <v>151</v>
      </c>
      <c r="C163" s="32" t="s">
        <v>35</v>
      </c>
      <c r="D163" s="32" t="s">
        <v>187</v>
      </c>
      <c r="E163" s="32" t="b">
        <v>1</v>
      </c>
      <c r="F163" s="32">
        <v>1</v>
      </c>
      <c r="G163" s="32">
        <v>1</v>
      </c>
      <c r="H163" s="32" t="s">
        <v>155</v>
      </c>
      <c r="K163" s="32" t="s">
        <v>159</v>
      </c>
      <c r="N16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13"/>
      <c r="P163" s="11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63" s="32" t="s">
        <v>40</v>
      </c>
      <c r="R163" s="32">
        <v>7</v>
      </c>
    </row>
    <row r="164" spans="2:18" x14ac:dyDescent="0.3">
      <c r="B164" s="32" t="s">
        <v>151</v>
      </c>
      <c r="C164" s="32" t="s">
        <v>35</v>
      </c>
      <c r="D164" s="32" t="s">
        <v>187</v>
      </c>
      <c r="E164" s="32" t="b">
        <v>1</v>
      </c>
      <c r="F164" s="32">
        <v>1</v>
      </c>
      <c r="G164" s="32">
        <v>1</v>
      </c>
      <c r="H164" s="32" t="s">
        <v>155</v>
      </c>
      <c r="K164" s="32" t="s">
        <v>164</v>
      </c>
      <c r="N16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13"/>
      <c r="P164" s="11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64" s="32" t="s">
        <v>40</v>
      </c>
      <c r="R164" s="32">
        <v>7</v>
      </c>
    </row>
    <row r="165" spans="2:18" x14ac:dyDescent="0.3">
      <c r="B165" s="32" t="s">
        <v>151</v>
      </c>
      <c r="C165" s="32" t="s">
        <v>35</v>
      </c>
      <c r="D165" s="32" t="s">
        <v>629</v>
      </c>
      <c r="E165" s="32" t="b">
        <v>1</v>
      </c>
      <c r="F165" s="32">
        <v>1</v>
      </c>
      <c r="G165" s="32">
        <v>1</v>
      </c>
      <c r="H165" s="32" t="s">
        <v>157</v>
      </c>
      <c r="K165" s="32" t="s">
        <v>158</v>
      </c>
      <c r="N16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13"/>
      <c r="P165" s="11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65" s="32" t="s">
        <v>40</v>
      </c>
      <c r="R165" s="32">
        <v>7</v>
      </c>
    </row>
    <row r="166" spans="2:18" x14ac:dyDescent="0.3">
      <c r="B166" s="32" t="s">
        <v>151</v>
      </c>
      <c r="C166" s="32" t="s">
        <v>35</v>
      </c>
      <c r="D166" s="32" t="s">
        <v>629</v>
      </c>
      <c r="E166" s="32" t="b">
        <v>1</v>
      </c>
      <c r="F166" s="32">
        <v>1</v>
      </c>
      <c r="G166" s="32">
        <v>1</v>
      </c>
      <c r="H166" s="32" t="s">
        <v>157</v>
      </c>
      <c r="K166" s="32" t="s">
        <v>159</v>
      </c>
      <c r="N16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13"/>
      <c r="P166" s="11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66" s="32" t="s">
        <v>40</v>
      </c>
      <c r="R166" s="32">
        <v>7</v>
      </c>
    </row>
    <row r="167" spans="2:18" x14ac:dyDescent="0.3">
      <c r="B167" s="32" t="s">
        <v>151</v>
      </c>
      <c r="C167" s="32" t="s">
        <v>35</v>
      </c>
      <c r="D167" s="32" t="s">
        <v>187</v>
      </c>
      <c r="E167" s="32" t="b">
        <v>1</v>
      </c>
      <c r="F167" s="32">
        <v>1</v>
      </c>
      <c r="G167" s="32">
        <v>1</v>
      </c>
      <c r="H167" s="32" t="s">
        <v>157</v>
      </c>
      <c r="K167" s="32" t="s">
        <v>164</v>
      </c>
      <c r="N167" s="11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67" s="13"/>
      <c r="P167" s="11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67" s="32" t="s">
        <v>40</v>
      </c>
      <c r="R167" s="32">
        <v>7</v>
      </c>
    </row>
    <row r="168" spans="2:18" x14ac:dyDescent="0.3">
      <c r="B168" s="32" t="s">
        <v>151</v>
      </c>
      <c r="C168" s="32" t="s">
        <v>35</v>
      </c>
      <c r="D168" s="32" t="s">
        <v>174</v>
      </c>
      <c r="F168" s="32">
        <v>2</v>
      </c>
      <c r="H168" s="32" t="s">
        <v>152</v>
      </c>
      <c r="I168" s="32" t="s">
        <v>152</v>
      </c>
      <c r="N16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13"/>
      <c r="P168" s="11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68" s="32" t="s">
        <v>40</v>
      </c>
      <c r="R168" s="32">
        <v>7</v>
      </c>
    </row>
    <row r="169" spans="2:18" x14ac:dyDescent="0.3">
      <c r="B169" s="32" t="s">
        <v>151</v>
      </c>
      <c r="C169" s="32" t="s">
        <v>35</v>
      </c>
      <c r="D169" s="32" t="s">
        <v>174</v>
      </c>
      <c r="F169" s="32">
        <v>2</v>
      </c>
      <c r="H169" s="32" t="s">
        <v>152</v>
      </c>
      <c r="I169" s="32" t="s">
        <v>153</v>
      </c>
      <c r="N16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13"/>
      <c r="P169" s="11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69" s="32" t="s">
        <v>40</v>
      </c>
      <c r="R169" s="32">
        <v>7</v>
      </c>
    </row>
    <row r="170" spans="2:18" x14ac:dyDescent="0.3">
      <c r="B170" s="32" t="s">
        <v>151</v>
      </c>
      <c r="C170" s="32" t="s">
        <v>35</v>
      </c>
      <c r="D170" s="32" t="s">
        <v>174</v>
      </c>
      <c r="F170" s="32">
        <v>2</v>
      </c>
      <c r="H170" s="32" t="s">
        <v>152</v>
      </c>
      <c r="I170" s="32" t="s">
        <v>154</v>
      </c>
      <c r="N17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13"/>
      <c r="P170" s="11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70" s="32" t="s">
        <v>40</v>
      </c>
      <c r="R170" s="32">
        <v>7</v>
      </c>
    </row>
    <row r="171" spans="2:18" x14ac:dyDescent="0.3">
      <c r="B171" s="32" t="s">
        <v>151</v>
      </c>
      <c r="C171" s="32" t="s">
        <v>35</v>
      </c>
      <c r="D171" s="32" t="s">
        <v>174</v>
      </c>
      <c r="F171" s="32">
        <v>2</v>
      </c>
      <c r="H171" s="32" t="s">
        <v>152</v>
      </c>
      <c r="I171" s="32" t="s">
        <v>155</v>
      </c>
      <c r="N17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13"/>
      <c r="P171" s="11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71" s="32" t="s">
        <v>40</v>
      </c>
      <c r="R171" s="32">
        <v>7</v>
      </c>
    </row>
    <row r="172" spans="2:18" x14ac:dyDescent="0.3">
      <c r="B172" s="32" t="s">
        <v>151</v>
      </c>
      <c r="C172" s="32" t="s">
        <v>35</v>
      </c>
      <c r="D172" s="32" t="s">
        <v>174</v>
      </c>
      <c r="F172" s="32">
        <v>2</v>
      </c>
      <c r="H172" s="32" t="s">
        <v>152</v>
      </c>
      <c r="I172" s="32" t="s">
        <v>156</v>
      </c>
      <c r="N17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13"/>
      <c r="P172" s="11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72" s="32" t="s">
        <v>40</v>
      </c>
      <c r="R172" s="32">
        <v>7</v>
      </c>
    </row>
    <row r="173" spans="2:18" x14ac:dyDescent="0.3">
      <c r="B173" s="32" t="s">
        <v>151</v>
      </c>
      <c r="C173" s="32" t="s">
        <v>35</v>
      </c>
      <c r="D173" s="32" t="s">
        <v>174</v>
      </c>
      <c r="F173" s="32">
        <v>2</v>
      </c>
      <c r="H173" s="32" t="s">
        <v>152</v>
      </c>
      <c r="I173" s="32" t="s">
        <v>157</v>
      </c>
      <c r="N17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13"/>
      <c r="P173" s="11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73" s="32" t="s">
        <v>40</v>
      </c>
      <c r="R173" s="32">
        <v>7</v>
      </c>
    </row>
    <row r="174" spans="2:18" x14ac:dyDescent="0.3">
      <c r="B174" s="32" t="s">
        <v>151</v>
      </c>
      <c r="C174" s="32" t="s">
        <v>35</v>
      </c>
      <c r="D174" s="32" t="s">
        <v>174</v>
      </c>
      <c r="F174" s="32">
        <v>2</v>
      </c>
      <c r="H174" s="32" t="s">
        <v>153</v>
      </c>
      <c r="I174" s="32" t="s">
        <v>153</v>
      </c>
      <c r="N17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13"/>
      <c r="P174" s="11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74" s="32" t="s">
        <v>40</v>
      </c>
      <c r="R174" s="32">
        <v>7</v>
      </c>
    </row>
    <row r="175" spans="2:18" x14ac:dyDescent="0.3">
      <c r="B175" s="32" t="s">
        <v>151</v>
      </c>
      <c r="C175" s="32" t="s">
        <v>35</v>
      </c>
      <c r="D175" s="32" t="s">
        <v>174</v>
      </c>
      <c r="F175" s="32">
        <v>2</v>
      </c>
      <c r="H175" s="32" t="s">
        <v>153</v>
      </c>
      <c r="I175" s="32" t="s">
        <v>154</v>
      </c>
      <c r="N17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13"/>
      <c r="P175" s="11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75" s="32" t="s">
        <v>40</v>
      </c>
      <c r="R175" s="32">
        <v>7</v>
      </c>
    </row>
    <row r="176" spans="2:18" x14ac:dyDescent="0.3">
      <c r="B176" s="32" t="s">
        <v>151</v>
      </c>
      <c r="C176" s="32" t="s">
        <v>35</v>
      </c>
      <c r="D176" s="32" t="s">
        <v>174</v>
      </c>
      <c r="F176" s="32">
        <v>2</v>
      </c>
      <c r="H176" s="32" t="s">
        <v>153</v>
      </c>
      <c r="I176" s="32" t="s">
        <v>155</v>
      </c>
      <c r="N17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13"/>
      <c r="P176" s="11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76" s="32" t="s">
        <v>40</v>
      </c>
      <c r="R176" s="32">
        <v>7</v>
      </c>
    </row>
    <row r="177" spans="2:18" x14ac:dyDescent="0.3">
      <c r="B177" s="32" t="s">
        <v>151</v>
      </c>
      <c r="C177" s="32" t="s">
        <v>35</v>
      </c>
      <c r="D177" s="32" t="s">
        <v>174</v>
      </c>
      <c r="F177" s="32">
        <v>2</v>
      </c>
      <c r="H177" s="32" t="s">
        <v>153</v>
      </c>
      <c r="I177" s="32" t="s">
        <v>156</v>
      </c>
      <c r="N17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13"/>
      <c r="P177" s="11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77" s="32" t="s">
        <v>40</v>
      </c>
      <c r="R177" s="32">
        <v>7</v>
      </c>
    </row>
    <row r="178" spans="2:18" x14ac:dyDescent="0.3">
      <c r="B178" s="32" t="s">
        <v>151</v>
      </c>
      <c r="C178" s="32" t="s">
        <v>35</v>
      </c>
      <c r="D178" s="32" t="s">
        <v>174</v>
      </c>
      <c r="F178" s="32">
        <v>2</v>
      </c>
      <c r="H178" s="32" t="s">
        <v>153</v>
      </c>
      <c r="I178" s="32" t="s">
        <v>157</v>
      </c>
      <c r="N17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13"/>
      <c r="P178" s="11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78" s="32" t="s">
        <v>40</v>
      </c>
      <c r="R178" s="32">
        <v>7</v>
      </c>
    </row>
    <row r="179" spans="2:18" x14ac:dyDescent="0.3">
      <c r="B179" s="32" t="s">
        <v>151</v>
      </c>
      <c r="C179" s="32" t="s">
        <v>35</v>
      </c>
      <c r="D179" s="32" t="s">
        <v>174</v>
      </c>
      <c r="F179" s="32">
        <v>2</v>
      </c>
      <c r="H179" s="32" t="s">
        <v>154</v>
      </c>
      <c r="I179" s="32" t="s">
        <v>154</v>
      </c>
      <c r="N17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13"/>
      <c r="P179" s="11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79" s="32" t="s">
        <v>40</v>
      </c>
      <c r="R179" s="32">
        <v>7</v>
      </c>
    </row>
    <row r="180" spans="2:18" x14ac:dyDescent="0.3">
      <c r="B180" s="32" t="s">
        <v>151</v>
      </c>
      <c r="C180" s="32" t="s">
        <v>35</v>
      </c>
      <c r="D180" s="32" t="s">
        <v>174</v>
      </c>
      <c r="F180" s="32">
        <v>2</v>
      </c>
      <c r="H180" s="32" t="s">
        <v>154</v>
      </c>
      <c r="I180" s="32" t="s">
        <v>155</v>
      </c>
      <c r="N18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13"/>
      <c r="P180" s="11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80" s="32" t="s">
        <v>40</v>
      </c>
      <c r="R180" s="32">
        <v>7</v>
      </c>
    </row>
    <row r="181" spans="2:18" x14ac:dyDescent="0.3">
      <c r="B181" s="32" t="s">
        <v>151</v>
      </c>
      <c r="C181" s="32" t="s">
        <v>35</v>
      </c>
      <c r="D181" s="32" t="s">
        <v>174</v>
      </c>
      <c r="F181" s="32">
        <v>2</v>
      </c>
      <c r="H181" s="32" t="s">
        <v>154</v>
      </c>
      <c r="I181" s="32" t="s">
        <v>156</v>
      </c>
      <c r="N18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13"/>
      <c r="P181" s="11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81" s="32" t="s">
        <v>40</v>
      </c>
      <c r="R181" s="32">
        <v>7</v>
      </c>
    </row>
    <row r="182" spans="2:18" x14ac:dyDescent="0.3">
      <c r="B182" s="32" t="s">
        <v>151</v>
      </c>
      <c r="C182" s="32" t="s">
        <v>35</v>
      </c>
      <c r="D182" s="32" t="s">
        <v>174</v>
      </c>
      <c r="F182" s="32">
        <v>2</v>
      </c>
      <c r="H182" s="32" t="s">
        <v>154</v>
      </c>
      <c r="I182" s="32" t="s">
        <v>157</v>
      </c>
      <c r="N18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13"/>
      <c r="P182" s="11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82" s="32" t="s">
        <v>40</v>
      </c>
      <c r="R182" s="32">
        <v>7</v>
      </c>
    </row>
    <row r="183" spans="2:18" x14ac:dyDescent="0.3">
      <c r="B183" s="32" t="s">
        <v>151</v>
      </c>
      <c r="C183" s="32" t="s">
        <v>35</v>
      </c>
      <c r="D183" s="32" t="s">
        <v>174</v>
      </c>
      <c r="F183" s="32">
        <v>2</v>
      </c>
      <c r="H183" s="32" t="s">
        <v>155</v>
      </c>
      <c r="I183" s="32" t="s">
        <v>155</v>
      </c>
      <c r="N18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13"/>
      <c r="P183" s="11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83" s="32" t="s">
        <v>40</v>
      </c>
      <c r="R183" s="32">
        <v>7</v>
      </c>
    </row>
    <row r="184" spans="2:18" x14ac:dyDescent="0.3">
      <c r="B184" s="32" t="s">
        <v>151</v>
      </c>
      <c r="C184" s="32" t="s">
        <v>35</v>
      </c>
      <c r="D184" s="32" t="s">
        <v>174</v>
      </c>
      <c r="F184" s="32">
        <v>2</v>
      </c>
      <c r="H184" s="32" t="s">
        <v>155</v>
      </c>
      <c r="I184" s="32" t="s">
        <v>156</v>
      </c>
      <c r="N18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13"/>
      <c r="P184" s="11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84" s="32" t="s">
        <v>40</v>
      </c>
      <c r="R184" s="32">
        <v>7</v>
      </c>
    </row>
    <row r="185" spans="2:18" x14ac:dyDescent="0.3">
      <c r="B185" s="32" t="s">
        <v>151</v>
      </c>
      <c r="C185" s="32" t="s">
        <v>35</v>
      </c>
      <c r="D185" s="32" t="s">
        <v>174</v>
      </c>
      <c r="F185" s="32">
        <v>2</v>
      </c>
      <c r="H185" s="32" t="s">
        <v>155</v>
      </c>
      <c r="I185" s="32" t="s">
        <v>157</v>
      </c>
      <c r="N18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13"/>
      <c r="P185" s="11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85" s="32" t="s">
        <v>40</v>
      </c>
      <c r="R185" s="32">
        <v>7</v>
      </c>
    </row>
    <row r="186" spans="2:18" x14ac:dyDescent="0.3">
      <c r="B186" s="32" t="s">
        <v>151</v>
      </c>
      <c r="C186" s="32" t="s">
        <v>35</v>
      </c>
      <c r="D186" s="32" t="s">
        <v>174</v>
      </c>
      <c r="F186" s="32">
        <v>2</v>
      </c>
      <c r="H186" s="32" t="s">
        <v>156</v>
      </c>
      <c r="I186" s="32" t="s">
        <v>156</v>
      </c>
      <c r="N18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13"/>
      <c r="P186" s="11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86" s="32" t="s">
        <v>40</v>
      </c>
      <c r="R186" s="32">
        <v>7</v>
      </c>
    </row>
    <row r="187" spans="2:18" x14ac:dyDescent="0.3">
      <c r="B187" s="32" t="s">
        <v>151</v>
      </c>
      <c r="C187" s="32" t="s">
        <v>35</v>
      </c>
      <c r="D187" s="32" t="s">
        <v>174</v>
      </c>
      <c r="F187" s="32">
        <v>2</v>
      </c>
      <c r="H187" s="32" t="s">
        <v>156</v>
      </c>
      <c r="I187" s="32" t="s">
        <v>157</v>
      </c>
      <c r="N18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13"/>
      <c r="P187" s="11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87" s="32" t="s">
        <v>40</v>
      </c>
      <c r="R187" s="32">
        <v>7</v>
      </c>
    </row>
    <row r="188" spans="2:18" x14ac:dyDescent="0.3">
      <c r="B188" s="32" t="s">
        <v>151</v>
      </c>
      <c r="C188" s="32" t="s">
        <v>35</v>
      </c>
      <c r="D188" s="32" t="s">
        <v>174</v>
      </c>
      <c r="F188" s="32">
        <v>2</v>
      </c>
      <c r="H188" s="32" t="s">
        <v>157</v>
      </c>
      <c r="I188" s="32" t="s">
        <v>157</v>
      </c>
      <c r="N18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13"/>
      <c r="P188" s="11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88" s="32" t="s">
        <v>40</v>
      </c>
      <c r="R188" s="32">
        <v>7</v>
      </c>
    </row>
    <row r="189" spans="2:18" x14ac:dyDescent="0.3">
      <c r="B189" s="32" t="s">
        <v>151</v>
      </c>
      <c r="C189" s="32" t="s">
        <v>35</v>
      </c>
      <c r="D189" s="32" t="s">
        <v>188</v>
      </c>
      <c r="E189" s="32" t="b">
        <v>1</v>
      </c>
      <c r="F189" s="32">
        <v>2</v>
      </c>
      <c r="H189" s="32" t="s">
        <v>152</v>
      </c>
      <c r="I189" s="32" t="s">
        <v>152</v>
      </c>
      <c r="N18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13"/>
      <c r="P189" s="11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89" s="32" t="s">
        <v>40</v>
      </c>
      <c r="R189" s="32">
        <v>7</v>
      </c>
    </row>
    <row r="190" spans="2:18" x14ac:dyDescent="0.3">
      <c r="B190" s="32" t="s">
        <v>151</v>
      </c>
      <c r="C190" s="32" t="s">
        <v>35</v>
      </c>
      <c r="D190" s="32" t="s">
        <v>188</v>
      </c>
      <c r="E190" s="32" t="b">
        <v>1</v>
      </c>
      <c r="F190" s="32">
        <v>2</v>
      </c>
      <c r="H190" s="32" t="s">
        <v>152</v>
      </c>
      <c r="I190" s="32" t="s">
        <v>153</v>
      </c>
      <c r="N19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13"/>
      <c r="P190" s="11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90" s="32" t="s">
        <v>40</v>
      </c>
      <c r="R190" s="32">
        <v>7</v>
      </c>
    </row>
    <row r="191" spans="2:18" x14ac:dyDescent="0.3">
      <c r="B191" s="32" t="s">
        <v>151</v>
      </c>
      <c r="C191" s="32" t="s">
        <v>35</v>
      </c>
      <c r="D191" s="32" t="s">
        <v>188</v>
      </c>
      <c r="E191" s="32" t="b">
        <v>1</v>
      </c>
      <c r="F191" s="32">
        <v>2</v>
      </c>
      <c r="H191" s="32" t="s">
        <v>152</v>
      </c>
      <c r="I191" s="32" t="s">
        <v>154</v>
      </c>
      <c r="N19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13"/>
      <c r="P191" s="11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91" s="32" t="s">
        <v>40</v>
      </c>
      <c r="R191" s="32">
        <v>7</v>
      </c>
    </row>
    <row r="192" spans="2:18" x14ac:dyDescent="0.3">
      <c r="B192" s="32" t="s">
        <v>151</v>
      </c>
      <c r="C192" s="32" t="s">
        <v>35</v>
      </c>
      <c r="D192" s="32" t="s">
        <v>188</v>
      </c>
      <c r="E192" s="32" t="b">
        <v>1</v>
      </c>
      <c r="F192" s="32">
        <v>2</v>
      </c>
      <c r="H192" s="32" t="s">
        <v>152</v>
      </c>
      <c r="I192" s="32" t="s">
        <v>155</v>
      </c>
      <c r="N19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13"/>
      <c r="P192" s="11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92" s="32" t="s">
        <v>40</v>
      </c>
      <c r="R192" s="32">
        <v>7</v>
      </c>
    </row>
    <row r="193" spans="2:18" x14ac:dyDescent="0.3">
      <c r="B193" s="32" t="s">
        <v>151</v>
      </c>
      <c r="C193" s="32" t="s">
        <v>35</v>
      </c>
      <c r="D193" s="32" t="s">
        <v>188</v>
      </c>
      <c r="E193" s="32" t="b">
        <v>1</v>
      </c>
      <c r="F193" s="32">
        <v>2</v>
      </c>
      <c r="H193" s="32" t="s">
        <v>152</v>
      </c>
      <c r="I193" s="32" t="s">
        <v>156</v>
      </c>
      <c r="N19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13"/>
      <c r="P193" s="11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93" s="32" t="s">
        <v>40</v>
      </c>
      <c r="R193" s="32">
        <v>7</v>
      </c>
    </row>
    <row r="194" spans="2:18" x14ac:dyDescent="0.3">
      <c r="B194" s="32" t="s">
        <v>151</v>
      </c>
      <c r="C194" s="32" t="s">
        <v>35</v>
      </c>
      <c r="D194" s="32" t="s">
        <v>188</v>
      </c>
      <c r="E194" s="32" t="b">
        <v>1</v>
      </c>
      <c r="F194" s="32">
        <v>2</v>
      </c>
      <c r="H194" s="32" t="s">
        <v>152</v>
      </c>
      <c r="I194" s="32" t="s">
        <v>157</v>
      </c>
      <c r="N19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13"/>
      <c r="P194" s="11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94" s="32" t="s">
        <v>40</v>
      </c>
      <c r="R194" s="32">
        <v>7</v>
      </c>
    </row>
    <row r="195" spans="2:18" x14ac:dyDescent="0.3">
      <c r="B195" s="32" t="s">
        <v>151</v>
      </c>
      <c r="C195" s="32" t="s">
        <v>35</v>
      </c>
      <c r="D195" s="32" t="s">
        <v>188</v>
      </c>
      <c r="E195" s="32" t="b">
        <v>1</v>
      </c>
      <c r="F195" s="32">
        <v>2</v>
      </c>
      <c r="H195" s="32" t="s">
        <v>153</v>
      </c>
      <c r="I195" s="32" t="s">
        <v>153</v>
      </c>
      <c r="N19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13"/>
      <c r="P195" s="11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95" s="32" t="s">
        <v>40</v>
      </c>
      <c r="R195" s="32">
        <v>7</v>
      </c>
    </row>
    <row r="196" spans="2:18" x14ac:dyDescent="0.3">
      <c r="B196" s="32" t="s">
        <v>151</v>
      </c>
      <c r="C196" s="32" t="s">
        <v>35</v>
      </c>
      <c r="D196" s="32" t="s">
        <v>188</v>
      </c>
      <c r="E196" s="32" t="b">
        <v>1</v>
      </c>
      <c r="F196" s="32">
        <v>2</v>
      </c>
      <c r="H196" s="32" t="s">
        <v>153</v>
      </c>
      <c r="I196" s="32" t="s">
        <v>154</v>
      </c>
      <c r="N19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13"/>
      <c r="P196" s="11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96" s="32" t="s">
        <v>40</v>
      </c>
      <c r="R196" s="32">
        <v>7</v>
      </c>
    </row>
    <row r="197" spans="2:18" x14ac:dyDescent="0.3">
      <c r="B197" s="32" t="s">
        <v>151</v>
      </c>
      <c r="C197" s="32" t="s">
        <v>35</v>
      </c>
      <c r="D197" s="32" t="s">
        <v>188</v>
      </c>
      <c r="E197" s="32" t="b">
        <v>1</v>
      </c>
      <c r="F197" s="32">
        <v>2</v>
      </c>
      <c r="H197" s="32" t="s">
        <v>153</v>
      </c>
      <c r="I197" s="32" t="s">
        <v>155</v>
      </c>
      <c r="N19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13"/>
      <c r="P197" s="11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97" s="32" t="s">
        <v>40</v>
      </c>
      <c r="R197" s="32">
        <v>7</v>
      </c>
    </row>
    <row r="198" spans="2:18" x14ac:dyDescent="0.3">
      <c r="B198" s="32" t="s">
        <v>151</v>
      </c>
      <c r="C198" s="32" t="s">
        <v>35</v>
      </c>
      <c r="D198" s="32" t="s">
        <v>188</v>
      </c>
      <c r="E198" s="32" t="b">
        <v>1</v>
      </c>
      <c r="F198" s="32">
        <v>2</v>
      </c>
      <c r="H198" s="32" t="s">
        <v>153</v>
      </c>
      <c r="I198" s="32" t="s">
        <v>156</v>
      </c>
      <c r="N19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13"/>
      <c r="P198" s="11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98" s="32" t="s">
        <v>40</v>
      </c>
      <c r="R198" s="32">
        <v>7</v>
      </c>
    </row>
    <row r="199" spans="2:18" x14ac:dyDescent="0.3">
      <c r="B199" s="32" t="s">
        <v>151</v>
      </c>
      <c r="C199" s="32" t="s">
        <v>35</v>
      </c>
      <c r="D199" s="32" t="s">
        <v>188</v>
      </c>
      <c r="E199" s="32" t="b">
        <v>1</v>
      </c>
      <c r="F199" s="32">
        <v>2</v>
      </c>
      <c r="H199" s="32" t="s">
        <v>153</v>
      </c>
      <c r="I199" s="32" t="s">
        <v>157</v>
      </c>
      <c r="N19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13"/>
      <c r="P199" s="11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99" s="32" t="s">
        <v>40</v>
      </c>
      <c r="R199" s="32">
        <v>7</v>
      </c>
    </row>
    <row r="200" spans="2:18" x14ac:dyDescent="0.3">
      <c r="B200" s="32" t="s">
        <v>151</v>
      </c>
      <c r="C200" s="32" t="s">
        <v>35</v>
      </c>
      <c r="D200" s="32" t="s">
        <v>188</v>
      </c>
      <c r="E200" s="32" t="b">
        <v>1</v>
      </c>
      <c r="F200" s="32">
        <v>2</v>
      </c>
      <c r="H200" s="32" t="s">
        <v>154</v>
      </c>
      <c r="I200" s="32" t="s">
        <v>154</v>
      </c>
      <c r="N20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13"/>
      <c r="P200" s="11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200" s="32" t="s">
        <v>40</v>
      </c>
      <c r="R200" s="32">
        <v>7</v>
      </c>
    </row>
    <row r="201" spans="2:18" x14ac:dyDescent="0.3">
      <c r="B201" s="32" t="s">
        <v>151</v>
      </c>
      <c r="C201" s="32" t="s">
        <v>35</v>
      </c>
      <c r="D201" s="32" t="s">
        <v>188</v>
      </c>
      <c r="E201" s="32" t="b">
        <v>1</v>
      </c>
      <c r="F201" s="32">
        <v>2</v>
      </c>
      <c r="H201" s="32" t="s">
        <v>154</v>
      </c>
      <c r="I201" s="32" t="s">
        <v>155</v>
      </c>
      <c r="N20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13"/>
      <c r="P201" s="11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201" s="32" t="s">
        <v>40</v>
      </c>
      <c r="R201" s="32">
        <v>7</v>
      </c>
    </row>
    <row r="202" spans="2:18" x14ac:dyDescent="0.3">
      <c r="B202" s="32" t="s">
        <v>151</v>
      </c>
      <c r="C202" s="32" t="s">
        <v>35</v>
      </c>
      <c r="D202" s="32" t="s">
        <v>188</v>
      </c>
      <c r="E202" s="32" t="b">
        <v>1</v>
      </c>
      <c r="F202" s="32">
        <v>2</v>
      </c>
      <c r="H202" s="32" t="s">
        <v>154</v>
      </c>
      <c r="I202" s="32" t="s">
        <v>156</v>
      </c>
      <c r="N20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13"/>
      <c r="P202" s="11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202" s="32" t="s">
        <v>40</v>
      </c>
      <c r="R202" s="32">
        <v>7</v>
      </c>
    </row>
    <row r="203" spans="2:18" x14ac:dyDescent="0.3">
      <c r="B203" s="32" t="s">
        <v>151</v>
      </c>
      <c r="C203" s="32" t="s">
        <v>35</v>
      </c>
      <c r="D203" s="32" t="s">
        <v>188</v>
      </c>
      <c r="E203" s="32" t="b">
        <v>1</v>
      </c>
      <c r="F203" s="32">
        <v>2</v>
      </c>
      <c r="H203" s="32" t="s">
        <v>154</v>
      </c>
      <c r="I203" s="32" t="s">
        <v>157</v>
      </c>
      <c r="N20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13"/>
      <c r="P203" s="11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203" s="32" t="s">
        <v>40</v>
      </c>
      <c r="R203" s="32">
        <v>7</v>
      </c>
    </row>
    <row r="204" spans="2:18" x14ac:dyDescent="0.3">
      <c r="B204" s="32" t="s">
        <v>151</v>
      </c>
      <c r="C204" s="32" t="s">
        <v>35</v>
      </c>
      <c r="D204" s="32" t="s">
        <v>188</v>
      </c>
      <c r="E204" s="32" t="b">
        <v>1</v>
      </c>
      <c r="F204" s="32">
        <v>2</v>
      </c>
      <c r="H204" s="32" t="s">
        <v>155</v>
      </c>
      <c r="I204" s="32" t="s">
        <v>155</v>
      </c>
      <c r="N20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13"/>
      <c r="P204" s="11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204" s="32" t="s">
        <v>40</v>
      </c>
      <c r="R204" s="32">
        <v>7</v>
      </c>
    </row>
    <row r="205" spans="2:18" x14ac:dyDescent="0.3">
      <c r="B205" s="32" t="s">
        <v>151</v>
      </c>
      <c r="C205" s="32" t="s">
        <v>35</v>
      </c>
      <c r="D205" s="32" t="s">
        <v>188</v>
      </c>
      <c r="E205" s="32" t="b">
        <v>1</v>
      </c>
      <c r="F205" s="32">
        <v>2</v>
      </c>
      <c r="H205" s="32" t="s">
        <v>155</v>
      </c>
      <c r="I205" s="32" t="s">
        <v>156</v>
      </c>
      <c r="N20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13"/>
      <c r="P205" s="11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205" s="32" t="s">
        <v>40</v>
      </c>
      <c r="R205" s="32">
        <v>7</v>
      </c>
    </row>
    <row r="206" spans="2:18" x14ac:dyDescent="0.3">
      <c r="B206" s="32" t="s">
        <v>151</v>
      </c>
      <c r="C206" s="32" t="s">
        <v>35</v>
      </c>
      <c r="D206" s="32" t="s">
        <v>188</v>
      </c>
      <c r="E206" s="32" t="b">
        <v>1</v>
      </c>
      <c r="F206" s="32">
        <v>2</v>
      </c>
      <c r="H206" s="32" t="s">
        <v>155</v>
      </c>
      <c r="I206" s="32" t="s">
        <v>157</v>
      </c>
      <c r="N20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13"/>
      <c r="P206" s="11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206" s="32" t="s">
        <v>40</v>
      </c>
      <c r="R206" s="32">
        <v>7</v>
      </c>
    </row>
    <row r="207" spans="2:18" x14ac:dyDescent="0.3">
      <c r="B207" s="32" t="s">
        <v>151</v>
      </c>
      <c r="C207" s="32" t="s">
        <v>35</v>
      </c>
      <c r="D207" s="32" t="s">
        <v>188</v>
      </c>
      <c r="E207" s="32" t="b">
        <v>1</v>
      </c>
      <c r="F207" s="32">
        <v>2</v>
      </c>
      <c r="H207" s="32" t="s">
        <v>156</v>
      </c>
      <c r="I207" s="32" t="s">
        <v>156</v>
      </c>
      <c r="N20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13"/>
      <c r="P207" s="11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07" s="32" t="s">
        <v>40</v>
      </c>
      <c r="R207" s="32">
        <v>7</v>
      </c>
    </row>
    <row r="208" spans="2:18" x14ac:dyDescent="0.3">
      <c r="B208" s="32" t="s">
        <v>151</v>
      </c>
      <c r="C208" s="32" t="s">
        <v>35</v>
      </c>
      <c r="D208" s="32" t="s">
        <v>188</v>
      </c>
      <c r="E208" s="32" t="b">
        <v>1</v>
      </c>
      <c r="F208" s="32">
        <v>2</v>
      </c>
      <c r="H208" s="32" t="s">
        <v>156</v>
      </c>
      <c r="I208" s="32" t="s">
        <v>157</v>
      </c>
      <c r="N20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13"/>
      <c r="P208" s="11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08" s="32" t="s">
        <v>40</v>
      </c>
      <c r="R208" s="32">
        <v>7</v>
      </c>
    </row>
    <row r="209" spans="2:18" x14ac:dyDescent="0.3">
      <c r="B209" s="32" t="s">
        <v>151</v>
      </c>
      <c r="C209" s="32" t="s">
        <v>35</v>
      </c>
      <c r="D209" s="32" t="s">
        <v>188</v>
      </c>
      <c r="E209" s="32" t="b">
        <v>1</v>
      </c>
      <c r="F209" s="32">
        <v>2</v>
      </c>
      <c r="H209" s="32" t="s">
        <v>157</v>
      </c>
      <c r="I209" s="32" t="s">
        <v>157</v>
      </c>
      <c r="N20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13"/>
      <c r="P209" s="11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09" s="32" t="s">
        <v>40</v>
      </c>
      <c r="R209" s="32">
        <v>7</v>
      </c>
    </row>
    <row r="210" spans="2:18" x14ac:dyDescent="0.3">
      <c r="B210" s="32" t="s">
        <v>151</v>
      </c>
      <c r="C210" s="32" t="s">
        <v>35</v>
      </c>
      <c r="D210" s="32" t="s">
        <v>922</v>
      </c>
      <c r="F210" s="32">
        <v>3</v>
      </c>
      <c r="H210" s="32" t="s">
        <v>152</v>
      </c>
      <c r="I210" s="32" t="s">
        <v>152</v>
      </c>
      <c r="J210" s="32" t="s">
        <v>154</v>
      </c>
      <c r="N21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13"/>
      <c r="P210" s="11" t="str">
        <f>tbGroup[[#This Row],[Camp]]&amp;"-"&amp;tbGroup[[#This Row],[Difficulty]]&amp;"-"&amp;GET_GROUP_NAME(tbGroup[[#This Row],[IsBoss]],tbGroup[[#This Row],[Hero1]:[Soldier3]])&amp;tbGroup[[#This Row],[Suffix]]</f>
        <v>三国-困难-铁英+铁英+强英</v>
      </c>
      <c r="Q210" s="32" t="s">
        <v>40</v>
      </c>
      <c r="R210" s="32">
        <v>0</v>
      </c>
    </row>
    <row r="211" spans="2:18" x14ac:dyDescent="0.3">
      <c r="B211" s="32" t="s">
        <v>151</v>
      </c>
      <c r="C211" s="32" t="s">
        <v>35</v>
      </c>
      <c r="D211" s="32" t="s">
        <v>922</v>
      </c>
      <c r="F211" s="32">
        <v>3</v>
      </c>
      <c r="H211" s="32" t="s">
        <v>152</v>
      </c>
      <c r="I211" s="32" t="s">
        <v>152</v>
      </c>
      <c r="J211" s="32" t="s">
        <v>155</v>
      </c>
      <c r="N21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13"/>
      <c r="P211" s="11" t="str">
        <f>tbGroup[[#This Row],[Camp]]&amp;"-"&amp;tbGroup[[#This Row],[Difficulty]]&amp;"-"&amp;GET_GROUP_NAME(tbGroup[[#This Row],[IsBoss]],tbGroup[[#This Row],[Hero1]:[Soldier3]])&amp;tbGroup[[#This Row],[Suffix]]</f>
        <v>三国-困难-铁英+铁英+炼英</v>
      </c>
      <c r="Q211" s="32" t="s">
        <v>40</v>
      </c>
      <c r="R211" s="32">
        <v>0</v>
      </c>
    </row>
    <row r="212" spans="2:18" x14ac:dyDescent="0.3">
      <c r="B212" s="32" t="s">
        <v>151</v>
      </c>
      <c r="C212" s="32" t="s">
        <v>35</v>
      </c>
      <c r="D212" s="32" t="s">
        <v>922</v>
      </c>
      <c r="F212" s="32">
        <v>3</v>
      </c>
      <c r="H212" s="32" t="s">
        <v>152</v>
      </c>
      <c r="I212" s="32" t="s">
        <v>152</v>
      </c>
      <c r="J212" s="32" t="s">
        <v>156</v>
      </c>
      <c r="N21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13"/>
      <c r="P212" s="11" t="str">
        <f>tbGroup[[#This Row],[Camp]]&amp;"-"&amp;tbGroup[[#This Row],[Difficulty]]&amp;"-"&amp;GET_GROUP_NAME(tbGroup[[#This Row],[IsBoss]],tbGroup[[#This Row],[Hero1]:[Soldier3]])&amp;tbGroup[[#This Row],[Suffix]]</f>
        <v>三国-困难-铁英+铁英+法英</v>
      </c>
      <c r="Q212" s="32" t="s">
        <v>40</v>
      </c>
      <c r="R212" s="32">
        <v>0</v>
      </c>
    </row>
    <row r="213" spans="2:18" x14ac:dyDescent="0.3">
      <c r="B213" s="32" t="s">
        <v>151</v>
      </c>
      <c r="C213" s="32" t="s">
        <v>35</v>
      </c>
      <c r="D213" s="32" t="s">
        <v>922</v>
      </c>
      <c r="F213" s="32">
        <v>3</v>
      </c>
      <c r="H213" s="32" t="s">
        <v>152</v>
      </c>
      <c r="I213" s="32" t="s">
        <v>152</v>
      </c>
      <c r="J213" s="32" t="s">
        <v>157</v>
      </c>
      <c r="N21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13"/>
      <c r="P213" s="11" t="str">
        <f>tbGroup[[#This Row],[Camp]]&amp;"-"&amp;tbGroup[[#This Row],[Difficulty]]&amp;"-"&amp;GET_GROUP_NAME(tbGroup[[#This Row],[IsBoss]],tbGroup[[#This Row],[Hero1]:[Soldier3]])&amp;tbGroup[[#This Row],[Suffix]]</f>
        <v>三国-困难-铁英+铁英+刺英</v>
      </c>
      <c r="Q213" s="32" t="s">
        <v>40</v>
      </c>
      <c r="R213" s="32">
        <v>0</v>
      </c>
    </row>
    <row r="214" spans="2:18" x14ac:dyDescent="0.3">
      <c r="B214" s="32" t="s">
        <v>151</v>
      </c>
      <c r="C214" s="32" t="s">
        <v>35</v>
      </c>
      <c r="D214" s="32" t="s">
        <v>922</v>
      </c>
      <c r="F214" s="32">
        <v>3</v>
      </c>
      <c r="H214" s="32" t="s">
        <v>153</v>
      </c>
      <c r="I214" s="32" t="s">
        <v>153</v>
      </c>
      <c r="J214" s="32" t="s">
        <v>154</v>
      </c>
      <c r="N21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13"/>
      <c r="P214" s="11" t="str">
        <f>tbGroup[[#This Row],[Camp]]&amp;"-"&amp;tbGroup[[#This Row],[Difficulty]]&amp;"-"&amp;GET_GROUP_NAME(tbGroup[[#This Row],[IsBoss]],tbGroup[[#This Row],[Hero1]:[Soldier3]])&amp;tbGroup[[#This Row],[Suffix]]</f>
        <v>三国-困难-盾英+盾英+强英</v>
      </c>
      <c r="Q214" s="32" t="s">
        <v>40</v>
      </c>
      <c r="R214" s="32">
        <v>0</v>
      </c>
    </row>
    <row r="215" spans="2:18" x14ac:dyDescent="0.3">
      <c r="B215" s="32" t="s">
        <v>151</v>
      </c>
      <c r="C215" s="32" t="s">
        <v>35</v>
      </c>
      <c r="D215" s="32" t="s">
        <v>922</v>
      </c>
      <c r="F215" s="32">
        <v>3</v>
      </c>
      <c r="H215" s="32" t="s">
        <v>153</v>
      </c>
      <c r="I215" s="32" t="s">
        <v>153</v>
      </c>
      <c r="J215" s="32" t="s">
        <v>155</v>
      </c>
      <c r="N21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13"/>
      <c r="P215" s="11" t="str">
        <f>tbGroup[[#This Row],[Camp]]&amp;"-"&amp;tbGroup[[#This Row],[Difficulty]]&amp;"-"&amp;GET_GROUP_NAME(tbGroup[[#This Row],[IsBoss]],tbGroup[[#This Row],[Hero1]:[Soldier3]])&amp;tbGroup[[#This Row],[Suffix]]</f>
        <v>三国-困难-盾英+盾英+炼英</v>
      </c>
      <c r="Q215" s="32" t="s">
        <v>40</v>
      </c>
      <c r="R215" s="32">
        <v>0</v>
      </c>
    </row>
    <row r="216" spans="2:18" x14ac:dyDescent="0.3">
      <c r="B216" s="32" t="s">
        <v>151</v>
      </c>
      <c r="C216" s="32" t="s">
        <v>35</v>
      </c>
      <c r="D216" s="32" t="s">
        <v>922</v>
      </c>
      <c r="F216" s="32">
        <v>3</v>
      </c>
      <c r="H216" s="32" t="s">
        <v>153</v>
      </c>
      <c r="I216" s="32" t="s">
        <v>153</v>
      </c>
      <c r="J216" s="32" t="s">
        <v>156</v>
      </c>
      <c r="N21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13"/>
      <c r="P216" s="11" t="str">
        <f>tbGroup[[#This Row],[Camp]]&amp;"-"&amp;tbGroup[[#This Row],[Difficulty]]&amp;"-"&amp;GET_GROUP_NAME(tbGroup[[#This Row],[IsBoss]],tbGroup[[#This Row],[Hero1]:[Soldier3]])&amp;tbGroup[[#This Row],[Suffix]]</f>
        <v>三国-困难-盾英+盾英+法英</v>
      </c>
      <c r="Q216" s="32" t="s">
        <v>40</v>
      </c>
      <c r="R216" s="32">
        <v>0</v>
      </c>
    </row>
    <row r="217" spans="2:18" x14ac:dyDescent="0.3">
      <c r="B217" s="32" t="s">
        <v>151</v>
      </c>
      <c r="C217" s="32" t="s">
        <v>35</v>
      </c>
      <c r="D217" s="32" t="s">
        <v>922</v>
      </c>
      <c r="F217" s="32">
        <v>3</v>
      </c>
      <c r="H217" s="32" t="s">
        <v>153</v>
      </c>
      <c r="I217" s="32" t="s">
        <v>153</v>
      </c>
      <c r="J217" s="32" t="s">
        <v>157</v>
      </c>
      <c r="N21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13"/>
      <c r="P217" s="11" t="str">
        <f>tbGroup[[#This Row],[Camp]]&amp;"-"&amp;tbGroup[[#This Row],[Difficulty]]&amp;"-"&amp;GET_GROUP_NAME(tbGroup[[#This Row],[IsBoss]],tbGroup[[#This Row],[Hero1]:[Soldier3]])&amp;tbGroup[[#This Row],[Suffix]]</f>
        <v>三国-困难-盾英+盾英+刺英</v>
      </c>
      <c r="Q217" s="32" t="s">
        <v>40</v>
      </c>
      <c r="R217" s="32">
        <v>0</v>
      </c>
    </row>
    <row r="218" spans="2:18" x14ac:dyDescent="0.3">
      <c r="B218" s="32" t="s">
        <v>151</v>
      </c>
      <c r="C218" s="32" t="s">
        <v>35</v>
      </c>
      <c r="D218" s="32" t="s">
        <v>922</v>
      </c>
      <c r="F218" s="32">
        <v>3</v>
      </c>
      <c r="H218" s="32" t="s">
        <v>152</v>
      </c>
      <c r="I218" s="32" t="s">
        <v>153</v>
      </c>
      <c r="J218" s="32" t="s">
        <v>154</v>
      </c>
      <c r="N21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13"/>
      <c r="P218" s="11" t="str">
        <f>tbGroup[[#This Row],[Camp]]&amp;"-"&amp;tbGroup[[#This Row],[Difficulty]]&amp;"-"&amp;GET_GROUP_NAME(tbGroup[[#This Row],[IsBoss]],tbGroup[[#This Row],[Hero1]:[Soldier3]])&amp;tbGroup[[#This Row],[Suffix]]</f>
        <v>三国-困难-铁英+盾英+强英</v>
      </c>
      <c r="Q218" s="32" t="s">
        <v>40</v>
      </c>
      <c r="R218" s="32">
        <v>0</v>
      </c>
    </row>
    <row r="219" spans="2:18" x14ac:dyDescent="0.3">
      <c r="B219" s="32" t="s">
        <v>151</v>
      </c>
      <c r="C219" s="32" t="s">
        <v>35</v>
      </c>
      <c r="D219" s="32" t="s">
        <v>922</v>
      </c>
      <c r="F219" s="32">
        <v>3</v>
      </c>
      <c r="H219" s="32" t="s">
        <v>152</v>
      </c>
      <c r="I219" s="32" t="s">
        <v>153</v>
      </c>
      <c r="J219" s="32" t="s">
        <v>155</v>
      </c>
      <c r="N21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13"/>
      <c r="P219" s="11" t="str">
        <f>tbGroup[[#This Row],[Camp]]&amp;"-"&amp;tbGroup[[#This Row],[Difficulty]]&amp;"-"&amp;GET_GROUP_NAME(tbGroup[[#This Row],[IsBoss]],tbGroup[[#This Row],[Hero1]:[Soldier3]])&amp;tbGroup[[#This Row],[Suffix]]</f>
        <v>三国-困难-铁英+盾英+炼英</v>
      </c>
      <c r="Q219" s="32" t="s">
        <v>40</v>
      </c>
      <c r="R219" s="32">
        <v>0</v>
      </c>
    </row>
    <row r="220" spans="2:18" x14ac:dyDescent="0.3">
      <c r="B220" s="32" t="s">
        <v>151</v>
      </c>
      <c r="C220" s="32" t="s">
        <v>35</v>
      </c>
      <c r="D220" s="32" t="s">
        <v>922</v>
      </c>
      <c r="F220" s="32">
        <v>3</v>
      </c>
      <c r="H220" s="32" t="s">
        <v>152</v>
      </c>
      <c r="I220" s="32" t="s">
        <v>153</v>
      </c>
      <c r="J220" s="32" t="s">
        <v>156</v>
      </c>
      <c r="N22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13"/>
      <c r="P220" s="11" t="str">
        <f>tbGroup[[#This Row],[Camp]]&amp;"-"&amp;tbGroup[[#This Row],[Difficulty]]&amp;"-"&amp;GET_GROUP_NAME(tbGroup[[#This Row],[IsBoss]],tbGroup[[#This Row],[Hero1]:[Soldier3]])&amp;tbGroup[[#This Row],[Suffix]]</f>
        <v>三国-困难-铁英+盾英+法英</v>
      </c>
      <c r="Q220" s="32" t="s">
        <v>40</v>
      </c>
      <c r="R220" s="32">
        <v>0</v>
      </c>
    </row>
    <row r="221" spans="2:18" x14ac:dyDescent="0.3">
      <c r="B221" s="32" t="s">
        <v>151</v>
      </c>
      <c r="C221" s="32" t="s">
        <v>35</v>
      </c>
      <c r="D221" s="32" t="s">
        <v>922</v>
      </c>
      <c r="F221" s="32">
        <v>3</v>
      </c>
      <c r="H221" s="32" t="s">
        <v>152</v>
      </c>
      <c r="I221" s="32" t="s">
        <v>153</v>
      </c>
      <c r="J221" s="32" t="s">
        <v>157</v>
      </c>
      <c r="N22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13"/>
      <c r="P221" s="11" t="str">
        <f>tbGroup[[#This Row],[Camp]]&amp;"-"&amp;tbGroup[[#This Row],[Difficulty]]&amp;"-"&amp;GET_GROUP_NAME(tbGroup[[#This Row],[IsBoss]],tbGroup[[#This Row],[Hero1]:[Soldier3]])&amp;tbGroup[[#This Row],[Suffix]]</f>
        <v>三国-困难-铁英+盾英+刺英</v>
      </c>
      <c r="Q221" s="32" t="s">
        <v>40</v>
      </c>
      <c r="R221" s="32">
        <v>0</v>
      </c>
    </row>
    <row r="222" spans="2:18" x14ac:dyDescent="0.3">
      <c r="B222" s="32" t="s">
        <v>151</v>
      </c>
      <c r="C222" s="32" t="s">
        <v>35</v>
      </c>
      <c r="D222" s="32" t="s">
        <v>923</v>
      </c>
      <c r="F222" s="32">
        <v>3</v>
      </c>
      <c r="H222" s="32" t="s">
        <v>152</v>
      </c>
      <c r="I222" s="32" t="s">
        <v>154</v>
      </c>
      <c r="J222" s="32" t="s">
        <v>154</v>
      </c>
      <c r="N22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13"/>
      <c r="P222" s="11" t="str">
        <f>tbGroup[[#This Row],[Camp]]&amp;"-"&amp;tbGroup[[#This Row],[Difficulty]]&amp;"-"&amp;GET_GROUP_NAME(tbGroup[[#This Row],[IsBoss]],tbGroup[[#This Row],[Hero1]:[Soldier3]])&amp;tbGroup[[#This Row],[Suffix]]</f>
        <v>三国-困难-铁英+强英+强英</v>
      </c>
      <c r="Q222" s="32" t="s">
        <v>40</v>
      </c>
      <c r="R222" s="32">
        <v>0</v>
      </c>
    </row>
    <row r="223" spans="2:18" x14ac:dyDescent="0.3">
      <c r="B223" s="32" t="s">
        <v>151</v>
      </c>
      <c r="C223" s="32" t="s">
        <v>35</v>
      </c>
      <c r="D223" s="32" t="s">
        <v>923</v>
      </c>
      <c r="F223" s="32">
        <v>3</v>
      </c>
      <c r="H223" s="32" t="s">
        <v>152</v>
      </c>
      <c r="I223" s="32" t="s">
        <v>155</v>
      </c>
      <c r="J223" s="32" t="s">
        <v>155</v>
      </c>
      <c r="N22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13"/>
      <c r="P223" s="11" t="str">
        <f>tbGroup[[#This Row],[Camp]]&amp;"-"&amp;tbGroup[[#This Row],[Difficulty]]&amp;"-"&amp;GET_GROUP_NAME(tbGroup[[#This Row],[IsBoss]],tbGroup[[#This Row],[Hero1]:[Soldier3]])&amp;tbGroup[[#This Row],[Suffix]]</f>
        <v>三国-困难-铁英+炼英+炼英</v>
      </c>
      <c r="Q223" s="32" t="s">
        <v>40</v>
      </c>
      <c r="R223" s="32">
        <v>0</v>
      </c>
    </row>
    <row r="224" spans="2:18" x14ac:dyDescent="0.3">
      <c r="B224" s="32" t="s">
        <v>151</v>
      </c>
      <c r="C224" s="32" t="s">
        <v>35</v>
      </c>
      <c r="D224" s="32" t="s">
        <v>923</v>
      </c>
      <c r="F224" s="32">
        <v>3</v>
      </c>
      <c r="H224" s="32" t="s">
        <v>152</v>
      </c>
      <c r="I224" s="32" t="s">
        <v>156</v>
      </c>
      <c r="J224" s="32" t="s">
        <v>156</v>
      </c>
      <c r="N22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13"/>
      <c r="P224" s="11" t="str">
        <f>tbGroup[[#This Row],[Camp]]&amp;"-"&amp;tbGroup[[#This Row],[Difficulty]]&amp;"-"&amp;GET_GROUP_NAME(tbGroup[[#This Row],[IsBoss]],tbGroup[[#This Row],[Hero1]:[Soldier3]])&amp;tbGroup[[#This Row],[Suffix]]</f>
        <v>三国-困难-铁英+法英+法英</v>
      </c>
      <c r="Q224" s="32" t="s">
        <v>40</v>
      </c>
      <c r="R224" s="32">
        <v>0</v>
      </c>
    </row>
    <row r="225" spans="2:18" x14ac:dyDescent="0.3">
      <c r="B225" s="32" t="s">
        <v>151</v>
      </c>
      <c r="C225" s="32" t="s">
        <v>35</v>
      </c>
      <c r="D225" s="32" t="s">
        <v>923</v>
      </c>
      <c r="F225" s="32">
        <v>3</v>
      </c>
      <c r="H225" s="32" t="s">
        <v>152</v>
      </c>
      <c r="I225" s="32" t="s">
        <v>157</v>
      </c>
      <c r="J225" s="32" t="s">
        <v>157</v>
      </c>
      <c r="N22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13"/>
      <c r="P225" s="11" t="str">
        <f>tbGroup[[#This Row],[Camp]]&amp;"-"&amp;tbGroup[[#This Row],[Difficulty]]&amp;"-"&amp;GET_GROUP_NAME(tbGroup[[#This Row],[IsBoss]],tbGroup[[#This Row],[Hero1]:[Soldier3]])&amp;tbGroup[[#This Row],[Suffix]]</f>
        <v>三国-困难-铁英+刺英+刺英</v>
      </c>
      <c r="Q225" s="32" t="s">
        <v>40</v>
      </c>
      <c r="R225" s="32">
        <v>0</v>
      </c>
    </row>
    <row r="226" spans="2:18" x14ac:dyDescent="0.3">
      <c r="B226" s="32" t="s">
        <v>151</v>
      </c>
      <c r="C226" s="32" t="s">
        <v>35</v>
      </c>
      <c r="D226" s="32" t="s">
        <v>923</v>
      </c>
      <c r="F226" s="32">
        <v>3</v>
      </c>
      <c r="H226" s="32" t="s">
        <v>152</v>
      </c>
      <c r="I226" s="32" t="s">
        <v>154</v>
      </c>
      <c r="J226" s="32" t="s">
        <v>155</v>
      </c>
      <c r="N22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13"/>
      <c r="P226" s="11" t="str">
        <f>tbGroup[[#This Row],[Camp]]&amp;"-"&amp;tbGroup[[#This Row],[Difficulty]]&amp;"-"&amp;GET_GROUP_NAME(tbGroup[[#This Row],[IsBoss]],tbGroup[[#This Row],[Hero1]:[Soldier3]])&amp;tbGroup[[#This Row],[Suffix]]</f>
        <v>三国-困难-铁英+强英+炼英</v>
      </c>
      <c r="Q226" s="32" t="s">
        <v>40</v>
      </c>
      <c r="R226" s="32">
        <v>0</v>
      </c>
    </row>
    <row r="227" spans="2:18" x14ac:dyDescent="0.3">
      <c r="B227" s="32" t="s">
        <v>151</v>
      </c>
      <c r="C227" s="32" t="s">
        <v>35</v>
      </c>
      <c r="D227" s="32" t="s">
        <v>923</v>
      </c>
      <c r="F227" s="32">
        <v>3</v>
      </c>
      <c r="H227" s="32" t="s">
        <v>152</v>
      </c>
      <c r="I227" s="32" t="s">
        <v>154</v>
      </c>
      <c r="J227" s="32" t="s">
        <v>156</v>
      </c>
      <c r="N22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13"/>
      <c r="P227" s="11" t="str">
        <f>tbGroup[[#This Row],[Camp]]&amp;"-"&amp;tbGroup[[#This Row],[Difficulty]]&amp;"-"&amp;GET_GROUP_NAME(tbGroup[[#This Row],[IsBoss]],tbGroup[[#This Row],[Hero1]:[Soldier3]])&amp;tbGroup[[#This Row],[Suffix]]</f>
        <v>三国-困难-铁英+强英+法英</v>
      </c>
      <c r="Q227" s="32" t="s">
        <v>40</v>
      </c>
      <c r="R227" s="32">
        <v>0</v>
      </c>
    </row>
    <row r="228" spans="2:18" x14ac:dyDescent="0.3">
      <c r="B228" s="32" t="s">
        <v>151</v>
      </c>
      <c r="C228" s="32" t="s">
        <v>35</v>
      </c>
      <c r="D228" s="32" t="s">
        <v>923</v>
      </c>
      <c r="F228" s="32">
        <v>3</v>
      </c>
      <c r="H228" s="32" t="s">
        <v>152</v>
      </c>
      <c r="I228" s="32" t="s">
        <v>155</v>
      </c>
      <c r="J228" s="32" t="s">
        <v>156</v>
      </c>
      <c r="N22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13"/>
      <c r="P228" s="11" t="str">
        <f>tbGroup[[#This Row],[Camp]]&amp;"-"&amp;tbGroup[[#This Row],[Difficulty]]&amp;"-"&amp;GET_GROUP_NAME(tbGroup[[#This Row],[IsBoss]],tbGroup[[#This Row],[Hero1]:[Soldier3]])&amp;tbGroup[[#This Row],[Suffix]]</f>
        <v>三国-困难-铁英+炼英+法英</v>
      </c>
      <c r="Q228" s="32" t="s">
        <v>40</v>
      </c>
      <c r="R228" s="32">
        <v>0</v>
      </c>
    </row>
    <row r="229" spans="2:18" x14ac:dyDescent="0.3">
      <c r="B229" s="32" t="s">
        <v>151</v>
      </c>
      <c r="C229" s="32" t="s">
        <v>35</v>
      </c>
      <c r="D229" s="32" t="s">
        <v>923</v>
      </c>
      <c r="F229" s="32">
        <v>3</v>
      </c>
      <c r="H229" s="32" t="s">
        <v>152</v>
      </c>
      <c r="I229" s="32" t="s">
        <v>155</v>
      </c>
      <c r="J229" s="32" t="s">
        <v>157</v>
      </c>
      <c r="N22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13"/>
      <c r="P229" s="11" t="str">
        <f>tbGroup[[#This Row],[Camp]]&amp;"-"&amp;tbGroup[[#This Row],[Difficulty]]&amp;"-"&amp;GET_GROUP_NAME(tbGroup[[#This Row],[IsBoss]],tbGroup[[#This Row],[Hero1]:[Soldier3]])&amp;tbGroup[[#This Row],[Suffix]]</f>
        <v>三国-困难-铁英+炼英+刺英</v>
      </c>
      <c r="Q229" s="32" t="s">
        <v>40</v>
      </c>
      <c r="R229" s="32">
        <v>0</v>
      </c>
    </row>
    <row r="230" spans="2:18" x14ac:dyDescent="0.3">
      <c r="B230" s="32" t="s">
        <v>151</v>
      </c>
      <c r="C230" s="32" t="s">
        <v>35</v>
      </c>
      <c r="D230" s="32" t="s">
        <v>923</v>
      </c>
      <c r="F230" s="32">
        <v>3</v>
      </c>
      <c r="H230" s="32" t="s">
        <v>152</v>
      </c>
      <c r="I230" s="32" t="s">
        <v>156</v>
      </c>
      <c r="J230" s="32" t="s">
        <v>157</v>
      </c>
      <c r="N23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13"/>
      <c r="P230" s="11" t="str">
        <f>tbGroup[[#This Row],[Camp]]&amp;"-"&amp;tbGroup[[#This Row],[Difficulty]]&amp;"-"&amp;GET_GROUP_NAME(tbGroup[[#This Row],[IsBoss]],tbGroup[[#This Row],[Hero1]:[Soldier3]])&amp;tbGroup[[#This Row],[Suffix]]</f>
        <v>三国-困难-铁英+法英+刺英</v>
      </c>
      <c r="Q230" s="32" t="s">
        <v>40</v>
      </c>
      <c r="R230" s="32">
        <v>0</v>
      </c>
    </row>
    <row r="231" spans="2:18" x14ac:dyDescent="0.3">
      <c r="B231" s="32" t="s">
        <v>151</v>
      </c>
      <c r="C231" s="32" t="s">
        <v>35</v>
      </c>
      <c r="D231" s="32" t="s">
        <v>923</v>
      </c>
      <c r="F231" s="32">
        <v>3</v>
      </c>
      <c r="H231" s="32" t="s">
        <v>153</v>
      </c>
      <c r="I231" s="32" t="s">
        <v>455</v>
      </c>
      <c r="J231" s="32" t="s">
        <v>455</v>
      </c>
      <c r="N23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13"/>
      <c r="P231" s="11" t="str">
        <f>tbGroup[[#This Row],[Camp]]&amp;"-"&amp;tbGroup[[#This Row],[Difficulty]]&amp;"-"&amp;GET_GROUP_NAME(tbGroup[[#This Row],[IsBoss]],tbGroup[[#This Row],[Hero1]:[Soldier3]])&amp;tbGroup[[#This Row],[Suffix]]</f>
        <v>三国-困难-盾英+强英+强英</v>
      </c>
      <c r="Q231" s="32" t="s">
        <v>685</v>
      </c>
      <c r="R231" s="32">
        <v>0</v>
      </c>
    </row>
    <row r="232" spans="2:18" x14ac:dyDescent="0.3">
      <c r="B232" s="32" t="s">
        <v>151</v>
      </c>
      <c r="C232" s="32" t="s">
        <v>35</v>
      </c>
      <c r="D232" s="32" t="s">
        <v>923</v>
      </c>
      <c r="F232" s="32">
        <v>3</v>
      </c>
      <c r="H232" s="32" t="s">
        <v>153</v>
      </c>
      <c r="I232" s="32" t="s">
        <v>155</v>
      </c>
      <c r="J232" s="32" t="s">
        <v>155</v>
      </c>
      <c r="N23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13"/>
      <c r="P232" s="11" t="str">
        <f>tbGroup[[#This Row],[Camp]]&amp;"-"&amp;tbGroup[[#This Row],[Difficulty]]&amp;"-"&amp;GET_GROUP_NAME(tbGroup[[#This Row],[IsBoss]],tbGroup[[#This Row],[Hero1]:[Soldier3]])&amp;tbGroup[[#This Row],[Suffix]]</f>
        <v>三国-困难-盾英+炼英+炼英</v>
      </c>
      <c r="Q232" s="32" t="s">
        <v>40</v>
      </c>
      <c r="R232" s="32">
        <v>0</v>
      </c>
    </row>
    <row r="233" spans="2:18" x14ac:dyDescent="0.3">
      <c r="B233" s="32" t="s">
        <v>151</v>
      </c>
      <c r="C233" s="32" t="s">
        <v>35</v>
      </c>
      <c r="D233" s="32" t="s">
        <v>923</v>
      </c>
      <c r="F233" s="32">
        <v>3</v>
      </c>
      <c r="H233" s="32" t="s">
        <v>153</v>
      </c>
      <c r="I233" s="32" t="s">
        <v>156</v>
      </c>
      <c r="J233" s="32" t="s">
        <v>156</v>
      </c>
      <c r="N23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13"/>
      <c r="P233" s="11" t="str">
        <f>tbGroup[[#This Row],[Camp]]&amp;"-"&amp;tbGroup[[#This Row],[Difficulty]]&amp;"-"&amp;GET_GROUP_NAME(tbGroup[[#This Row],[IsBoss]],tbGroup[[#This Row],[Hero1]:[Soldier3]])&amp;tbGroup[[#This Row],[Suffix]]</f>
        <v>三国-困难-盾英+法英+法英</v>
      </c>
      <c r="Q233" s="32" t="s">
        <v>40</v>
      </c>
      <c r="R233" s="32">
        <v>0</v>
      </c>
    </row>
    <row r="234" spans="2:18" x14ac:dyDescent="0.3">
      <c r="B234" s="32" t="s">
        <v>151</v>
      </c>
      <c r="C234" s="32" t="s">
        <v>35</v>
      </c>
      <c r="D234" s="32" t="s">
        <v>923</v>
      </c>
      <c r="F234" s="32">
        <v>3</v>
      </c>
      <c r="H234" s="32" t="s">
        <v>153</v>
      </c>
      <c r="I234" s="32" t="s">
        <v>157</v>
      </c>
      <c r="J234" s="32" t="s">
        <v>157</v>
      </c>
      <c r="N23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13"/>
      <c r="P234" s="11" t="str">
        <f>tbGroup[[#This Row],[Camp]]&amp;"-"&amp;tbGroup[[#This Row],[Difficulty]]&amp;"-"&amp;GET_GROUP_NAME(tbGroup[[#This Row],[IsBoss]],tbGroup[[#This Row],[Hero1]:[Soldier3]])&amp;tbGroup[[#This Row],[Suffix]]</f>
        <v>三国-困难-盾英+刺英+刺英</v>
      </c>
      <c r="Q234" s="32" t="s">
        <v>40</v>
      </c>
      <c r="R234" s="32">
        <v>0</v>
      </c>
    </row>
    <row r="235" spans="2:18" x14ac:dyDescent="0.3">
      <c r="B235" s="32" t="s">
        <v>151</v>
      </c>
      <c r="C235" s="32" t="s">
        <v>35</v>
      </c>
      <c r="D235" s="32" t="s">
        <v>923</v>
      </c>
      <c r="F235" s="32">
        <v>3</v>
      </c>
      <c r="H235" s="32" t="s">
        <v>153</v>
      </c>
      <c r="I235" s="32" t="s">
        <v>154</v>
      </c>
      <c r="J235" s="32" t="s">
        <v>155</v>
      </c>
      <c r="N23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13"/>
      <c r="P235" s="11" t="str">
        <f>tbGroup[[#This Row],[Camp]]&amp;"-"&amp;tbGroup[[#This Row],[Difficulty]]&amp;"-"&amp;GET_GROUP_NAME(tbGroup[[#This Row],[IsBoss]],tbGroup[[#This Row],[Hero1]:[Soldier3]])&amp;tbGroup[[#This Row],[Suffix]]</f>
        <v>三国-困难-盾英+强英+炼英</v>
      </c>
      <c r="Q235" s="32" t="s">
        <v>40</v>
      </c>
      <c r="R235" s="32">
        <v>0</v>
      </c>
    </row>
    <row r="236" spans="2:18" x14ac:dyDescent="0.3">
      <c r="B236" s="32" t="s">
        <v>151</v>
      </c>
      <c r="C236" s="32" t="s">
        <v>35</v>
      </c>
      <c r="D236" s="32" t="s">
        <v>923</v>
      </c>
      <c r="F236" s="32">
        <v>3</v>
      </c>
      <c r="H236" s="32" t="s">
        <v>153</v>
      </c>
      <c r="I236" s="32" t="s">
        <v>154</v>
      </c>
      <c r="J236" s="32" t="s">
        <v>156</v>
      </c>
      <c r="N23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13"/>
      <c r="P236" s="11" t="str">
        <f>tbGroup[[#This Row],[Camp]]&amp;"-"&amp;tbGroup[[#This Row],[Difficulty]]&amp;"-"&amp;GET_GROUP_NAME(tbGroup[[#This Row],[IsBoss]],tbGroup[[#This Row],[Hero1]:[Soldier3]])&amp;tbGroup[[#This Row],[Suffix]]</f>
        <v>三国-困难-盾英+强英+法英</v>
      </c>
      <c r="Q236" s="32" t="s">
        <v>40</v>
      </c>
      <c r="R236" s="32">
        <v>0</v>
      </c>
    </row>
    <row r="237" spans="2:18" x14ac:dyDescent="0.3">
      <c r="B237" s="32" t="s">
        <v>151</v>
      </c>
      <c r="C237" s="32" t="s">
        <v>35</v>
      </c>
      <c r="D237" s="32" t="s">
        <v>923</v>
      </c>
      <c r="F237" s="32">
        <v>3</v>
      </c>
      <c r="H237" s="32" t="s">
        <v>153</v>
      </c>
      <c r="I237" s="32" t="s">
        <v>155</v>
      </c>
      <c r="J237" s="32" t="s">
        <v>156</v>
      </c>
      <c r="N23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13"/>
      <c r="P237" s="11" t="str">
        <f>tbGroup[[#This Row],[Camp]]&amp;"-"&amp;tbGroup[[#This Row],[Difficulty]]&amp;"-"&amp;GET_GROUP_NAME(tbGroup[[#This Row],[IsBoss]],tbGroup[[#This Row],[Hero1]:[Soldier3]])&amp;tbGroup[[#This Row],[Suffix]]</f>
        <v>三国-困难-盾英+炼英+法英</v>
      </c>
      <c r="Q237" s="32" t="s">
        <v>40</v>
      </c>
      <c r="R237" s="32">
        <v>0</v>
      </c>
    </row>
    <row r="238" spans="2:18" x14ac:dyDescent="0.3">
      <c r="B238" s="32" t="s">
        <v>151</v>
      </c>
      <c r="C238" s="32" t="s">
        <v>35</v>
      </c>
      <c r="D238" s="32" t="s">
        <v>923</v>
      </c>
      <c r="F238" s="32">
        <v>3</v>
      </c>
      <c r="H238" s="32" t="s">
        <v>153</v>
      </c>
      <c r="I238" s="32" t="s">
        <v>155</v>
      </c>
      <c r="J238" s="32" t="s">
        <v>157</v>
      </c>
      <c r="N23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13"/>
      <c r="P238" s="11" t="str">
        <f>tbGroup[[#This Row],[Camp]]&amp;"-"&amp;tbGroup[[#This Row],[Difficulty]]&amp;"-"&amp;GET_GROUP_NAME(tbGroup[[#This Row],[IsBoss]],tbGroup[[#This Row],[Hero1]:[Soldier3]])&amp;tbGroup[[#This Row],[Suffix]]</f>
        <v>三国-困难-盾英+炼英+刺英</v>
      </c>
      <c r="Q238" s="32" t="s">
        <v>40</v>
      </c>
      <c r="R238" s="32">
        <v>0</v>
      </c>
    </row>
    <row r="239" spans="2:18" x14ac:dyDescent="0.3">
      <c r="B239" s="32" t="s">
        <v>151</v>
      </c>
      <c r="C239" s="32" t="s">
        <v>35</v>
      </c>
      <c r="D239" s="32" t="s">
        <v>923</v>
      </c>
      <c r="F239" s="32">
        <v>3</v>
      </c>
      <c r="H239" s="32" t="s">
        <v>153</v>
      </c>
      <c r="I239" s="32" t="s">
        <v>156</v>
      </c>
      <c r="J239" s="32" t="s">
        <v>157</v>
      </c>
      <c r="N23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13"/>
      <c r="P239" s="11" t="str">
        <f>tbGroup[[#This Row],[Camp]]&amp;"-"&amp;tbGroup[[#This Row],[Difficulty]]&amp;"-"&amp;GET_GROUP_NAME(tbGroup[[#This Row],[IsBoss]],tbGroup[[#This Row],[Hero1]:[Soldier3]])&amp;tbGroup[[#This Row],[Suffix]]</f>
        <v>三国-困难-盾英+法英+刺英</v>
      </c>
      <c r="Q239" s="32" t="s">
        <v>40</v>
      </c>
      <c r="R239" s="32">
        <v>0</v>
      </c>
    </row>
    <row r="240" spans="2:18" x14ac:dyDescent="0.3">
      <c r="B240" s="32" t="s">
        <v>172</v>
      </c>
      <c r="C240" s="32" t="s">
        <v>36</v>
      </c>
      <c r="D240" s="32" t="s">
        <v>178</v>
      </c>
      <c r="F240" s="32">
        <v>2</v>
      </c>
      <c r="H240" s="32" t="s">
        <v>152</v>
      </c>
      <c r="I240" s="32" t="s">
        <v>152</v>
      </c>
      <c r="N24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13"/>
      <c r="P240" s="11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40" s="32" t="s">
        <v>40</v>
      </c>
      <c r="R240" s="32">
        <v>7</v>
      </c>
    </row>
    <row r="241" spans="2:18" x14ac:dyDescent="0.3">
      <c r="B241" s="32" t="s">
        <v>151</v>
      </c>
      <c r="C241" s="32" t="s">
        <v>36</v>
      </c>
      <c r="D241" s="32" t="s">
        <v>178</v>
      </c>
      <c r="F241" s="32">
        <v>2</v>
      </c>
      <c r="H241" s="32" t="s">
        <v>152</v>
      </c>
      <c r="I241" s="32" t="s">
        <v>153</v>
      </c>
      <c r="N24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13"/>
      <c r="P241" s="11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41" s="32" t="s">
        <v>40</v>
      </c>
      <c r="R241" s="32">
        <v>7</v>
      </c>
    </row>
    <row r="242" spans="2:18" x14ac:dyDescent="0.3">
      <c r="B242" s="32" t="s">
        <v>151</v>
      </c>
      <c r="C242" s="32" t="s">
        <v>36</v>
      </c>
      <c r="D242" s="32" t="s">
        <v>178</v>
      </c>
      <c r="F242" s="32">
        <v>2</v>
      </c>
      <c r="H242" s="32" t="s">
        <v>152</v>
      </c>
      <c r="I242" s="32" t="s">
        <v>154</v>
      </c>
      <c r="N24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13"/>
      <c r="P242" s="11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42" s="32" t="s">
        <v>40</v>
      </c>
      <c r="R242" s="32">
        <v>7</v>
      </c>
    </row>
    <row r="243" spans="2:18" x14ac:dyDescent="0.3">
      <c r="B243" s="32" t="s">
        <v>151</v>
      </c>
      <c r="C243" s="32" t="s">
        <v>36</v>
      </c>
      <c r="D243" s="32" t="s">
        <v>178</v>
      </c>
      <c r="F243" s="32">
        <v>2</v>
      </c>
      <c r="H243" s="32" t="s">
        <v>152</v>
      </c>
      <c r="I243" s="32" t="s">
        <v>155</v>
      </c>
      <c r="N24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13"/>
      <c r="P243" s="11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43" s="32" t="s">
        <v>40</v>
      </c>
      <c r="R243" s="32">
        <v>7</v>
      </c>
    </row>
    <row r="244" spans="2:18" x14ac:dyDescent="0.3">
      <c r="B244" s="32" t="s">
        <v>151</v>
      </c>
      <c r="C244" s="32" t="s">
        <v>36</v>
      </c>
      <c r="D244" s="32" t="s">
        <v>178</v>
      </c>
      <c r="F244" s="32">
        <v>2</v>
      </c>
      <c r="H244" s="32" t="s">
        <v>152</v>
      </c>
      <c r="I244" s="32" t="s">
        <v>156</v>
      </c>
      <c r="N24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13"/>
      <c r="P244" s="11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44" s="32" t="s">
        <v>40</v>
      </c>
      <c r="R244" s="32">
        <v>7</v>
      </c>
    </row>
    <row r="245" spans="2:18" x14ac:dyDescent="0.3">
      <c r="B245" s="32" t="s">
        <v>151</v>
      </c>
      <c r="C245" s="32" t="s">
        <v>36</v>
      </c>
      <c r="D245" s="32" t="s">
        <v>178</v>
      </c>
      <c r="F245" s="32">
        <v>2</v>
      </c>
      <c r="H245" s="32" t="s">
        <v>152</v>
      </c>
      <c r="I245" s="32" t="s">
        <v>157</v>
      </c>
      <c r="N24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13"/>
      <c r="P245" s="11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45" s="32" t="s">
        <v>40</v>
      </c>
      <c r="R245" s="32">
        <v>7</v>
      </c>
    </row>
    <row r="246" spans="2:18" x14ac:dyDescent="0.3">
      <c r="B246" s="32" t="s">
        <v>151</v>
      </c>
      <c r="C246" s="32" t="s">
        <v>36</v>
      </c>
      <c r="D246" s="32" t="s">
        <v>178</v>
      </c>
      <c r="F246" s="32">
        <v>2</v>
      </c>
      <c r="H246" s="32" t="s">
        <v>153</v>
      </c>
      <c r="I246" s="32" t="s">
        <v>153</v>
      </c>
      <c r="N24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13"/>
      <c r="P246" s="11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46" s="32" t="s">
        <v>40</v>
      </c>
      <c r="R246" s="32">
        <v>7</v>
      </c>
    </row>
    <row r="247" spans="2:18" x14ac:dyDescent="0.3">
      <c r="B247" s="32" t="s">
        <v>151</v>
      </c>
      <c r="C247" s="32" t="s">
        <v>36</v>
      </c>
      <c r="D247" s="32" t="s">
        <v>178</v>
      </c>
      <c r="F247" s="32">
        <v>2</v>
      </c>
      <c r="H247" s="32" t="s">
        <v>153</v>
      </c>
      <c r="I247" s="32" t="s">
        <v>154</v>
      </c>
      <c r="N24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13"/>
      <c r="P247" s="11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47" s="32" t="s">
        <v>40</v>
      </c>
      <c r="R247" s="32">
        <v>7</v>
      </c>
    </row>
    <row r="248" spans="2:18" x14ac:dyDescent="0.3">
      <c r="B248" s="32" t="s">
        <v>151</v>
      </c>
      <c r="C248" s="32" t="s">
        <v>36</v>
      </c>
      <c r="D248" s="32" t="s">
        <v>178</v>
      </c>
      <c r="F248" s="32">
        <v>2</v>
      </c>
      <c r="H248" s="32" t="s">
        <v>153</v>
      </c>
      <c r="I248" s="32" t="s">
        <v>155</v>
      </c>
      <c r="N24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13"/>
      <c r="P248" s="11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48" s="32" t="s">
        <v>40</v>
      </c>
      <c r="R248" s="32">
        <v>7</v>
      </c>
    </row>
    <row r="249" spans="2:18" x14ac:dyDescent="0.3">
      <c r="B249" s="32" t="s">
        <v>151</v>
      </c>
      <c r="C249" s="32" t="s">
        <v>36</v>
      </c>
      <c r="D249" s="32" t="s">
        <v>178</v>
      </c>
      <c r="F249" s="32">
        <v>2</v>
      </c>
      <c r="H249" s="32" t="s">
        <v>153</v>
      </c>
      <c r="I249" s="32" t="s">
        <v>156</v>
      </c>
      <c r="N24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13"/>
      <c r="P249" s="11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49" s="32" t="s">
        <v>40</v>
      </c>
      <c r="R249" s="32">
        <v>7</v>
      </c>
    </row>
    <row r="250" spans="2:18" x14ac:dyDescent="0.3">
      <c r="B250" s="32" t="s">
        <v>151</v>
      </c>
      <c r="C250" s="32" t="s">
        <v>36</v>
      </c>
      <c r="D250" s="32" t="s">
        <v>178</v>
      </c>
      <c r="F250" s="32">
        <v>2</v>
      </c>
      <c r="H250" s="32" t="s">
        <v>153</v>
      </c>
      <c r="I250" s="32" t="s">
        <v>157</v>
      </c>
      <c r="N25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13"/>
      <c r="P250" s="11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50" s="32" t="s">
        <v>40</v>
      </c>
      <c r="R250" s="32">
        <v>7</v>
      </c>
    </row>
    <row r="251" spans="2:18" x14ac:dyDescent="0.3">
      <c r="B251" s="32" t="s">
        <v>151</v>
      </c>
      <c r="C251" s="32" t="s">
        <v>36</v>
      </c>
      <c r="D251" s="32" t="s">
        <v>178</v>
      </c>
      <c r="F251" s="32">
        <v>2</v>
      </c>
      <c r="H251" s="32" t="s">
        <v>154</v>
      </c>
      <c r="I251" s="32" t="s">
        <v>154</v>
      </c>
      <c r="N25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13"/>
      <c r="P251" s="11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51" s="32" t="s">
        <v>40</v>
      </c>
      <c r="R251" s="32">
        <v>7</v>
      </c>
    </row>
    <row r="252" spans="2:18" x14ac:dyDescent="0.3">
      <c r="B252" s="32" t="s">
        <v>151</v>
      </c>
      <c r="C252" s="32" t="s">
        <v>36</v>
      </c>
      <c r="D252" s="32" t="s">
        <v>178</v>
      </c>
      <c r="F252" s="32">
        <v>2</v>
      </c>
      <c r="H252" s="32" t="s">
        <v>154</v>
      </c>
      <c r="I252" s="32" t="s">
        <v>155</v>
      </c>
      <c r="N25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13"/>
      <c r="P252" s="11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52" s="32" t="s">
        <v>40</v>
      </c>
      <c r="R252" s="32">
        <v>7</v>
      </c>
    </row>
    <row r="253" spans="2:18" x14ac:dyDescent="0.3">
      <c r="B253" s="32" t="s">
        <v>151</v>
      </c>
      <c r="C253" s="32" t="s">
        <v>36</v>
      </c>
      <c r="D253" s="32" t="s">
        <v>178</v>
      </c>
      <c r="F253" s="32">
        <v>2</v>
      </c>
      <c r="H253" s="32" t="s">
        <v>154</v>
      </c>
      <c r="I253" s="32" t="s">
        <v>156</v>
      </c>
      <c r="N25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13"/>
      <c r="P253" s="11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53" s="32" t="s">
        <v>40</v>
      </c>
      <c r="R253" s="32">
        <v>7</v>
      </c>
    </row>
    <row r="254" spans="2:18" x14ac:dyDescent="0.3">
      <c r="B254" s="32" t="s">
        <v>151</v>
      </c>
      <c r="C254" s="32" t="s">
        <v>36</v>
      </c>
      <c r="D254" s="32" t="s">
        <v>178</v>
      </c>
      <c r="F254" s="32">
        <v>2</v>
      </c>
      <c r="H254" s="32" t="s">
        <v>154</v>
      </c>
      <c r="I254" s="32" t="s">
        <v>157</v>
      </c>
      <c r="N25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13"/>
      <c r="P254" s="11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54" s="32" t="s">
        <v>40</v>
      </c>
      <c r="R254" s="32">
        <v>7</v>
      </c>
    </row>
    <row r="255" spans="2:18" x14ac:dyDescent="0.3">
      <c r="B255" s="32" t="s">
        <v>151</v>
      </c>
      <c r="C255" s="32" t="s">
        <v>36</v>
      </c>
      <c r="D255" s="32" t="s">
        <v>178</v>
      </c>
      <c r="F255" s="32">
        <v>2</v>
      </c>
      <c r="H255" s="32" t="s">
        <v>155</v>
      </c>
      <c r="I255" s="32" t="s">
        <v>155</v>
      </c>
      <c r="N25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13"/>
      <c r="P255" s="11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55" s="32" t="s">
        <v>40</v>
      </c>
      <c r="R255" s="32">
        <v>7</v>
      </c>
    </row>
    <row r="256" spans="2:18" x14ac:dyDescent="0.3">
      <c r="B256" s="32" t="s">
        <v>151</v>
      </c>
      <c r="C256" s="32" t="s">
        <v>36</v>
      </c>
      <c r="D256" s="32" t="s">
        <v>178</v>
      </c>
      <c r="F256" s="32">
        <v>2</v>
      </c>
      <c r="H256" s="32" t="s">
        <v>155</v>
      </c>
      <c r="I256" s="32" t="s">
        <v>156</v>
      </c>
      <c r="N25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13"/>
      <c r="P256" s="11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56" s="32" t="s">
        <v>40</v>
      </c>
      <c r="R256" s="32">
        <v>7</v>
      </c>
    </row>
    <row r="257" spans="2:18" x14ac:dyDescent="0.3">
      <c r="B257" s="32" t="s">
        <v>151</v>
      </c>
      <c r="C257" s="32" t="s">
        <v>36</v>
      </c>
      <c r="D257" s="32" t="s">
        <v>178</v>
      </c>
      <c r="F257" s="32">
        <v>2</v>
      </c>
      <c r="H257" s="32" t="s">
        <v>155</v>
      </c>
      <c r="I257" s="32" t="s">
        <v>157</v>
      </c>
      <c r="N25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13"/>
      <c r="P257" s="11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57" s="32" t="s">
        <v>40</v>
      </c>
      <c r="R257" s="32">
        <v>7</v>
      </c>
    </row>
    <row r="258" spans="2:18" x14ac:dyDescent="0.3">
      <c r="B258" s="32" t="s">
        <v>151</v>
      </c>
      <c r="C258" s="32" t="s">
        <v>36</v>
      </c>
      <c r="D258" s="32" t="s">
        <v>178</v>
      </c>
      <c r="F258" s="32">
        <v>2</v>
      </c>
      <c r="H258" s="32" t="s">
        <v>156</v>
      </c>
      <c r="I258" s="32" t="s">
        <v>156</v>
      </c>
      <c r="N25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13"/>
      <c r="P258" s="11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58" s="32" t="s">
        <v>40</v>
      </c>
      <c r="R258" s="32">
        <v>7</v>
      </c>
    </row>
    <row r="259" spans="2:18" x14ac:dyDescent="0.3">
      <c r="B259" s="32" t="s">
        <v>151</v>
      </c>
      <c r="C259" s="32" t="s">
        <v>36</v>
      </c>
      <c r="D259" s="32" t="s">
        <v>178</v>
      </c>
      <c r="F259" s="32">
        <v>2</v>
      </c>
      <c r="H259" s="32" t="s">
        <v>156</v>
      </c>
      <c r="I259" s="32" t="s">
        <v>157</v>
      </c>
      <c r="N25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13"/>
      <c r="P259" s="11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59" s="32" t="s">
        <v>40</v>
      </c>
      <c r="R259" s="32">
        <v>7</v>
      </c>
    </row>
    <row r="260" spans="2:18" x14ac:dyDescent="0.3">
      <c r="B260" s="32" t="s">
        <v>151</v>
      </c>
      <c r="C260" s="32" t="s">
        <v>36</v>
      </c>
      <c r="D260" s="32" t="s">
        <v>178</v>
      </c>
      <c r="F260" s="32">
        <v>2</v>
      </c>
      <c r="H260" s="32" t="s">
        <v>157</v>
      </c>
      <c r="I260" s="32" t="s">
        <v>157</v>
      </c>
      <c r="N26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13"/>
      <c r="P260" s="11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60" s="32" t="s">
        <v>40</v>
      </c>
      <c r="R260" s="32">
        <v>7</v>
      </c>
    </row>
    <row r="261" spans="2:18" x14ac:dyDescent="0.3">
      <c r="B261" s="32" t="s">
        <v>172</v>
      </c>
      <c r="C261" s="32" t="s">
        <v>36</v>
      </c>
      <c r="D261" s="32" t="s">
        <v>189</v>
      </c>
      <c r="E261" s="32" t="b">
        <v>1</v>
      </c>
      <c r="F261" s="32">
        <v>2</v>
      </c>
      <c r="H261" s="32" t="s">
        <v>152</v>
      </c>
      <c r="I261" s="32" t="s">
        <v>152</v>
      </c>
      <c r="N26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13"/>
      <c r="P261" s="11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61" s="32" t="s">
        <v>40</v>
      </c>
      <c r="R261" s="32">
        <v>7</v>
      </c>
    </row>
    <row r="262" spans="2:18" x14ac:dyDescent="0.3">
      <c r="B262" s="32" t="s">
        <v>151</v>
      </c>
      <c r="C262" s="32" t="s">
        <v>36</v>
      </c>
      <c r="D262" s="32" t="s">
        <v>189</v>
      </c>
      <c r="E262" s="32" t="b">
        <v>1</v>
      </c>
      <c r="F262" s="32">
        <v>2</v>
      </c>
      <c r="H262" s="32" t="s">
        <v>152</v>
      </c>
      <c r="I262" s="32" t="s">
        <v>153</v>
      </c>
      <c r="N26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13"/>
      <c r="P262" s="11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62" s="32" t="s">
        <v>40</v>
      </c>
      <c r="R262" s="32">
        <v>7</v>
      </c>
    </row>
    <row r="263" spans="2:18" x14ac:dyDescent="0.3">
      <c r="B263" s="32" t="s">
        <v>151</v>
      </c>
      <c r="C263" s="32" t="s">
        <v>36</v>
      </c>
      <c r="D263" s="32" t="s">
        <v>189</v>
      </c>
      <c r="E263" s="32" t="b">
        <v>1</v>
      </c>
      <c r="F263" s="32">
        <v>2</v>
      </c>
      <c r="H263" s="32" t="s">
        <v>152</v>
      </c>
      <c r="I263" s="32" t="s">
        <v>154</v>
      </c>
      <c r="N26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13"/>
      <c r="P263" s="11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63" s="32" t="s">
        <v>40</v>
      </c>
      <c r="R263" s="32">
        <v>7</v>
      </c>
    </row>
    <row r="264" spans="2:18" x14ac:dyDescent="0.3">
      <c r="B264" s="32" t="s">
        <v>151</v>
      </c>
      <c r="C264" s="32" t="s">
        <v>36</v>
      </c>
      <c r="D264" s="32" t="s">
        <v>189</v>
      </c>
      <c r="E264" s="32" t="b">
        <v>1</v>
      </c>
      <c r="F264" s="32">
        <v>2</v>
      </c>
      <c r="H264" s="32" t="s">
        <v>152</v>
      </c>
      <c r="I264" s="32" t="s">
        <v>155</v>
      </c>
      <c r="N26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13"/>
      <c r="P264" s="11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64" s="32" t="s">
        <v>40</v>
      </c>
      <c r="R264" s="32">
        <v>7</v>
      </c>
    </row>
    <row r="265" spans="2:18" x14ac:dyDescent="0.3">
      <c r="B265" s="32" t="s">
        <v>151</v>
      </c>
      <c r="C265" s="32" t="s">
        <v>36</v>
      </c>
      <c r="D265" s="32" t="s">
        <v>189</v>
      </c>
      <c r="E265" s="32" t="b">
        <v>1</v>
      </c>
      <c r="F265" s="32">
        <v>2</v>
      </c>
      <c r="H265" s="32" t="s">
        <v>152</v>
      </c>
      <c r="I265" s="32" t="s">
        <v>156</v>
      </c>
      <c r="N26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13"/>
      <c r="P265" s="11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65" s="32" t="s">
        <v>40</v>
      </c>
      <c r="R265" s="32">
        <v>7</v>
      </c>
    </row>
    <row r="266" spans="2:18" x14ac:dyDescent="0.3">
      <c r="B266" s="32" t="s">
        <v>151</v>
      </c>
      <c r="C266" s="32" t="s">
        <v>36</v>
      </c>
      <c r="D266" s="32" t="s">
        <v>189</v>
      </c>
      <c r="E266" s="32" t="b">
        <v>1</v>
      </c>
      <c r="F266" s="32">
        <v>2</v>
      </c>
      <c r="H266" s="32" t="s">
        <v>152</v>
      </c>
      <c r="I266" s="32" t="s">
        <v>157</v>
      </c>
      <c r="N26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13"/>
      <c r="P266" s="11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66" s="32" t="s">
        <v>40</v>
      </c>
      <c r="R266" s="32">
        <v>7</v>
      </c>
    </row>
    <row r="267" spans="2:18" x14ac:dyDescent="0.3">
      <c r="B267" s="32" t="s">
        <v>151</v>
      </c>
      <c r="C267" s="32" t="s">
        <v>36</v>
      </c>
      <c r="D267" s="32" t="s">
        <v>189</v>
      </c>
      <c r="E267" s="32" t="b">
        <v>1</v>
      </c>
      <c r="F267" s="32">
        <v>2</v>
      </c>
      <c r="H267" s="32" t="s">
        <v>153</v>
      </c>
      <c r="I267" s="32" t="s">
        <v>153</v>
      </c>
      <c r="N26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13"/>
      <c r="P267" s="11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67" s="32" t="s">
        <v>40</v>
      </c>
      <c r="R267" s="32">
        <v>7</v>
      </c>
    </row>
    <row r="268" spans="2:18" x14ac:dyDescent="0.3">
      <c r="B268" s="32" t="s">
        <v>151</v>
      </c>
      <c r="C268" s="32" t="s">
        <v>36</v>
      </c>
      <c r="D268" s="32" t="s">
        <v>189</v>
      </c>
      <c r="E268" s="32" t="b">
        <v>1</v>
      </c>
      <c r="F268" s="32">
        <v>2</v>
      </c>
      <c r="H268" s="32" t="s">
        <v>153</v>
      </c>
      <c r="I268" s="32" t="s">
        <v>154</v>
      </c>
      <c r="N26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13"/>
      <c r="P268" s="11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68" s="32" t="s">
        <v>40</v>
      </c>
      <c r="R268" s="32">
        <v>7</v>
      </c>
    </row>
    <row r="269" spans="2:18" x14ac:dyDescent="0.3">
      <c r="B269" s="32" t="s">
        <v>151</v>
      </c>
      <c r="C269" s="32" t="s">
        <v>36</v>
      </c>
      <c r="D269" s="32" t="s">
        <v>189</v>
      </c>
      <c r="E269" s="32" t="b">
        <v>1</v>
      </c>
      <c r="F269" s="32">
        <v>2</v>
      </c>
      <c r="H269" s="32" t="s">
        <v>153</v>
      </c>
      <c r="I269" s="32" t="s">
        <v>155</v>
      </c>
      <c r="N26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13"/>
      <c r="P269" s="11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69" s="32" t="s">
        <v>40</v>
      </c>
      <c r="R269" s="32">
        <v>7</v>
      </c>
    </row>
    <row r="270" spans="2:18" x14ac:dyDescent="0.3">
      <c r="B270" s="32" t="s">
        <v>151</v>
      </c>
      <c r="C270" s="32" t="s">
        <v>36</v>
      </c>
      <c r="D270" s="32" t="s">
        <v>189</v>
      </c>
      <c r="E270" s="32" t="b">
        <v>1</v>
      </c>
      <c r="F270" s="32">
        <v>2</v>
      </c>
      <c r="H270" s="32" t="s">
        <v>153</v>
      </c>
      <c r="I270" s="32" t="s">
        <v>156</v>
      </c>
      <c r="N27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13"/>
      <c r="P270" s="11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70" s="32" t="s">
        <v>40</v>
      </c>
      <c r="R270" s="32">
        <v>7</v>
      </c>
    </row>
    <row r="271" spans="2:18" x14ac:dyDescent="0.3">
      <c r="B271" s="32" t="s">
        <v>151</v>
      </c>
      <c r="C271" s="32" t="s">
        <v>36</v>
      </c>
      <c r="D271" s="32" t="s">
        <v>189</v>
      </c>
      <c r="E271" s="32" t="b">
        <v>1</v>
      </c>
      <c r="F271" s="32">
        <v>2</v>
      </c>
      <c r="H271" s="32" t="s">
        <v>153</v>
      </c>
      <c r="I271" s="32" t="s">
        <v>157</v>
      </c>
      <c r="N27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13"/>
      <c r="P271" s="11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71" s="32" t="s">
        <v>40</v>
      </c>
      <c r="R271" s="32">
        <v>7</v>
      </c>
    </row>
    <row r="272" spans="2:18" x14ac:dyDescent="0.3">
      <c r="B272" s="32" t="s">
        <v>151</v>
      </c>
      <c r="C272" s="32" t="s">
        <v>36</v>
      </c>
      <c r="D272" s="32" t="s">
        <v>189</v>
      </c>
      <c r="E272" s="32" t="b">
        <v>1</v>
      </c>
      <c r="F272" s="32">
        <v>2</v>
      </c>
      <c r="H272" s="32" t="s">
        <v>154</v>
      </c>
      <c r="I272" s="32" t="s">
        <v>154</v>
      </c>
      <c r="N27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13"/>
      <c r="P272" s="11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72" s="32" t="s">
        <v>40</v>
      </c>
      <c r="R272" s="32">
        <v>7</v>
      </c>
    </row>
    <row r="273" spans="2:18" x14ac:dyDescent="0.3">
      <c r="B273" s="32" t="s">
        <v>151</v>
      </c>
      <c r="C273" s="32" t="s">
        <v>36</v>
      </c>
      <c r="D273" s="32" t="s">
        <v>189</v>
      </c>
      <c r="E273" s="32" t="b">
        <v>1</v>
      </c>
      <c r="F273" s="32">
        <v>2</v>
      </c>
      <c r="H273" s="32" t="s">
        <v>154</v>
      </c>
      <c r="I273" s="32" t="s">
        <v>155</v>
      </c>
      <c r="N27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13"/>
      <c r="P273" s="11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73" s="32" t="s">
        <v>40</v>
      </c>
      <c r="R273" s="32">
        <v>7</v>
      </c>
    </row>
    <row r="274" spans="2:18" x14ac:dyDescent="0.3">
      <c r="B274" s="32" t="s">
        <v>151</v>
      </c>
      <c r="C274" s="32" t="s">
        <v>36</v>
      </c>
      <c r="D274" s="32" t="s">
        <v>189</v>
      </c>
      <c r="E274" s="32" t="b">
        <v>1</v>
      </c>
      <c r="F274" s="32">
        <v>2</v>
      </c>
      <c r="H274" s="32" t="s">
        <v>154</v>
      </c>
      <c r="I274" s="32" t="s">
        <v>156</v>
      </c>
      <c r="N27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13"/>
      <c r="P274" s="11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74" s="32" t="s">
        <v>40</v>
      </c>
      <c r="R274" s="32">
        <v>7</v>
      </c>
    </row>
    <row r="275" spans="2:18" x14ac:dyDescent="0.3">
      <c r="B275" s="32" t="s">
        <v>151</v>
      </c>
      <c r="C275" s="32" t="s">
        <v>36</v>
      </c>
      <c r="D275" s="32" t="s">
        <v>189</v>
      </c>
      <c r="E275" s="32" t="b">
        <v>1</v>
      </c>
      <c r="F275" s="32">
        <v>2</v>
      </c>
      <c r="H275" s="32" t="s">
        <v>154</v>
      </c>
      <c r="I275" s="32" t="s">
        <v>157</v>
      </c>
      <c r="N27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13"/>
      <c r="P275" s="11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75" s="32" t="s">
        <v>40</v>
      </c>
      <c r="R275" s="32">
        <v>7</v>
      </c>
    </row>
    <row r="276" spans="2:18" x14ac:dyDescent="0.3">
      <c r="B276" s="32" t="s">
        <v>151</v>
      </c>
      <c r="C276" s="32" t="s">
        <v>36</v>
      </c>
      <c r="D276" s="32" t="s">
        <v>189</v>
      </c>
      <c r="E276" s="32" t="b">
        <v>1</v>
      </c>
      <c r="F276" s="32">
        <v>2</v>
      </c>
      <c r="H276" s="32" t="s">
        <v>155</v>
      </c>
      <c r="I276" s="32" t="s">
        <v>155</v>
      </c>
      <c r="N27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13"/>
      <c r="P276" s="11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76" s="32" t="s">
        <v>40</v>
      </c>
      <c r="R276" s="32">
        <v>7</v>
      </c>
    </row>
    <row r="277" spans="2:18" x14ac:dyDescent="0.3">
      <c r="B277" s="32" t="s">
        <v>151</v>
      </c>
      <c r="C277" s="32" t="s">
        <v>36</v>
      </c>
      <c r="D277" s="32" t="s">
        <v>189</v>
      </c>
      <c r="E277" s="32" t="b">
        <v>1</v>
      </c>
      <c r="F277" s="32">
        <v>2</v>
      </c>
      <c r="H277" s="32" t="s">
        <v>155</v>
      </c>
      <c r="I277" s="32" t="s">
        <v>156</v>
      </c>
      <c r="N27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13"/>
      <c r="P277" s="11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77" s="32" t="s">
        <v>40</v>
      </c>
      <c r="R277" s="32">
        <v>7</v>
      </c>
    </row>
    <row r="278" spans="2:18" x14ac:dyDescent="0.3">
      <c r="B278" s="32" t="s">
        <v>151</v>
      </c>
      <c r="C278" s="32" t="s">
        <v>36</v>
      </c>
      <c r="D278" s="32" t="s">
        <v>189</v>
      </c>
      <c r="E278" s="32" t="b">
        <v>1</v>
      </c>
      <c r="F278" s="32">
        <v>2</v>
      </c>
      <c r="H278" s="32" t="s">
        <v>155</v>
      </c>
      <c r="I278" s="32" t="s">
        <v>157</v>
      </c>
      <c r="N27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13"/>
      <c r="P278" s="11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78" s="32" t="s">
        <v>40</v>
      </c>
      <c r="R278" s="32">
        <v>7</v>
      </c>
    </row>
    <row r="279" spans="2:18" x14ac:dyDescent="0.3">
      <c r="B279" s="32" t="s">
        <v>151</v>
      </c>
      <c r="C279" s="32" t="s">
        <v>36</v>
      </c>
      <c r="D279" s="32" t="s">
        <v>189</v>
      </c>
      <c r="E279" s="32" t="b">
        <v>1</v>
      </c>
      <c r="F279" s="32">
        <v>2</v>
      </c>
      <c r="H279" s="32" t="s">
        <v>156</v>
      </c>
      <c r="I279" s="32" t="s">
        <v>156</v>
      </c>
      <c r="N27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13"/>
      <c r="P279" s="11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79" s="32" t="s">
        <v>40</v>
      </c>
      <c r="R279" s="32">
        <v>7</v>
      </c>
    </row>
    <row r="280" spans="2:18" x14ac:dyDescent="0.3">
      <c r="B280" s="32" t="s">
        <v>151</v>
      </c>
      <c r="C280" s="32" t="s">
        <v>36</v>
      </c>
      <c r="D280" s="32" t="s">
        <v>189</v>
      </c>
      <c r="E280" s="32" t="b">
        <v>1</v>
      </c>
      <c r="F280" s="32">
        <v>2</v>
      </c>
      <c r="H280" s="32" t="s">
        <v>156</v>
      </c>
      <c r="I280" s="32" t="s">
        <v>157</v>
      </c>
      <c r="N28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13"/>
      <c r="P280" s="11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80" s="32" t="s">
        <v>40</v>
      </c>
      <c r="R280" s="32">
        <v>7</v>
      </c>
    </row>
    <row r="281" spans="2:18" x14ac:dyDescent="0.3">
      <c r="B281" s="32" t="s">
        <v>151</v>
      </c>
      <c r="C281" s="32" t="s">
        <v>36</v>
      </c>
      <c r="D281" s="32" t="s">
        <v>189</v>
      </c>
      <c r="E281" s="32" t="b">
        <v>1</v>
      </c>
      <c r="F281" s="32">
        <v>2</v>
      </c>
      <c r="H281" s="32" t="s">
        <v>157</v>
      </c>
      <c r="I281" s="32" t="s">
        <v>157</v>
      </c>
      <c r="N28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13"/>
      <c r="P281" s="11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81" s="32" t="s">
        <v>40</v>
      </c>
      <c r="R281" s="32">
        <v>7</v>
      </c>
    </row>
    <row r="282" spans="2:18" x14ac:dyDescent="0.3">
      <c r="B282" s="32" t="s">
        <v>172</v>
      </c>
      <c r="C282" s="32" t="s">
        <v>179</v>
      </c>
      <c r="D282" s="32" t="s">
        <v>180</v>
      </c>
      <c r="F282" s="32">
        <v>3</v>
      </c>
      <c r="H282" s="32" t="s">
        <v>152</v>
      </c>
      <c r="I282" s="32" t="s">
        <v>152</v>
      </c>
      <c r="J282" s="32" t="s">
        <v>154</v>
      </c>
      <c r="N28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13"/>
      <c r="P282" s="11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82" s="32" t="s">
        <v>40</v>
      </c>
      <c r="R282" s="32">
        <v>7</v>
      </c>
    </row>
    <row r="283" spans="2:18" x14ac:dyDescent="0.3">
      <c r="B283" s="32" t="s">
        <v>151</v>
      </c>
      <c r="C283" s="32" t="s">
        <v>36</v>
      </c>
      <c r="D283" s="32" t="s">
        <v>180</v>
      </c>
      <c r="F283" s="32">
        <v>3</v>
      </c>
      <c r="H283" s="32" t="s">
        <v>152</v>
      </c>
      <c r="I283" s="32" t="s">
        <v>152</v>
      </c>
      <c r="J283" s="32" t="s">
        <v>155</v>
      </c>
      <c r="N28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13"/>
      <c r="P283" s="11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83" s="32" t="s">
        <v>40</v>
      </c>
      <c r="R283" s="32">
        <v>7</v>
      </c>
    </row>
    <row r="284" spans="2:18" x14ac:dyDescent="0.3">
      <c r="B284" s="32" t="s">
        <v>151</v>
      </c>
      <c r="C284" s="32" t="s">
        <v>36</v>
      </c>
      <c r="D284" s="32" t="s">
        <v>180</v>
      </c>
      <c r="F284" s="32">
        <v>3</v>
      </c>
      <c r="H284" s="32" t="s">
        <v>152</v>
      </c>
      <c r="I284" s="32" t="s">
        <v>152</v>
      </c>
      <c r="J284" s="32" t="s">
        <v>156</v>
      </c>
      <c r="N28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13"/>
      <c r="P284" s="11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84" s="32" t="s">
        <v>40</v>
      </c>
      <c r="R284" s="32">
        <v>7</v>
      </c>
    </row>
    <row r="285" spans="2:18" x14ac:dyDescent="0.3">
      <c r="B285" s="32" t="s">
        <v>151</v>
      </c>
      <c r="C285" s="32" t="s">
        <v>36</v>
      </c>
      <c r="D285" s="32" t="s">
        <v>180</v>
      </c>
      <c r="F285" s="32">
        <v>3</v>
      </c>
      <c r="H285" s="32" t="s">
        <v>152</v>
      </c>
      <c r="I285" s="32" t="s">
        <v>152</v>
      </c>
      <c r="J285" s="32" t="s">
        <v>157</v>
      </c>
      <c r="N28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13"/>
      <c r="P285" s="11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85" s="32" t="s">
        <v>40</v>
      </c>
      <c r="R285" s="32">
        <v>7</v>
      </c>
    </row>
    <row r="286" spans="2:18" x14ac:dyDescent="0.3">
      <c r="B286" s="32" t="s">
        <v>151</v>
      </c>
      <c r="C286" s="32" t="s">
        <v>36</v>
      </c>
      <c r="D286" s="32" t="s">
        <v>180</v>
      </c>
      <c r="F286" s="32">
        <v>3</v>
      </c>
      <c r="H286" s="32" t="s">
        <v>153</v>
      </c>
      <c r="I286" s="32" t="s">
        <v>153</v>
      </c>
      <c r="J286" s="32" t="s">
        <v>154</v>
      </c>
      <c r="N28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13"/>
      <c r="P286" s="11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86" s="32" t="s">
        <v>40</v>
      </c>
      <c r="R286" s="32">
        <v>7</v>
      </c>
    </row>
    <row r="287" spans="2:18" x14ac:dyDescent="0.3">
      <c r="B287" s="32" t="s">
        <v>151</v>
      </c>
      <c r="C287" s="32" t="s">
        <v>36</v>
      </c>
      <c r="D287" s="32" t="s">
        <v>180</v>
      </c>
      <c r="F287" s="32">
        <v>3</v>
      </c>
      <c r="H287" s="32" t="s">
        <v>153</v>
      </c>
      <c r="I287" s="32" t="s">
        <v>153</v>
      </c>
      <c r="J287" s="32" t="s">
        <v>155</v>
      </c>
      <c r="N28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13"/>
      <c r="P287" s="11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87" s="32" t="s">
        <v>40</v>
      </c>
      <c r="R287" s="32">
        <v>7</v>
      </c>
    </row>
    <row r="288" spans="2:18" x14ac:dyDescent="0.3">
      <c r="B288" s="32" t="s">
        <v>151</v>
      </c>
      <c r="C288" s="32" t="s">
        <v>36</v>
      </c>
      <c r="D288" s="32" t="s">
        <v>180</v>
      </c>
      <c r="F288" s="32">
        <v>3</v>
      </c>
      <c r="H288" s="32" t="s">
        <v>153</v>
      </c>
      <c r="I288" s="32" t="s">
        <v>153</v>
      </c>
      <c r="J288" s="32" t="s">
        <v>156</v>
      </c>
      <c r="N28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13"/>
      <c r="P288" s="11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88" s="32" t="s">
        <v>40</v>
      </c>
      <c r="R288" s="32">
        <v>7</v>
      </c>
    </row>
    <row r="289" spans="2:18" x14ac:dyDescent="0.3">
      <c r="B289" s="32" t="s">
        <v>151</v>
      </c>
      <c r="C289" s="32" t="s">
        <v>36</v>
      </c>
      <c r="D289" s="32" t="s">
        <v>180</v>
      </c>
      <c r="F289" s="32">
        <v>3</v>
      </c>
      <c r="H289" s="32" t="s">
        <v>153</v>
      </c>
      <c r="I289" s="32" t="s">
        <v>153</v>
      </c>
      <c r="J289" s="32" t="s">
        <v>157</v>
      </c>
      <c r="N28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13"/>
      <c r="P289" s="11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89" s="32" t="s">
        <v>40</v>
      </c>
      <c r="R289" s="32">
        <v>7</v>
      </c>
    </row>
    <row r="290" spans="2:18" x14ac:dyDescent="0.3">
      <c r="B290" s="32" t="s">
        <v>151</v>
      </c>
      <c r="C290" s="32" t="s">
        <v>36</v>
      </c>
      <c r="D290" s="32" t="s">
        <v>180</v>
      </c>
      <c r="F290" s="32">
        <v>3</v>
      </c>
      <c r="H290" s="32" t="s">
        <v>152</v>
      </c>
      <c r="I290" s="32" t="s">
        <v>153</v>
      </c>
      <c r="J290" s="32" t="s">
        <v>154</v>
      </c>
      <c r="N29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13"/>
      <c r="P290" s="11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90" s="32" t="s">
        <v>40</v>
      </c>
      <c r="R290" s="32">
        <v>7</v>
      </c>
    </row>
    <row r="291" spans="2:18" x14ac:dyDescent="0.3">
      <c r="B291" s="32" t="s">
        <v>151</v>
      </c>
      <c r="C291" s="32" t="s">
        <v>36</v>
      </c>
      <c r="D291" s="32" t="s">
        <v>180</v>
      </c>
      <c r="F291" s="32">
        <v>3</v>
      </c>
      <c r="H291" s="32" t="s">
        <v>152</v>
      </c>
      <c r="I291" s="32" t="s">
        <v>153</v>
      </c>
      <c r="J291" s="32" t="s">
        <v>155</v>
      </c>
      <c r="N29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13"/>
      <c r="P291" s="11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91" s="32" t="s">
        <v>40</v>
      </c>
      <c r="R291" s="32">
        <v>7</v>
      </c>
    </row>
    <row r="292" spans="2:18" x14ac:dyDescent="0.3">
      <c r="B292" s="32" t="s">
        <v>151</v>
      </c>
      <c r="C292" s="32" t="s">
        <v>36</v>
      </c>
      <c r="D292" s="32" t="s">
        <v>180</v>
      </c>
      <c r="F292" s="32">
        <v>3</v>
      </c>
      <c r="H292" s="32" t="s">
        <v>152</v>
      </c>
      <c r="I292" s="32" t="s">
        <v>153</v>
      </c>
      <c r="J292" s="32" t="s">
        <v>156</v>
      </c>
      <c r="N29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13"/>
      <c r="P292" s="11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92" s="32" t="s">
        <v>40</v>
      </c>
      <c r="R292" s="32">
        <v>7</v>
      </c>
    </row>
    <row r="293" spans="2:18" x14ac:dyDescent="0.3">
      <c r="B293" s="32" t="s">
        <v>151</v>
      </c>
      <c r="C293" s="32" t="s">
        <v>36</v>
      </c>
      <c r="D293" s="32" t="s">
        <v>180</v>
      </c>
      <c r="F293" s="32">
        <v>3</v>
      </c>
      <c r="H293" s="32" t="s">
        <v>152</v>
      </c>
      <c r="I293" s="32" t="s">
        <v>153</v>
      </c>
      <c r="J293" s="32" t="s">
        <v>157</v>
      </c>
      <c r="N29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13"/>
      <c r="P293" s="11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93" s="32" t="s">
        <v>40</v>
      </c>
      <c r="R293" s="32">
        <v>7</v>
      </c>
    </row>
    <row r="294" spans="2:18" x14ac:dyDescent="0.3">
      <c r="B294" s="32" t="s">
        <v>151</v>
      </c>
      <c r="C294" s="32" t="s">
        <v>36</v>
      </c>
      <c r="D294" s="32" t="s">
        <v>191</v>
      </c>
      <c r="E294" s="32" t="b">
        <v>1</v>
      </c>
      <c r="F294" s="32">
        <v>3</v>
      </c>
      <c r="H294" s="32" t="s">
        <v>152</v>
      </c>
      <c r="I294" s="32" t="s">
        <v>152</v>
      </c>
      <c r="J294" s="32" t="s">
        <v>154</v>
      </c>
      <c r="N29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13"/>
      <c r="P294" s="11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94" s="32" t="s">
        <v>40</v>
      </c>
      <c r="R294" s="32">
        <v>7</v>
      </c>
    </row>
    <row r="295" spans="2:18" x14ac:dyDescent="0.3">
      <c r="B295" s="32" t="s">
        <v>151</v>
      </c>
      <c r="C295" s="32" t="s">
        <v>36</v>
      </c>
      <c r="D295" s="32" t="s">
        <v>191</v>
      </c>
      <c r="E295" s="32" t="b">
        <v>1</v>
      </c>
      <c r="F295" s="32">
        <v>3</v>
      </c>
      <c r="H295" s="32" t="s">
        <v>152</v>
      </c>
      <c r="I295" s="32" t="s">
        <v>152</v>
      </c>
      <c r="J295" s="32" t="s">
        <v>155</v>
      </c>
      <c r="N29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13"/>
      <c r="P295" s="11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95" s="32" t="s">
        <v>40</v>
      </c>
      <c r="R295" s="32">
        <v>7</v>
      </c>
    </row>
    <row r="296" spans="2:18" x14ac:dyDescent="0.3">
      <c r="B296" s="32" t="s">
        <v>151</v>
      </c>
      <c r="C296" s="32" t="s">
        <v>36</v>
      </c>
      <c r="D296" s="32" t="s">
        <v>191</v>
      </c>
      <c r="E296" s="32" t="b">
        <v>1</v>
      </c>
      <c r="F296" s="32">
        <v>3</v>
      </c>
      <c r="H296" s="32" t="s">
        <v>152</v>
      </c>
      <c r="I296" s="32" t="s">
        <v>152</v>
      </c>
      <c r="J296" s="32" t="s">
        <v>156</v>
      </c>
      <c r="N29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13"/>
      <c r="P296" s="11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96" s="32" t="s">
        <v>40</v>
      </c>
      <c r="R296" s="32">
        <v>7</v>
      </c>
    </row>
    <row r="297" spans="2:18" x14ac:dyDescent="0.3">
      <c r="B297" s="32" t="s">
        <v>151</v>
      </c>
      <c r="C297" s="32" t="s">
        <v>36</v>
      </c>
      <c r="D297" s="32" t="s">
        <v>191</v>
      </c>
      <c r="E297" s="32" t="b">
        <v>1</v>
      </c>
      <c r="F297" s="32">
        <v>3</v>
      </c>
      <c r="H297" s="32" t="s">
        <v>152</v>
      </c>
      <c r="I297" s="32" t="s">
        <v>152</v>
      </c>
      <c r="J297" s="32" t="s">
        <v>157</v>
      </c>
      <c r="N29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13"/>
      <c r="P297" s="11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97" s="32" t="s">
        <v>40</v>
      </c>
      <c r="R297" s="32">
        <v>7</v>
      </c>
    </row>
    <row r="298" spans="2:18" x14ac:dyDescent="0.3">
      <c r="B298" s="32" t="s">
        <v>151</v>
      </c>
      <c r="C298" s="32" t="s">
        <v>36</v>
      </c>
      <c r="D298" s="32" t="s">
        <v>191</v>
      </c>
      <c r="E298" s="32" t="b">
        <v>1</v>
      </c>
      <c r="F298" s="32">
        <v>3</v>
      </c>
      <c r="H298" s="32" t="s">
        <v>153</v>
      </c>
      <c r="I298" s="32" t="s">
        <v>153</v>
      </c>
      <c r="J298" s="32" t="s">
        <v>154</v>
      </c>
      <c r="N29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13"/>
      <c r="P298" s="11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98" s="32" t="s">
        <v>40</v>
      </c>
      <c r="R298" s="32">
        <v>7</v>
      </c>
    </row>
    <row r="299" spans="2:18" x14ac:dyDescent="0.3">
      <c r="B299" s="32" t="s">
        <v>151</v>
      </c>
      <c r="C299" s="32" t="s">
        <v>36</v>
      </c>
      <c r="D299" s="32" t="s">
        <v>191</v>
      </c>
      <c r="E299" s="32" t="b">
        <v>1</v>
      </c>
      <c r="F299" s="32">
        <v>3</v>
      </c>
      <c r="H299" s="32" t="s">
        <v>153</v>
      </c>
      <c r="I299" s="32" t="s">
        <v>153</v>
      </c>
      <c r="J299" s="32" t="s">
        <v>155</v>
      </c>
      <c r="N29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13"/>
      <c r="P299" s="11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99" s="32" t="s">
        <v>40</v>
      </c>
      <c r="R299" s="32">
        <v>7</v>
      </c>
    </row>
    <row r="300" spans="2:18" x14ac:dyDescent="0.3">
      <c r="B300" s="32" t="s">
        <v>151</v>
      </c>
      <c r="C300" s="32" t="s">
        <v>36</v>
      </c>
      <c r="D300" s="32" t="s">
        <v>191</v>
      </c>
      <c r="E300" s="32" t="b">
        <v>1</v>
      </c>
      <c r="F300" s="32">
        <v>3</v>
      </c>
      <c r="H300" s="32" t="s">
        <v>153</v>
      </c>
      <c r="I300" s="32" t="s">
        <v>153</v>
      </c>
      <c r="J300" s="32" t="s">
        <v>156</v>
      </c>
      <c r="N30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13"/>
      <c r="P300" s="11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300" s="32" t="s">
        <v>40</v>
      </c>
      <c r="R300" s="32">
        <v>7</v>
      </c>
    </row>
    <row r="301" spans="2:18" x14ac:dyDescent="0.3">
      <c r="B301" s="32" t="s">
        <v>151</v>
      </c>
      <c r="C301" s="32" t="s">
        <v>36</v>
      </c>
      <c r="D301" s="32" t="s">
        <v>191</v>
      </c>
      <c r="E301" s="32" t="b">
        <v>1</v>
      </c>
      <c r="F301" s="32">
        <v>3</v>
      </c>
      <c r="H301" s="32" t="s">
        <v>153</v>
      </c>
      <c r="I301" s="32" t="s">
        <v>153</v>
      </c>
      <c r="J301" s="32" t="s">
        <v>157</v>
      </c>
      <c r="N30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13"/>
      <c r="P301" s="11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301" s="32" t="s">
        <v>40</v>
      </c>
      <c r="R301" s="32">
        <v>7</v>
      </c>
    </row>
    <row r="302" spans="2:18" x14ac:dyDescent="0.3">
      <c r="B302" s="32" t="s">
        <v>151</v>
      </c>
      <c r="C302" s="32" t="s">
        <v>36</v>
      </c>
      <c r="D302" s="32" t="s">
        <v>191</v>
      </c>
      <c r="E302" s="32" t="b">
        <v>1</v>
      </c>
      <c r="F302" s="32">
        <v>3</v>
      </c>
      <c r="H302" s="32" t="s">
        <v>152</v>
      </c>
      <c r="I302" s="32" t="s">
        <v>153</v>
      </c>
      <c r="J302" s="32" t="s">
        <v>154</v>
      </c>
      <c r="N30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13"/>
      <c r="P302" s="11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302" s="32" t="s">
        <v>40</v>
      </c>
      <c r="R302" s="32">
        <v>7</v>
      </c>
    </row>
    <row r="303" spans="2:18" x14ac:dyDescent="0.3">
      <c r="B303" s="32" t="s">
        <v>151</v>
      </c>
      <c r="C303" s="32" t="s">
        <v>36</v>
      </c>
      <c r="D303" s="32" t="s">
        <v>191</v>
      </c>
      <c r="E303" s="32" t="b">
        <v>1</v>
      </c>
      <c r="F303" s="32">
        <v>3</v>
      </c>
      <c r="H303" s="32" t="s">
        <v>152</v>
      </c>
      <c r="I303" s="32" t="s">
        <v>153</v>
      </c>
      <c r="J303" s="32" t="s">
        <v>155</v>
      </c>
      <c r="N30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13"/>
      <c r="P303" s="11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303" s="32" t="s">
        <v>40</v>
      </c>
      <c r="R303" s="32">
        <v>7</v>
      </c>
    </row>
    <row r="304" spans="2:18" x14ac:dyDescent="0.3">
      <c r="B304" s="32" t="s">
        <v>151</v>
      </c>
      <c r="C304" s="32" t="s">
        <v>36</v>
      </c>
      <c r="D304" s="32" t="s">
        <v>191</v>
      </c>
      <c r="E304" s="32" t="b">
        <v>1</v>
      </c>
      <c r="F304" s="32">
        <v>3</v>
      </c>
      <c r="H304" s="32" t="s">
        <v>152</v>
      </c>
      <c r="I304" s="32" t="s">
        <v>153</v>
      </c>
      <c r="J304" s="32" t="s">
        <v>156</v>
      </c>
      <c r="N30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13"/>
      <c r="P304" s="11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304" s="32" t="s">
        <v>40</v>
      </c>
      <c r="R304" s="32">
        <v>7</v>
      </c>
    </row>
    <row r="305" spans="2:18" x14ac:dyDescent="0.3">
      <c r="B305" s="32" t="s">
        <v>151</v>
      </c>
      <c r="C305" s="32" t="s">
        <v>36</v>
      </c>
      <c r="D305" s="32" t="s">
        <v>191</v>
      </c>
      <c r="E305" s="32" t="b">
        <v>1</v>
      </c>
      <c r="F305" s="32">
        <v>3</v>
      </c>
      <c r="H305" s="32" t="s">
        <v>152</v>
      </c>
      <c r="I305" s="32" t="s">
        <v>153</v>
      </c>
      <c r="J305" s="32" t="s">
        <v>157</v>
      </c>
      <c r="N30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13"/>
      <c r="P305" s="11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305" s="32" t="s">
        <v>40</v>
      </c>
      <c r="R305" s="32">
        <v>7</v>
      </c>
    </row>
    <row r="306" spans="2:18" x14ac:dyDescent="0.3">
      <c r="B306" s="32" t="s">
        <v>172</v>
      </c>
      <c r="C306" s="32" t="s">
        <v>179</v>
      </c>
      <c r="D306" s="32" t="s">
        <v>181</v>
      </c>
      <c r="F306" s="32">
        <v>3</v>
      </c>
      <c r="H306" s="32" t="s">
        <v>152</v>
      </c>
      <c r="I306" s="32" t="s">
        <v>154</v>
      </c>
      <c r="J306" s="32" t="s">
        <v>154</v>
      </c>
      <c r="N30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13"/>
      <c r="P306" s="11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306" s="32" t="s">
        <v>40</v>
      </c>
      <c r="R306" s="32">
        <v>7</v>
      </c>
    </row>
    <row r="307" spans="2:18" x14ac:dyDescent="0.3">
      <c r="B307" s="32" t="s">
        <v>151</v>
      </c>
      <c r="C307" s="32" t="s">
        <v>36</v>
      </c>
      <c r="D307" s="32" t="s">
        <v>181</v>
      </c>
      <c r="F307" s="32">
        <v>3</v>
      </c>
      <c r="H307" s="32" t="s">
        <v>152</v>
      </c>
      <c r="I307" s="32" t="s">
        <v>155</v>
      </c>
      <c r="J307" s="32" t="s">
        <v>155</v>
      </c>
      <c r="N30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13"/>
      <c r="P307" s="11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307" s="32" t="s">
        <v>40</v>
      </c>
      <c r="R307" s="32">
        <v>7</v>
      </c>
    </row>
    <row r="308" spans="2:18" x14ac:dyDescent="0.3">
      <c r="B308" s="32" t="s">
        <v>151</v>
      </c>
      <c r="C308" s="32" t="s">
        <v>36</v>
      </c>
      <c r="D308" s="32" t="s">
        <v>181</v>
      </c>
      <c r="F308" s="32">
        <v>3</v>
      </c>
      <c r="H308" s="32" t="s">
        <v>152</v>
      </c>
      <c r="I308" s="32" t="s">
        <v>156</v>
      </c>
      <c r="J308" s="32" t="s">
        <v>156</v>
      </c>
      <c r="N30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13"/>
      <c r="P308" s="11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308" s="32" t="s">
        <v>40</v>
      </c>
      <c r="R308" s="32">
        <v>7</v>
      </c>
    </row>
    <row r="309" spans="2:18" x14ac:dyDescent="0.3">
      <c r="B309" s="32" t="s">
        <v>151</v>
      </c>
      <c r="C309" s="32" t="s">
        <v>36</v>
      </c>
      <c r="D309" s="32" t="s">
        <v>181</v>
      </c>
      <c r="F309" s="32">
        <v>3</v>
      </c>
      <c r="H309" s="32" t="s">
        <v>152</v>
      </c>
      <c r="I309" s="32" t="s">
        <v>157</v>
      </c>
      <c r="J309" s="32" t="s">
        <v>157</v>
      </c>
      <c r="N30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13"/>
      <c r="P309" s="11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309" s="32" t="s">
        <v>40</v>
      </c>
      <c r="R309" s="32">
        <v>7</v>
      </c>
    </row>
    <row r="310" spans="2:18" x14ac:dyDescent="0.3">
      <c r="B310" s="32" t="s">
        <v>151</v>
      </c>
      <c r="C310" s="32" t="s">
        <v>36</v>
      </c>
      <c r="D310" s="32" t="s">
        <v>181</v>
      </c>
      <c r="F310" s="32">
        <v>3</v>
      </c>
      <c r="H310" s="32" t="s">
        <v>152</v>
      </c>
      <c r="I310" s="32" t="s">
        <v>154</v>
      </c>
      <c r="J310" s="32" t="s">
        <v>155</v>
      </c>
      <c r="N31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13"/>
      <c r="P310" s="11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310" s="32" t="s">
        <v>40</v>
      </c>
      <c r="R310" s="32">
        <v>7</v>
      </c>
    </row>
    <row r="311" spans="2:18" x14ac:dyDescent="0.3">
      <c r="B311" s="32" t="s">
        <v>151</v>
      </c>
      <c r="C311" s="32" t="s">
        <v>36</v>
      </c>
      <c r="D311" s="32" t="s">
        <v>181</v>
      </c>
      <c r="F311" s="32">
        <v>3</v>
      </c>
      <c r="H311" s="32" t="s">
        <v>152</v>
      </c>
      <c r="I311" s="32" t="s">
        <v>154</v>
      </c>
      <c r="J311" s="32" t="s">
        <v>156</v>
      </c>
      <c r="N31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13"/>
      <c r="P311" s="11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311" s="32" t="s">
        <v>40</v>
      </c>
      <c r="R311" s="32">
        <v>7</v>
      </c>
    </row>
    <row r="312" spans="2:18" x14ac:dyDescent="0.3">
      <c r="B312" s="32" t="s">
        <v>151</v>
      </c>
      <c r="C312" s="32" t="s">
        <v>36</v>
      </c>
      <c r="D312" s="32" t="s">
        <v>181</v>
      </c>
      <c r="F312" s="32">
        <v>3</v>
      </c>
      <c r="H312" s="32" t="s">
        <v>152</v>
      </c>
      <c r="I312" s="32" t="s">
        <v>154</v>
      </c>
      <c r="J312" s="32" t="s">
        <v>157</v>
      </c>
      <c r="N31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13"/>
      <c r="P312" s="11" t="str">
        <f>tbGroup[[#This Row],[Camp]]&amp;"-"&amp;tbGroup[[#This Row],[Difficulty]]&amp;"-"&amp;GET_GROUP_NAME(tbGroup[[#This Row],[IsBoss]],tbGroup[[#This Row],[Hero1]:[Soldier3]])&amp;tbGroup[[#This Row],[Suffix]]</f>
        <v>三国-超难-铁英+强英+刺英</v>
      </c>
      <c r="Q312" s="32" t="s">
        <v>40</v>
      </c>
      <c r="R312" s="32">
        <v>0</v>
      </c>
    </row>
    <row r="313" spans="2:18" x14ac:dyDescent="0.3">
      <c r="B313" s="32" t="s">
        <v>151</v>
      </c>
      <c r="C313" s="32" t="s">
        <v>36</v>
      </c>
      <c r="D313" s="32" t="s">
        <v>181</v>
      </c>
      <c r="F313" s="32">
        <v>3</v>
      </c>
      <c r="H313" s="32" t="s">
        <v>152</v>
      </c>
      <c r="I313" s="32" t="s">
        <v>155</v>
      </c>
      <c r="J313" s="32" t="s">
        <v>156</v>
      </c>
      <c r="N31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13"/>
      <c r="P313" s="11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313" s="32" t="s">
        <v>40</v>
      </c>
      <c r="R313" s="32">
        <v>7</v>
      </c>
    </row>
    <row r="314" spans="2:18" x14ac:dyDescent="0.3">
      <c r="B314" s="32" t="s">
        <v>151</v>
      </c>
      <c r="C314" s="32" t="s">
        <v>36</v>
      </c>
      <c r="D314" s="32" t="s">
        <v>181</v>
      </c>
      <c r="F314" s="32">
        <v>3</v>
      </c>
      <c r="H314" s="32" t="s">
        <v>152</v>
      </c>
      <c r="I314" s="32" t="s">
        <v>155</v>
      </c>
      <c r="J314" s="32" t="s">
        <v>157</v>
      </c>
      <c r="N31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13"/>
      <c r="P314" s="11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314" s="32" t="s">
        <v>40</v>
      </c>
      <c r="R314" s="32">
        <v>7</v>
      </c>
    </row>
    <row r="315" spans="2:18" x14ac:dyDescent="0.3">
      <c r="B315" s="32" t="s">
        <v>151</v>
      </c>
      <c r="C315" s="32" t="s">
        <v>36</v>
      </c>
      <c r="D315" s="32" t="s">
        <v>181</v>
      </c>
      <c r="F315" s="32">
        <v>3</v>
      </c>
      <c r="H315" s="32" t="s">
        <v>152</v>
      </c>
      <c r="I315" s="32" t="s">
        <v>156</v>
      </c>
      <c r="J315" s="32" t="s">
        <v>157</v>
      </c>
      <c r="N31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13"/>
      <c r="P315" s="11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315" s="32" t="s">
        <v>40</v>
      </c>
      <c r="R315" s="32">
        <v>7</v>
      </c>
    </row>
    <row r="316" spans="2:18" x14ac:dyDescent="0.3">
      <c r="B316" s="32" t="s">
        <v>151</v>
      </c>
      <c r="C316" s="32" t="s">
        <v>36</v>
      </c>
      <c r="D316" s="32" t="s">
        <v>181</v>
      </c>
      <c r="F316" s="32">
        <v>3</v>
      </c>
      <c r="H316" s="32" t="s">
        <v>153</v>
      </c>
      <c r="I316" s="32" t="s">
        <v>455</v>
      </c>
      <c r="J316" s="32" t="s">
        <v>455</v>
      </c>
      <c r="N31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13"/>
      <c r="P316" s="11" t="str">
        <f>tbGroup[[#This Row],[Camp]]&amp;"-"&amp;tbGroup[[#This Row],[Difficulty]]&amp;"-"&amp;GET_GROUP_NAME(tbGroup[[#This Row],[IsBoss]],tbGroup[[#This Row],[Hero1]:[Soldier3]])&amp;tbGroup[[#This Row],[Suffix]]</f>
        <v>三国-超难-盾英+强英+强英</v>
      </c>
      <c r="Q316" s="32" t="s">
        <v>40</v>
      </c>
      <c r="R316" s="32">
        <v>0</v>
      </c>
    </row>
    <row r="317" spans="2:18" x14ac:dyDescent="0.3">
      <c r="B317" s="32" t="s">
        <v>151</v>
      </c>
      <c r="C317" s="32" t="s">
        <v>36</v>
      </c>
      <c r="D317" s="32" t="s">
        <v>181</v>
      </c>
      <c r="F317" s="32">
        <v>3</v>
      </c>
      <c r="H317" s="32" t="s">
        <v>153</v>
      </c>
      <c r="I317" s="32" t="s">
        <v>155</v>
      </c>
      <c r="J317" s="32" t="s">
        <v>155</v>
      </c>
      <c r="N31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13"/>
      <c r="P317" s="11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317" s="32" t="s">
        <v>40</v>
      </c>
      <c r="R317" s="32">
        <v>7</v>
      </c>
    </row>
    <row r="318" spans="2:18" x14ac:dyDescent="0.3">
      <c r="B318" s="32" t="s">
        <v>151</v>
      </c>
      <c r="C318" s="32" t="s">
        <v>36</v>
      </c>
      <c r="D318" s="32" t="s">
        <v>181</v>
      </c>
      <c r="F318" s="32">
        <v>3</v>
      </c>
      <c r="H318" s="32" t="s">
        <v>153</v>
      </c>
      <c r="I318" s="32" t="s">
        <v>156</v>
      </c>
      <c r="J318" s="32" t="s">
        <v>156</v>
      </c>
      <c r="N31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13"/>
      <c r="P318" s="11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318" s="32" t="s">
        <v>40</v>
      </c>
      <c r="R318" s="32">
        <v>7</v>
      </c>
    </row>
    <row r="319" spans="2:18" x14ac:dyDescent="0.3">
      <c r="B319" s="32" t="s">
        <v>151</v>
      </c>
      <c r="C319" s="32" t="s">
        <v>36</v>
      </c>
      <c r="D319" s="32" t="s">
        <v>181</v>
      </c>
      <c r="F319" s="32">
        <v>3</v>
      </c>
      <c r="H319" s="32" t="s">
        <v>153</v>
      </c>
      <c r="I319" s="32" t="s">
        <v>157</v>
      </c>
      <c r="J319" s="32" t="s">
        <v>157</v>
      </c>
      <c r="N31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13"/>
      <c r="P319" s="11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319" s="32" t="s">
        <v>40</v>
      </c>
      <c r="R319" s="32">
        <v>7</v>
      </c>
    </row>
    <row r="320" spans="2:18" x14ac:dyDescent="0.3">
      <c r="B320" s="32" t="s">
        <v>151</v>
      </c>
      <c r="C320" s="32" t="s">
        <v>36</v>
      </c>
      <c r="D320" s="32" t="s">
        <v>181</v>
      </c>
      <c r="F320" s="32">
        <v>3</v>
      </c>
      <c r="H320" s="32" t="s">
        <v>153</v>
      </c>
      <c r="I320" s="32" t="s">
        <v>154</v>
      </c>
      <c r="J320" s="32" t="s">
        <v>155</v>
      </c>
      <c r="N32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13"/>
      <c r="P320" s="11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320" s="32" t="s">
        <v>40</v>
      </c>
      <c r="R320" s="32">
        <v>7</v>
      </c>
    </row>
    <row r="321" spans="2:18" x14ac:dyDescent="0.3">
      <c r="B321" s="32" t="s">
        <v>151</v>
      </c>
      <c r="C321" s="32" t="s">
        <v>36</v>
      </c>
      <c r="D321" s="32" t="s">
        <v>181</v>
      </c>
      <c r="F321" s="32">
        <v>3</v>
      </c>
      <c r="H321" s="32" t="s">
        <v>153</v>
      </c>
      <c r="I321" s="32" t="s">
        <v>154</v>
      </c>
      <c r="J321" s="32" t="s">
        <v>156</v>
      </c>
      <c r="N32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13"/>
      <c r="P321" s="11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321" s="32" t="s">
        <v>40</v>
      </c>
      <c r="R321" s="32">
        <v>7</v>
      </c>
    </row>
    <row r="322" spans="2:18" x14ac:dyDescent="0.3">
      <c r="B322" s="32" t="s">
        <v>151</v>
      </c>
      <c r="C322" s="32" t="s">
        <v>36</v>
      </c>
      <c r="D322" s="32" t="s">
        <v>181</v>
      </c>
      <c r="F322" s="32">
        <v>3</v>
      </c>
      <c r="H322" s="32" t="s">
        <v>153</v>
      </c>
      <c r="I322" s="32" t="s">
        <v>154</v>
      </c>
      <c r="J322" s="32" t="s">
        <v>157</v>
      </c>
      <c r="N32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13"/>
      <c r="P322" s="11" t="str">
        <f>tbGroup[[#This Row],[Camp]]&amp;"-"&amp;tbGroup[[#This Row],[Difficulty]]&amp;"-"&amp;GET_GROUP_NAME(tbGroup[[#This Row],[IsBoss]],tbGroup[[#This Row],[Hero1]:[Soldier3]])&amp;tbGroup[[#This Row],[Suffix]]</f>
        <v>三国-超难-盾英+强英+刺英</v>
      </c>
      <c r="Q322" s="32" t="s">
        <v>40</v>
      </c>
      <c r="R322" s="32">
        <v>0</v>
      </c>
    </row>
    <row r="323" spans="2:18" x14ac:dyDescent="0.3">
      <c r="B323" s="32" t="s">
        <v>151</v>
      </c>
      <c r="C323" s="32" t="s">
        <v>36</v>
      </c>
      <c r="D323" s="32" t="s">
        <v>181</v>
      </c>
      <c r="F323" s="32">
        <v>3</v>
      </c>
      <c r="H323" s="32" t="s">
        <v>153</v>
      </c>
      <c r="I323" s="32" t="s">
        <v>155</v>
      </c>
      <c r="J323" s="32" t="s">
        <v>156</v>
      </c>
      <c r="N32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13"/>
      <c r="P323" s="11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323" s="32" t="s">
        <v>40</v>
      </c>
      <c r="R323" s="32">
        <v>7</v>
      </c>
    </row>
    <row r="324" spans="2:18" x14ac:dyDescent="0.3">
      <c r="B324" s="32" t="s">
        <v>151</v>
      </c>
      <c r="C324" s="32" t="s">
        <v>36</v>
      </c>
      <c r="D324" s="32" t="s">
        <v>181</v>
      </c>
      <c r="F324" s="32">
        <v>3</v>
      </c>
      <c r="H324" s="32" t="s">
        <v>153</v>
      </c>
      <c r="I324" s="32" t="s">
        <v>155</v>
      </c>
      <c r="J324" s="32" t="s">
        <v>157</v>
      </c>
      <c r="N32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13"/>
      <c r="P324" s="11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324" s="32" t="s">
        <v>40</v>
      </c>
      <c r="R324" s="32">
        <v>7</v>
      </c>
    </row>
    <row r="325" spans="2:18" x14ac:dyDescent="0.3">
      <c r="B325" s="32" t="s">
        <v>151</v>
      </c>
      <c r="C325" s="32" t="s">
        <v>36</v>
      </c>
      <c r="D325" s="32" t="s">
        <v>181</v>
      </c>
      <c r="F325" s="32">
        <v>3</v>
      </c>
      <c r="H325" s="32" t="s">
        <v>153</v>
      </c>
      <c r="I325" s="32" t="s">
        <v>156</v>
      </c>
      <c r="J325" s="32" t="s">
        <v>157</v>
      </c>
      <c r="N32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13"/>
      <c r="P325" s="11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325" s="32" t="s">
        <v>40</v>
      </c>
      <c r="R325" s="32">
        <v>7</v>
      </c>
    </row>
    <row r="326" spans="2:18" x14ac:dyDescent="0.3">
      <c r="B326" s="32" t="s">
        <v>151</v>
      </c>
      <c r="C326" s="32" t="s">
        <v>36</v>
      </c>
      <c r="D326" s="32" t="s">
        <v>192</v>
      </c>
      <c r="E326" s="32" t="b">
        <v>1</v>
      </c>
      <c r="F326" s="32">
        <v>3</v>
      </c>
      <c r="H326" s="32" t="s">
        <v>152</v>
      </c>
      <c r="I326" s="32" t="s">
        <v>154</v>
      </c>
      <c r="J326" s="32" t="s">
        <v>154</v>
      </c>
      <c r="N32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13"/>
      <c r="P326" s="11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326" s="32" t="s">
        <v>40</v>
      </c>
      <c r="R326" s="32">
        <v>7</v>
      </c>
    </row>
    <row r="327" spans="2:18" x14ac:dyDescent="0.3">
      <c r="B327" s="32" t="s">
        <v>151</v>
      </c>
      <c r="C327" s="32" t="s">
        <v>36</v>
      </c>
      <c r="D327" s="32" t="s">
        <v>192</v>
      </c>
      <c r="E327" s="32" t="b">
        <v>1</v>
      </c>
      <c r="F327" s="32">
        <v>3</v>
      </c>
      <c r="H327" s="32" t="s">
        <v>152</v>
      </c>
      <c r="I327" s="32" t="s">
        <v>155</v>
      </c>
      <c r="J327" s="32" t="s">
        <v>155</v>
      </c>
      <c r="N32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13"/>
      <c r="P327" s="11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327" s="32" t="s">
        <v>40</v>
      </c>
      <c r="R327" s="32">
        <v>7</v>
      </c>
    </row>
    <row r="328" spans="2:18" x14ac:dyDescent="0.3">
      <c r="B328" s="32" t="s">
        <v>151</v>
      </c>
      <c r="C328" s="32" t="s">
        <v>36</v>
      </c>
      <c r="D328" s="32" t="s">
        <v>192</v>
      </c>
      <c r="E328" s="32" t="b">
        <v>1</v>
      </c>
      <c r="F328" s="32">
        <v>3</v>
      </c>
      <c r="H328" s="32" t="s">
        <v>152</v>
      </c>
      <c r="I328" s="32" t="s">
        <v>156</v>
      </c>
      <c r="J328" s="32" t="s">
        <v>156</v>
      </c>
      <c r="N32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13"/>
      <c r="P328" s="11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328" s="32" t="s">
        <v>40</v>
      </c>
      <c r="R328" s="32">
        <v>7</v>
      </c>
    </row>
    <row r="329" spans="2:18" x14ac:dyDescent="0.3">
      <c r="B329" s="32" t="s">
        <v>151</v>
      </c>
      <c r="C329" s="32" t="s">
        <v>36</v>
      </c>
      <c r="D329" s="32" t="s">
        <v>192</v>
      </c>
      <c r="E329" s="32" t="b">
        <v>1</v>
      </c>
      <c r="F329" s="32">
        <v>3</v>
      </c>
      <c r="H329" s="32" t="s">
        <v>152</v>
      </c>
      <c r="I329" s="32" t="s">
        <v>157</v>
      </c>
      <c r="J329" s="32" t="s">
        <v>157</v>
      </c>
      <c r="N32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13"/>
      <c r="P329" s="11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329" s="32" t="s">
        <v>40</v>
      </c>
      <c r="R329" s="32">
        <v>7</v>
      </c>
    </row>
    <row r="330" spans="2:18" x14ac:dyDescent="0.3">
      <c r="B330" s="32" t="s">
        <v>151</v>
      </c>
      <c r="C330" s="32" t="s">
        <v>36</v>
      </c>
      <c r="D330" s="32" t="s">
        <v>192</v>
      </c>
      <c r="E330" s="32" t="b">
        <v>1</v>
      </c>
      <c r="F330" s="32">
        <v>3</v>
      </c>
      <c r="H330" s="32" t="s">
        <v>152</v>
      </c>
      <c r="I330" s="32" t="s">
        <v>154</v>
      </c>
      <c r="J330" s="32" t="s">
        <v>155</v>
      </c>
      <c r="N33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13"/>
      <c r="P330" s="11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330" s="32" t="s">
        <v>40</v>
      </c>
      <c r="R330" s="32">
        <v>7</v>
      </c>
    </row>
    <row r="331" spans="2:18" x14ac:dyDescent="0.3">
      <c r="B331" s="32" t="s">
        <v>151</v>
      </c>
      <c r="C331" s="32" t="s">
        <v>36</v>
      </c>
      <c r="D331" s="32" t="s">
        <v>192</v>
      </c>
      <c r="E331" s="32" t="b">
        <v>1</v>
      </c>
      <c r="F331" s="32">
        <v>3</v>
      </c>
      <c r="H331" s="32" t="s">
        <v>152</v>
      </c>
      <c r="I331" s="32" t="s">
        <v>154</v>
      </c>
      <c r="J331" s="32" t="s">
        <v>156</v>
      </c>
      <c r="N33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13"/>
      <c r="P331" s="11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331" s="32" t="s">
        <v>40</v>
      </c>
      <c r="R331" s="32">
        <v>7</v>
      </c>
    </row>
    <row r="332" spans="2:18" x14ac:dyDescent="0.3">
      <c r="B332" s="32" t="s">
        <v>151</v>
      </c>
      <c r="C332" s="32" t="s">
        <v>36</v>
      </c>
      <c r="D332" s="32" t="s">
        <v>192</v>
      </c>
      <c r="E332" s="32" t="b">
        <v>1</v>
      </c>
      <c r="F332" s="32">
        <v>3</v>
      </c>
      <c r="H332" s="32" t="s">
        <v>152</v>
      </c>
      <c r="I332" s="32" t="s">
        <v>154</v>
      </c>
      <c r="J332" s="32" t="s">
        <v>157</v>
      </c>
      <c r="N33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13"/>
      <c r="P332" s="11" t="str">
        <f>tbGroup[[#This Row],[Camp]]&amp;"-"&amp;tbGroup[[#This Row],[Difficulty]]&amp;"-"&amp;GET_GROUP_NAME(tbGroup[[#This Row],[IsBoss]],tbGroup[[#This Row],[Hero1]:[Soldier3]])&amp;tbGroup[[#This Row],[Suffix]]</f>
        <v>三国-超难-[B]铁英+强英+刺英</v>
      </c>
      <c r="Q332" s="32" t="s">
        <v>40</v>
      </c>
      <c r="R332" s="32">
        <v>0</v>
      </c>
    </row>
    <row r="333" spans="2:18" x14ac:dyDescent="0.3">
      <c r="B333" s="32" t="s">
        <v>151</v>
      </c>
      <c r="C333" s="32" t="s">
        <v>36</v>
      </c>
      <c r="D333" s="32" t="s">
        <v>192</v>
      </c>
      <c r="E333" s="32" t="b">
        <v>1</v>
      </c>
      <c r="F333" s="32">
        <v>3</v>
      </c>
      <c r="H333" s="32" t="s">
        <v>152</v>
      </c>
      <c r="I333" s="32" t="s">
        <v>155</v>
      </c>
      <c r="J333" s="32" t="s">
        <v>156</v>
      </c>
      <c r="N33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13"/>
      <c r="P333" s="11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333" s="32" t="s">
        <v>40</v>
      </c>
      <c r="R333" s="32">
        <v>7</v>
      </c>
    </row>
    <row r="334" spans="2:18" x14ac:dyDescent="0.3">
      <c r="B334" s="32" t="s">
        <v>151</v>
      </c>
      <c r="C334" s="32" t="s">
        <v>36</v>
      </c>
      <c r="D334" s="32" t="s">
        <v>192</v>
      </c>
      <c r="E334" s="32" t="b">
        <v>1</v>
      </c>
      <c r="F334" s="32">
        <v>3</v>
      </c>
      <c r="H334" s="32" t="s">
        <v>152</v>
      </c>
      <c r="I334" s="32" t="s">
        <v>155</v>
      </c>
      <c r="J334" s="32" t="s">
        <v>157</v>
      </c>
      <c r="N33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13"/>
      <c r="P334" s="11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334" s="32" t="s">
        <v>40</v>
      </c>
      <c r="R334" s="32">
        <v>7</v>
      </c>
    </row>
    <row r="335" spans="2:18" x14ac:dyDescent="0.3">
      <c r="B335" s="32" t="s">
        <v>151</v>
      </c>
      <c r="C335" s="32" t="s">
        <v>36</v>
      </c>
      <c r="D335" s="32" t="s">
        <v>192</v>
      </c>
      <c r="E335" s="32" t="b">
        <v>1</v>
      </c>
      <c r="F335" s="32">
        <v>3</v>
      </c>
      <c r="H335" s="32" t="s">
        <v>152</v>
      </c>
      <c r="I335" s="32" t="s">
        <v>156</v>
      </c>
      <c r="J335" s="32" t="s">
        <v>157</v>
      </c>
      <c r="N33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13"/>
      <c r="P335" s="11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335" s="32" t="s">
        <v>40</v>
      </c>
      <c r="R335" s="32">
        <v>7</v>
      </c>
    </row>
    <row r="336" spans="2:18" x14ac:dyDescent="0.3">
      <c r="B336" s="32" t="s">
        <v>151</v>
      </c>
      <c r="C336" s="32" t="s">
        <v>36</v>
      </c>
      <c r="D336" s="32" t="s">
        <v>192</v>
      </c>
      <c r="E336" s="32" t="b">
        <v>1</v>
      </c>
      <c r="F336" s="32">
        <v>3</v>
      </c>
      <c r="H336" s="32" t="s">
        <v>153</v>
      </c>
      <c r="I336" s="32" t="s">
        <v>154</v>
      </c>
      <c r="J336" s="32" t="s">
        <v>154</v>
      </c>
      <c r="N33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13"/>
      <c r="P336" s="11" t="str">
        <f>tbGroup[[#This Row],[Camp]]&amp;"-"&amp;tbGroup[[#This Row],[Difficulty]]&amp;"-"&amp;GET_GROUP_NAME(tbGroup[[#This Row],[IsBoss]],tbGroup[[#This Row],[Hero1]:[Soldier3]])&amp;tbGroup[[#This Row],[Suffix]]</f>
        <v>三国-超难-[B]盾英+强英+强英</v>
      </c>
      <c r="Q336" s="32" t="s">
        <v>40</v>
      </c>
      <c r="R336" s="32">
        <v>0</v>
      </c>
    </row>
    <row r="337" spans="2:18" x14ac:dyDescent="0.3">
      <c r="B337" s="32" t="s">
        <v>151</v>
      </c>
      <c r="C337" s="32" t="s">
        <v>36</v>
      </c>
      <c r="D337" s="32" t="s">
        <v>192</v>
      </c>
      <c r="E337" s="32" t="b">
        <v>1</v>
      </c>
      <c r="F337" s="32">
        <v>3</v>
      </c>
      <c r="H337" s="32" t="s">
        <v>153</v>
      </c>
      <c r="I337" s="32" t="s">
        <v>155</v>
      </c>
      <c r="J337" s="32" t="s">
        <v>155</v>
      </c>
      <c r="N33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13"/>
      <c r="P337" s="11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337" s="32" t="s">
        <v>40</v>
      </c>
      <c r="R337" s="32">
        <v>7</v>
      </c>
    </row>
    <row r="338" spans="2:18" x14ac:dyDescent="0.3">
      <c r="B338" s="32" t="s">
        <v>151</v>
      </c>
      <c r="C338" s="32" t="s">
        <v>36</v>
      </c>
      <c r="D338" s="32" t="s">
        <v>192</v>
      </c>
      <c r="E338" s="32" t="b">
        <v>1</v>
      </c>
      <c r="F338" s="32">
        <v>3</v>
      </c>
      <c r="H338" s="32" t="s">
        <v>153</v>
      </c>
      <c r="I338" s="32" t="s">
        <v>156</v>
      </c>
      <c r="J338" s="32" t="s">
        <v>156</v>
      </c>
      <c r="N33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13"/>
      <c r="P338" s="11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338" s="32" t="s">
        <v>40</v>
      </c>
      <c r="R338" s="32">
        <v>7</v>
      </c>
    </row>
    <row r="339" spans="2:18" x14ac:dyDescent="0.3">
      <c r="B339" s="32" t="s">
        <v>151</v>
      </c>
      <c r="C339" s="32" t="s">
        <v>36</v>
      </c>
      <c r="D339" s="32" t="s">
        <v>192</v>
      </c>
      <c r="E339" s="32" t="b">
        <v>1</v>
      </c>
      <c r="F339" s="32">
        <v>3</v>
      </c>
      <c r="H339" s="32" t="s">
        <v>153</v>
      </c>
      <c r="I339" s="32" t="s">
        <v>157</v>
      </c>
      <c r="J339" s="32" t="s">
        <v>157</v>
      </c>
      <c r="N33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13"/>
      <c r="P339" s="11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339" s="32" t="s">
        <v>40</v>
      </c>
      <c r="R339" s="32">
        <v>7</v>
      </c>
    </row>
    <row r="340" spans="2:18" x14ac:dyDescent="0.3">
      <c r="B340" s="32" t="s">
        <v>151</v>
      </c>
      <c r="C340" s="32" t="s">
        <v>36</v>
      </c>
      <c r="D340" s="32" t="s">
        <v>192</v>
      </c>
      <c r="E340" s="32" t="b">
        <v>1</v>
      </c>
      <c r="F340" s="32">
        <v>3</v>
      </c>
      <c r="H340" s="32" t="s">
        <v>153</v>
      </c>
      <c r="I340" s="32" t="s">
        <v>154</v>
      </c>
      <c r="J340" s="32" t="s">
        <v>155</v>
      </c>
      <c r="N34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13"/>
      <c r="P340" s="11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340" s="32" t="s">
        <v>40</v>
      </c>
      <c r="R340" s="32">
        <v>7</v>
      </c>
    </row>
    <row r="341" spans="2:18" x14ac:dyDescent="0.3">
      <c r="B341" s="32" t="s">
        <v>151</v>
      </c>
      <c r="C341" s="32" t="s">
        <v>36</v>
      </c>
      <c r="D341" s="32" t="s">
        <v>192</v>
      </c>
      <c r="E341" s="32" t="b">
        <v>1</v>
      </c>
      <c r="F341" s="32">
        <v>3</v>
      </c>
      <c r="H341" s="32" t="s">
        <v>153</v>
      </c>
      <c r="I341" s="32" t="s">
        <v>154</v>
      </c>
      <c r="J341" s="32" t="s">
        <v>156</v>
      </c>
      <c r="N34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13"/>
      <c r="P341" s="11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341" s="32" t="s">
        <v>40</v>
      </c>
      <c r="R341" s="32">
        <v>7</v>
      </c>
    </row>
    <row r="342" spans="2:18" x14ac:dyDescent="0.3">
      <c r="B342" s="32" t="s">
        <v>151</v>
      </c>
      <c r="C342" s="32" t="s">
        <v>36</v>
      </c>
      <c r="D342" s="32" t="s">
        <v>192</v>
      </c>
      <c r="E342" s="32" t="b">
        <v>1</v>
      </c>
      <c r="F342" s="32">
        <v>3</v>
      </c>
      <c r="H342" s="32" t="s">
        <v>153</v>
      </c>
      <c r="I342" s="32" t="s">
        <v>154</v>
      </c>
      <c r="J342" s="32" t="s">
        <v>461</v>
      </c>
      <c r="N34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13"/>
      <c r="P342" s="11" t="str">
        <f>tbGroup[[#This Row],[Camp]]&amp;"-"&amp;tbGroup[[#This Row],[Difficulty]]&amp;"-"&amp;GET_GROUP_NAME(tbGroup[[#This Row],[IsBoss]],tbGroup[[#This Row],[Hero1]:[Soldier3]])&amp;tbGroup[[#This Row],[Suffix]]</f>
        <v>三国-超难-[B]盾英+强英+刺英</v>
      </c>
      <c r="Q342" s="32" t="s">
        <v>40</v>
      </c>
      <c r="R342" s="32">
        <v>0</v>
      </c>
    </row>
    <row r="343" spans="2:18" x14ac:dyDescent="0.3">
      <c r="B343" s="32" t="s">
        <v>151</v>
      </c>
      <c r="C343" s="32" t="s">
        <v>36</v>
      </c>
      <c r="D343" s="32" t="s">
        <v>192</v>
      </c>
      <c r="E343" s="32" t="b">
        <v>1</v>
      </c>
      <c r="F343" s="32">
        <v>3</v>
      </c>
      <c r="H343" s="32" t="s">
        <v>153</v>
      </c>
      <c r="I343" s="32" t="s">
        <v>155</v>
      </c>
      <c r="J343" s="32" t="s">
        <v>156</v>
      </c>
      <c r="N34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13"/>
      <c r="P343" s="11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43" s="32" t="s">
        <v>40</v>
      </c>
      <c r="R343" s="32">
        <v>7</v>
      </c>
    </row>
    <row r="344" spans="2:18" x14ac:dyDescent="0.3">
      <c r="B344" s="32" t="s">
        <v>151</v>
      </c>
      <c r="C344" s="32" t="s">
        <v>36</v>
      </c>
      <c r="D344" s="32" t="s">
        <v>192</v>
      </c>
      <c r="E344" s="32" t="b">
        <v>1</v>
      </c>
      <c r="F344" s="32">
        <v>3</v>
      </c>
      <c r="H344" s="32" t="s">
        <v>153</v>
      </c>
      <c r="I344" s="32" t="s">
        <v>155</v>
      </c>
      <c r="J344" s="32" t="s">
        <v>157</v>
      </c>
      <c r="N34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13"/>
      <c r="P344" s="11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44" s="32" t="s">
        <v>40</v>
      </c>
      <c r="R344" s="32">
        <v>7</v>
      </c>
    </row>
    <row r="345" spans="2:18" x14ac:dyDescent="0.3">
      <c r="B345" s="32" t="s">
        <v>151</v>
      </c>
      <c r="C345" s="32" t="s">
        <v>36</v>
      </c>
      <c r="D345" s="32" t="s">
        <v>192</v>
      </c>
      <c r="E345" s="32" t="b">
        <v>1</v>
      </c>
      <c r="F345" s="32">
        <v>3</v>
      </c>
      <c r="H345" s="32" t="s">
        <v>153</v>
      </c>
      <c r="I345" s="32" t="s">
        <v>156</v>
      </c>
      <c r="J345" s="32" t="s">
        <v>157</v>
      </c>
      <c r="N34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13"/>
      <c r="P345" s="11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45" s="32" t="s">
        <v>40</v>
      </c>
      <c r="R345" s="32">
        <v>7</v>
      </c>
    </row>
    <row r="346" spans="2:18" x14ac:dyDescent="0.3">
      <c r="B346" s="32" t="s">
        <v>172</v>
      </c>
      <c r="C346" s="32" t="s">
        <v>182</v>
      </c>
      <c r="D346" s="32" t="s">
        <v>183</v>
      </c>
      <c r="F346" s="32">
        <v>3</v>
      </c>
      <c r="H346" s="32" t="s">
        <v>152</v>
      </c>
      <c r="I346" s="32" t="s">
        <v>152</v>
      </c>
      <c r="J346" s="32" t="s">
        <v>154</v>
      </c>
      <c r="N34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13"/>
      <c r="P346" s="11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46" s="32" t="s">
        <v>40</v>
      </c>
      <c r="R346" s="32">
        <v>10</v>
      </c>
    </row>
    <row r="347" spans="2:18" x14ac:dyDescent="0.3">
      <c r="B347" s="32" t="s">
        <v>172</v>
      </c>
      <c r="C347" s="32" t="s">
        <v>182</v>
      </c>
      <c r="D347" s="32" t="s">
        <v>183</v>
      </c>
      <c r="F347" s="32">
        <v>3</v>
      </c>
      <c r="H347" s="32" t="s">
        <v>152</v>
      </c>
      <c r="I347" s="32" t="s">
        <v>152</v>
      </c>
      <c r="J347" s="32" t="s">
        <v>155</v>
      </c>
      <c r="N34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13"/>
      <c r="P347" s="11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47" s="32" t="s">
        <v>40</v>
      </c>
      <c r="R347" s="32">
        <v>9</v>
      </c>
    </row>
    <row r="348" spans="2:18" x14ac:dyDescent="0.3">
      <c r="B348" s="32" t="s">
        <v>172</v>
      </c>
      <c r="C348" s="32" t="s">
        <v>182</v>
      </c>
      <c r="D348" s="32" t="s">
        <v>183</v>
      </c>
      <c r="F348" s="32">
        <v>3</v>
      </c>
      <c r="H348" s="32" t="s">
        <v>152</v>
      </c>
      <c r="I348" s="32" t="s">
        <v>152</v>
      </c>
      <c r="J348" s="32" t="s">
        <v>156</v>
      </c>
      <c r="N34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13"/>
      <c r="P348" s="11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48" s="32" t="s">
        <v>40</v>
      </c>
      <c r="R348" s="32">
        <v>9</v>
      </c>
    </row>
    <row r="349" spans="2:18" x14ac:dyDescent="0.3">
      <c r="B349" s="32" t="s">
        <v>172</v>
      </c>
      <c r="C349" s="32" t="s">
        <v>182</v>
      </c>
      <c r="D349" s="32" t="s">
        <v>183</v>
      </c>
      <c r="F349" s="32">
        <v>3</v>
      </c>
      <c r="H349" s="32" t="s">
        <v>152</v>
      </c>
      <c r="I349" s="32" t="s">
        <v>152</v>
      </c>
      <c r="J349" s="32" t="s">
        <v>157</v>
      </c>
      <c r="N34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13"/>
      <c r="P349" s="11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49" s="32" t="s">
        <v>40</v>
      </c>
      <c r="R349" s="32">
        <v>9</v>
      </c>
    </row>
    <row r="350" spans="2:18" x14ac:dyDescent="0.3">
      <c r="B350" s="32" t="s">
        <v>172</v>
      </c>
      <c r="C350" s="32" t="s">
        <v>182</v>
      </c>
      <c r="D350" s="32" t="s">
        <v>183</v>
      </c>
      <c r="F350" s="32">
        <v>3</v>
      </c>
      <c r="H350" s="32" t="s">
        <v>153</v>
      </c>
      <c r="I350" s="32" t="s">
        <v>153</v>
      </c>
      <c r="J350" s="32" t="s">
        <v>154</v>
      </c>
      <c r="N35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13"/>
      <c r="P350" s="11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50" s="32" t="s">
        <v>40</v>
      </c>
      <c r="R350" s="32">
        <v>9</v>
      </c>
    </row>
    <row r="351" spans="2:18" x14ac:dyDescent="0.3">
      <c r="B351" s="32" t="s">
        <v>172</v>
      </c>
      <c r="C351" s="32" t="s">
        <v>182</v>
      </c>
      <c r="D351" s="32" t="s">
        <v>183</v>
      </c>
      <c r="F351" s="32">
        <v>3</v>
      </c>
      <c r="H351" s="32" t="s">
        <v>153</v>
      </c>
      <c r="I351" s="32" t="s">
        <v>153</v>
      </c>
      <c r="J351" s="32" t="s">
        <v>155</v>
      </c>
      <c r="N35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13"/>
      <c r="P351" s="11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51" s="32" t="s">
        <v>40</v>
      </c>
      <c r="R351" s="32">
        <v>9</v>
      </c>
    </row>
    <row r="352" spans="2:18" x14ac:dyDescent="0.3">
      <c r="B352" s="32" t="s">
        <v>172</v>
      </c>
      <c r="C352" s="32" t="s">
        <v>182</v>
      </c>
      <c r="D352" s="32" t="s">
        <v>183</v>
      </c>
      <c r="F352" s="32">
        <v>3</v>
      </c>
      <c r="H352" s="32" t="s">
        <v>153</v>
      </c>
      <c r="I352" s="32" t="s">
        <v>153</v>
      </c>
      <c r="J352" s="32" t="s">
        <v>156</v>
      </c>
      <c r="N35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13"/>
      <c r="P352" s="11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52" s="32" t="s">
        <v>40</v>
      </c>
      <c r="R352" s="32">
        <v>9</v>
      </c>
    </row>
    <row r="353" spans="2:18" x14ac:dyDescent="0.3">
      <c r="B353" s="32" t="s">
        <v>172</v>
      </c>
      <c r="C353" s="32" t="s">
        <v>182</v>
      </c>
      <c r="D353" s="32" t="s">
        <v>183</v>
      </c>
      <c r="F353" s="32">
        <v>3</v>
      </c>
      <c r="H353" s="32" t="s">
        <v>153</v>
      </c>
      <c r="I353" s="32" t="s">
        <v>153</v>
      </c>
      <c r="J353" s="32" t="s">
        <v>157</v>
      </c>
      <c r="N35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13"/>
      <c r="P353" s="11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53" s="32" t="s">
        <v>40</v>
      </c>
      <c r="R353" s="32">
        <v>9</v>
      </c>
    </row>
    <row r="354" spans="2:18" x14ac:dyDescent="0.3">
      <c r="B354" s="32" t="s">
        <v>172</v>
      </c>
      <c r="C354" s="32" t="s">
        <v>182</v>
      </c>
      <c r="D354" s="32" t="s">
        <v>183</v>
      </c>
      <c r="F354" s="32">
        <v>3</v>
      </c>
      <c r="H354" s="32" t="s">
        <v>152</v>
      </c>
      <c r="I354" s="32" t="s">
        <v>153</v>
      </c>
      <c r="J354" s="32" t="s">
        <v>154</v>
      </c>
      <c r="N35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13"/>
      <c r="P354" s="11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54" s="32" t="s">
        <v>40</v>
      </c>
      <c r="R354" s="32">
        <v>9</v>
      </c>
    </row>
    <row r="355" spans="2:18" x14ac:dyDescent="0.3">
      <c r="B355" s="32" t="s">
        <v>172</v>
      </c>
      <c r="C355" s="32" t="s">
        <v>182</v>
      </c>
      <c r="D355" s="32" t="s">
        <v>183</v>
      </c>
      <c r="F355" s="32">
        <v>3</v>
      </c>
      <c r="H355" s="32" t="s">
        <v>152</v>
      </c>
      <c r="I355" s="32" t="s">
        <v>153</v>
      </c>
      <c r="J355" s="32" t="s">
        <v>155</v>
      </c>
      <c r="N35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13"/>
      <c r="P355" s="11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55" s="32" t="s">
        <v>40</v>
      </c>
      <c r="R355" s="32">
        <v>9</v>
      </c>
    </row>
    <row r="356" spans="2:18" x14ac:dyDescent="0.3">
      <c r="B356" s="32" t="s">
        <v>172</v>
      </c>
      <c r="C356" s="32" t="s">
        <v>182</v>
      </c>
      <c r="D356" s="32" t="s">
        <v>183</v>
      </c>
      <c r="F356" s="32">
        <v>3</v>
      </c>
      <c r="H356" s="32" t="s">
        <v>152</v>
      </c>
      <c r="I356" s="32" t="s">
        <v>153</v>
      </c>
      <c r="J356" s="32" t="s">
        <v>156</v>
      </c>
      <c r="N35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13"/>
      <c r="P356" s="11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56" s="32" t="s">
        <v>40</v>
      </c>
      <c r="R356" s="32">
        <v>9</v>
      </c>
    </row>
    <row r="357" spans="2:18" x14ac:dyDescent="0.3">
      <c r="B357" s="32" t="s">
        <v>172</v>
      </c>
      <c r="C357" s="32" t="s">
        <v>182</v>
      </c>
      <c r="D357" s="32" t="s">
        <v>183</v>
      </c>
      <c r="F357" s="32">
        <v>3</v>
      </c>
      <c r="H357" s="32" t="s">
        <v>152</v>
      </c>
      <c r="I357" s="32" t="s">
        <v>153</v>
      </c>
      <c r="J357" s="32" t="s">
        <v>157</v>
      </c>
      <c r="N35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13"/>
      <c r="P357" s="11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57" s="32" t="s">
        <v>40</v>
      </c>
      <c r="R357" s="32">
        <v>9</v>
      </c>
    </row>
    <row r="358" spans="2:18" x14ac:dyDescent="0.3">
      <c r="B358" s="32" t="s">
        <v>151</v>
      </c>
      <c r="C358" s="32" t="s">
        <v>190</v>
      </c>
      <c r="D358" s="32" t="s">
        <v>193</v>
      </c>
      <c r="E358" s="32" t="b">
        <v>1</v>
      </c>
      <c r="F358" s="32">
        <v>3</v>
      </c>
      <c r="H358" s="32" t="s">
        <v>152</v>
      </c>
      <c r="I358" s="32" t="s">
        <v>152</v>
      </c>
      <c r="J358" s="32" t="s">
        <v>154</v>
      </c>
      <c r="N35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13"/>
      <c r="P358" s="11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58" s="32" t="s">
        <v>40</v>
      </c>
      <c r="R358" s="32">
        <v>9</v>
      </c>
    </row>
    <row r="359" spans="2:18" x14ac:dyDescent="0.3">
      <c r="B359" s="32" t="s">
        <v>151</v>
      </c>
      <c r="C359" s="32" t="s">
        <v>190</v>
      </c>
      <c r="D359" s="32" t="s">
        <v>193</v>
      </c>
      <c r="E359" s="32" t="b">
        <v>1</v>
      </c>
      <c r="F359" s="32">
        <v>3</v>
      </c>
      <c r="H359" s="32" t="s">
        <v>152</v>
      </c>
      <c r="I359" s="32" t="s">
        <v>152</v>
      </c>
      <c r="J359" s="32" t="s">
        <v>155</v>
      </c>
      <c r="N35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13"/>
      <c r="P359" s="11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59" s="32" t="s">
        <v>40</v>
      </c>
      <c r="R359" s="32">
        <v>9</v>
      </c>
    </row>
    <row r="360" spans="2:18" x14ac:dyDescent="0.3">
      <c r="B360" s="32" t="s">
        <v>151</v>
      </c>
      <c r="C360" s="32" t="s">
        <v>190</v>
      </c>
      <c r="D360" s="32" t="s">
        <v>193</v>
      </c>
      <c r="E360" s="32" t="b">
        <v>1</v>
      </c>
      <c r="F360" s="32">
        <v>3</v>
      </c>
      <c r="H360" s="32" t="s">
        <v>152</v>
      </c>
      <c r="I360" s="32" t="s">
        <v>152</v>
      </c>
      <c r="J360" s="32" t="s">
        <v>156</v>
      </c>
      <c r="N36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13"/>
      <c r="P360" s="11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60" s="32" t="s">
        <v>40</v>
      </c>
      <c r="R360" s="32">
        <v>9</v>
      </c>
    </row>
    <row r="361" spans="2:18" x14ac:dyDescent="0.3">
      <c r="B361" s="32" t="s">
        <v>151</v>
      </c>
      <c r="C361" s="32" t="s">
        <v>190</v>
      </c>
      <c r="D361" s="32" t="s">
        <v>193</v>
      </c>
      <c r="E361" s="32" t="b">
        <v>1</v>
      </c>
      <c r="F361" s="32">
        <v>3</v>
      </c>
      <c r="H361" s="32" t="s">
        <v>152</v>
      </c>
      <c r="I361" s="32" t="s">
        <v>152</v>
      </c>
      <c r="J361" s="32" t="s">
        <v>157</v>
      </c>
      <c r="N36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13"/>
      <c r="P361" s="11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61" s="32" t="s">
        <v>40</v>
      </c>
      <c r="R361" s="32">
        <v>9</v>
      </c>
    </row>
    <row r="362" spans="2:18" x14ac:dyDescent="0.3">
      <c r="B362" s="32" t="s">
        <v>151</v>
      </c>
      <c r="C362" s="32" t="s">
        <v>190</v>
      </c>
      <c r="D362" s="32" t="s">
        <v>193</v>
      </c>
      <c r="E362" s="32" t="b">
        <v>1</v>
      </c>
      <c r="F362" s="32">
        <v>3</v>
      </c>
      <c r="H362" s="32" t="s">
        <v>153</v>
      </c>
      <c r="I362" s="32" t="s">
        <v>153</v>
      </c>
      <c r="J362" s="32" t="s">
        <v>154</v>
      </c>
      <c r="N36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13"/>
      <c r="P362" s="11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62" s="32" t="s">
        <v>40</v>
      </c>
      <c r="R362" s="32">
        <v>9</v>
      </c>
    </row>
    <row r="363" spans="2:18" x14ac:dyDescent="0.3">
      <c r="B363" s="32" t="s">
        <v>151</v>
      </c>
      <c r="C363" s="32" t="s">
        <v>190</v>
      </c>
      <c r="D363" s="32" t="s">
        <v>193</v>
      </c>
      <c r="E363" s="32" t="b">
        <v>1</v>
      </c>
      <c r="F363" s="32">
        <v>3</v>
      </c>
      <c r="H363" s="32" t="s">
        <v>153</v>
      </c>
      <c r="I363" s="32" t="s">
        <v>153</v>
      </c>
      <c r="J363" s="32" t="s">
        <v>155</v>
      </c>
      <c r="N36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13"/>
      <c r="P363" s="11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63" s="32" t="s">
        <v>40</v>
      </c>
      <c r="R363" s="32">
        <v>9</v>
      </c>
    </row>
    <row r="364" spans="2:18" x14ac:dyDescent="0.3">
      <c r="B364" s="32" t="s">
        <v>151</v>
      </c>
      <c r="C364" s="32" t="s">
        <v>190</v>
      </c>
      <c r="D364" s="32" t="s">
        <v>193</v>
      </c>
      <c r="E364" s="32" t="b">
        <v>1</v>
      </c>
      <c r="F364" s="32">
        <v>3</v>
      </c>
      <c r="H364" s="32" t="s">
        <v>153</v>
      </c>
      <c r="I364" s="32" t="s">
        <v>153</v>
      </c>
      <c r="J364" s="32" t="s">
        <v>156</v>
      </c>
      <c r="N36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13"/>
      <c r="P364" s="11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64" s="32" t="s">
        <v>40</v>
      </c>
      <c r="R364" s="32">
        <v>9</v>
      </c>
    </row>
    <row r="365" spans="2:18" x14ac:dyDescent="0.3">
      <c r="B365" s="32" t="s">
        <v>151</v>
      </c>
      <c r="C365" s="32" t="s">
        <v>190</v>
      </c>
      <c r="D365" s="32" t="s">
        <v>193</v>
      </c>
      <c r="E365" s="32" t="b">
        <v>1</v>
      </c>
      <c r="F365" s="32">
        <v>3</v>
      </c>
      <c r="H365" s="32" t="s">
        <v>153</v>
      </c>
      <c r="I365" s="32" t="s">
        <v>153</v>
      </c>
      <c r="J365" s="32" t="s">
        <v>157</v>
      </c>
      <c r="N36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13"/>
      <c r="P365" s="11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65" s="32" t="s">
        <v>40</v>
      </c>
      <c r="R365" s="32">
        <v>9</v>
      </c>
    </row>
    <row r="366" spans="2:18" x14ac:dyDescent="0.3">
      <c r="B366" s="32" t="s">
        <v>151</v>
      </c>
      <c r="C366" s="32" t="s">
        <v>190</v>
      </c>
      <c r="D366" s="32" t="s">
        <v>193</v>
      </c>
      <c r="E366" s="32" t="b">
        <v>1</v>
      </c>
      <c r="F366" s="32">
        <v>3</v>
      </c>
      <c r="H366" s="32" t="s">
        <v>152</v>
      </c>
      <c r="I366" s="32" t="s">
        <v>153</v>
      </c>
      <c r="J366" s="32" t="s">
        <v>154</v>
      </c>
      <c r="N36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6" s="13"/>
      <c r="P366" s="11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66" s="32" t="s">
        <v>40</v>
      </c>
      <c r="R366" s="32">
        <v>9</v>
      </c>
    </row>
    <row r="367" spans="2:18" x14ac:dyDescent="0.3">
      <c r="B367" s="32" t="s">
        <v>151</v>
      </c>
      <c r="C367" s="32" t="s">
        <v>190</v>
      </c>
      <c r="D367" s="32" t="s">
        <v>193</v>
      </c>
      <c r="E367" s="32" t="b">
        <v>1</v>
      </c>
      <c r="F367" s="32">
        <v>3</v>
      </c>
      <c r="H367" s="32" t="s">
        <v>152</v>
      </c>
      <c r="I367" s="32" t="s">
        <v>153</v>
      </c>
      <c r="J367" s="32" t="s">
        <v>155</v>
      </c>
      <c r="N36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7" s="13"/>
      <c r="P367" s="11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67" s="32" t="s">
        <v>40</v>
      </c>
      <c r="R367" s="32">
        <v>9</v>
      </c>
    </row>
    <row r="368" spans="2:18" x14ac:dyDescent="0.3">
      <c r="B368" s="32" t="s">
        <v>151</v>
      </c>
      <c r="C368" s="32" t="s">
        <v>190</v>
      </c>
      <c r="D368" s="32" t="s">
        <v>193</v>
      </c>
      <c r="E368" s="32" t="b">
        <v>1</v>
      </c>
      <c r="F368" s="32">
        <v>3</v>
      </c>
      <c r="H368" s="32" t="s">
        <v>152</v>
      </c>
      <c r="I368" s="32" t="s">
        <v>153</v>
      </c>
      <c r="J368" s="32" t="s">
        <v>156</v>
      </c>
      <c r="N36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8" s="13"/>
      <c r="P368" s="11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68" s="32" t="s">
        <v>40</v>
      </c>
      <c r="R368" s="32">
        <v>9</v>
      </c>
    </row>
    <row r="369" spans="2:18" x14ac:dyDescent="0.3">
      <c r="B369" s="32" t="s">
        <v>151</v>
      </c>
      <c r="C369" s="32" t="s">
        <v>190</v>
      </c>
      <c r="D369" s="32" t="s">
        <v>193</v>
      </c>
      <c r="E369" s="32" t="b">
        <v>1</v>
      </c>
      <c r="F369" s="32">
        <v>3</v>
      </c>
      <c r="H369" s="32" t="s">
        <v>152</v>
      </c>
      <c r="I369" s="32" t="s">
        <v>153</v>
      </c>
      <c r="J369" s="32" t="s">
        <v>157</v>
      </c>
      <c r="N36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9" s="13"/>
      <c r="P369" s="11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69" s="32" t="s">
        <v>40</v>
      </c>
      <c r="R369" s="32">
        <v>9</v>
      </c>
    </row>
    <row r="370" spans="2:18" x14ac:dyDescent="0.3">
      <c r="B370" s="32" t="s">
        <v>172</v>
      </c>
      <c r="C370" s="32" t="s">
        <v>182</v>
      </c>
      <c r="D370" s="32" t="s">
        <v>184</v>
      </c>
      <c r="F370" s="32">
        <v>3</v>
      </c>
      <c r="H370" s="32" t="s">
        <v>152</v>
      </c>
      <c r="I370" s="32" t="s">
        <v>154</v>
      </c>
      <c r="J370" s="32" t="s">
        <v>154</v>
      </c>
      <c r="N37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0" s="13"/>
      <c r="P370" s="11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70" s="32" t="s">
        <v>40</v>
      </c>
      <c r="R370" s="32">
        <v>9</v>
      </c>
    </row>
    <row r="371" spans="2:18" x14ac:dyDescent="0.3">
      <c r="B371" s="32" t="s">
        <v>172</v>
      </c>
      <c r="C371" s="32" t="s">
        <v>182</v>
      </c>
      <c r="D371" s="32" t="s">
        <v>184</v>
      </c>
      <c r="F371" s="32">
        <v>3</v>
      </c>
      <c r="H371" s="32" t="s">
        <v>152</v>
      </c>
      <c r="I371" s="32" t="s">
        <v>155</v>
      </c>
      <c r="J371" s="32" t="s">
        <v>155</v>
      </c>
      <c r="N37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1" s="13"/>
      <c r="P371" s="11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71" s="32" t="s">
        <v>40</v>
      </c>
      <c r="R371" s="32">
        <v>9</v>
      </c>
    </row>
    <row r="372" spans="2:18" x14ac:dyDescent="0.3">
      <c r="B372" s="32" t="s">
        <v>172</v>
      </c>
      <c r="C372" s="32" t="s">
        <v>182</v>
      </c>
      <c r="D372" s="32" t="s">
        <v>184</v>
      </c>
      <c r="F372" s="32">
        <v>3</v>
      </c>
      <c r="H372" s="32" t="s">
        <v>152</v>
      </c>
      <c r="I372" s="32" t="s">
        <v>156</v>
      </c>
      <c r="J372" s="32" t="s">
        <v>156</v>
      </c>
      <c r="N37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2" s="13"/>
      <c r="P372" s="11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72" s="32" t="s">
        <v>40</v>
      </c>
      <c r="R372" s="32">
        <v>9</v>
      </c>
    </row>
    <row r="373" spans="2:18" x14ac:dyDescent="0.3">
      <c r="B373" s="32" t="s">
        <v>172</v>
      </c>
      <c r="C373" s="32" t="s">
        <v>182</v>
      </c>
      <c r="D373" s="32" t="s">
        <v>184</v>
      </c>
      <c r="F373" s="32">
        <v>3</v>
      </c>
      <c r="H373" s="32" t="s">
        <v>152</v>
      </c>
      <c r="I373" s="32" t="s">
        <v>157</v>
      </c>
      <c r="J373" s="32" t="s">
        <v>157</v>
      </c>
      <c r="N37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3" s="13"/>
      <c r="P373" s="11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73" s="32" t="s">
        <v>40</v>
      </c>
      <c r="R373" s="32">
        <v>9</v>
      </c>
    </row>
    <row r="374" spans="2:18" x14ac:dyDescent="0.3">
      <c r="B374" s="32" t="s">
        <v>172</v>
      </c>
      <c r="C374" s="32" t="s">
        <v>182</v>
      </c>
      <c r="D374" s="32" t="s">
        <v>184</v>
      </c>
      <c r="F374" s="32">
        <v>3</v>
      </c>
      <c r="H374" s="32" t="s">
        <v>152</v>
      </c>
      <c r="I374" s="32" t="s">
        <v>154</v>
      </c>
      <c r="J374" s="32" t="s">
        <v>155</v>
      </c>
      <c r="N37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4" s="13"/>
      <c r="P374" s="11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74" s="32" t="s">
        <v>40</v>
      </c>
      <c r="R374" s="32">
        <v>9</v>
      </c>
    </row>
    <row r="375" spans="2:18" x14ac:dyDescent="0.3">
      <c r="B375" s="32" t="s">
        <v>172</v>
      </c>
      <c r="C375" s="32" t="s">
        <v>182</v>
      </c>
      <c r="D375" s="32" t="s">
        <v>184</v>
      </c>
      <c r="F375" s="32">
        <v>3</v>
      </c>
      <c r="H375" s="32" t="s">
        <v>152</v>
      </c>
      <c r="I375" s="32" t="s">
        <v>154</v>
      </c>
      <c r="J375" s="32" t="s">
        <v>156</v>
      </c>
      <c r="N37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5" s="13"/>
      <c r="P375" s="11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75" s="32" t="s">
        <v>40</v>
      </c>
      <c r="R375" s="32">
        <v>9</v>
      </c>
    </row>
    <row r="376" spans="2:18" x14ac:dyDescent="0.3">
      <c r="B376" s="32" t="s">
        <v>172</v>
      </c>
      <c r="C376" s="32" t="s">
        <v>182</v>
      </c>
      <c r="D376" s="32" t="s">
        <v>184</v>
      </c>
      <c r="F376" s="32">
        <v>3</v>
      </c>
      <c r="H376" s="32" t="s">
        <v>152</v>
      </c>
      <c r="I376" s="32" t="s">
        <v>154</v>
      </c>
      <c r="J376" s="32" t="s">
        <v>157</v>
      </c>
      <c r="N37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6" s="13"/>
      <c r="P376" s="11" t="str">
        <f>tbGroup[[#This Row],[Camp]]&amp;"-"&amp;tbGroup[[#This Row],[Difficulty]]&amp;"-"&amp;GET_GROUP_NAME(tbGroup[[#This Row],[IsBoss]],tbGroup[[#This Row],[Hero1]:[Soldier3]])&amp;tbGroup[[#This Row],[Suffix]]</f>
        <v>三国-变态-铁英+强英+刺英</v>
      </c>
      <c r="Q376" s="32" t="s">
        <v>40</v>
      </c>
      <c r="R376" s="32">
        <v>9</v>
      </c>
    </row>
    <row r="377" spans="2:18" x14ac:dyDescent="0.3">
      <c r="B377" s="32" t="s">
        <v>172</v>
      </c>
      <c r="C377" s="32" t="s">
        <v>182</v>
      </c>
      <c r="D377" s="32" t="s">
        <v>184</v>
      </c>
      <c r="F377" s="32">
        <v>3</v>
      </c>
      <c r="H377" s="32" t="s">
        <v>152</v>
      </c>
      <c r="I377" s="32" t="s">
        <v>155</v>
      </c>
      <c r="J377" s="32" t="s">
        <v>156</v>
      </c>
      <c r="N37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7" s="13"/>
      <c r="P377" s="11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77" s="32" t="s">
        <v>40</v>
      </c>
      <c r="R377" s="32">
        <v>9</v>
      </c>
    </row>
    <row r="378" spans="2:18" x14ac:dyDescent="0.3">
      <c r="B378" s="32" t="s">
        <v>172</v>
      </c>
      <c r="C378" s="32" t="s">
        <v>182</v>
      </c>
      <c r="D378" s="32" t="s">
        <v>184</v>
      </c>
      <c r="F378" s="32">
        <v>3</v>
      </c>
      <c r="H378" s="32" t="s">
        <v>152</v>
      </c>
      <c r="I378" s="32" t="s">
        <v>155</v>
      </c>
      <c r="J378" s="32" t="s">
        <v>157</v>
      </c>
      <c r="N37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8" s="13"/>
      <c r="P378" s="11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78" s="32" t="s">
        <v>40</v>
      </c>
      <c r="R378" s="32">
        <v>9</v>
      </c>
    </row>
    <row r="379" spans="2:18" x14ac:dyDescent="0.3">
      <c r="B379" s="32" t="s">
        <v>172</v>
      </c>
      <c r="C379" s="32" t="s">
        <v>182</v>
      </c>
      <c r="D379" s="32" t="s">
        <v>184</v>
      </c>
      <c r="F379" s="32">
        <v>3</v>
      </c>
      <c r="H379" s="32" t="s">
        <v>152</v>
      </c>
      <c r="I379" s="32" t="s">
        <v>156</v>
      </c>
      <c r="J379" s="32" t="s">
        <v>157</v>
      </c>
      <c r="N37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9" s="13"/>
      <c r="P379" s="11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79" s="32" t="s">
        <v>40</v>
      </c>
      <c r="R379" s="32">
        <v>9</v>
      </c>
    </row>
    <row r="380" spans="2:18" x14ac:dyDescent="0.3">
      <c r="B380" s="32" t="s">
        <v>172</v>
      </c>
      <c r="C380" s="32" t="s">
        <v>182</v>
      </c>
      <c r="D380" s="32" t="s">
        <v>184</v>
      </c>
      <c r="F380" s="32">
        <v>3</v>
      </c>
      <c r="H380" s="32" t="s">
        <v>153</v>
      </c>
      <c r="I380" s="32" t="s">
        <v>154</v>
      </c>
      <c r="J380" s="32" t="s">
        <v>154</v>
      </c>
      <c r="N38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0" s="13"/>
      <c r="P380" s="11" t="str">
        <f>tbGroup[[#This Row],[Camp]]&amp;"-"&amp;tbGroup[[#This Row],[Difficulty]]&amp;"-"&amp;GET_GROUP_NAME(tbGroup[[#This Row],[IsBoss]],tbGroup[[#This Row],[Hero1]:[Soldier3]])&amp;tbGroup[[#This Row],[Suffix]]</f>
        <v>三国-变态-盾英+强英+强英</v>
      </c>
      <c r="Q380" s="32" t="s">
        <v>40</v>
      </c>
      <c r="R380" s="32">
        <v>9</v>
      </c>
    </row>
    <row r="381" spans="2:18" x14ac:dyDescent="0.3">
      <c r="B381" s="32" t="s">
        <v>172</v>
      </c>
      <c r="C381" s="32" t="s">
        <v>182</v>
      </c>
      <c r="D381" s="32" t="s">
        <v>184</v>
      </c>
      <c r="F381" s="32">
        <v>3</v>
      </c>
      <c r="H381" s="32" t="s">
        <v>153</v>
      </c>
      <c r="I381" s="32" t="s">
        <v>155</v>
      </c>
      <c r="J381" s="32" t="s">
        <v>155</v>
      </c>
      <c r="N38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1" s="13"/>
      <c r="P381" s="11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81" s="32" t="s">
        <v>40</v>
      </c>
      <c r="R381" s="32">
        <v>9</v>
      </c>
    </row>
    <row r="382" spans="2:18" x14ac:dyDescent="0.3">
      <c r="B382" s="32" t="s">
        <v>172</v>
      </c>
      <c r="C382" s="32" t="s">
        <v>182</v>
      </c>
      <c r="D382" s="32" t="s">
        <v>184</v>
      </c>
      <c r="F382" s="32">
        <v>3</v>
      </c>
      <c r="H382" s="32" t="s">
        <v>153</v>
      </c>
      <c r="I382" s="32" t="s">
        <v>156</v>
      </c>
      <c r="J382" s="32" t="s">
        <v>156</v>
      </c>
      <c r="N38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2" s="13"/>
      <c r="P382" s="11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82" s="32" t="s">
        <v>40</v>
      </c>
      <c r="R382" s="32">
        <v>9</v>
      </c>
    </row>
    <row r="383" spans="2:18" x14ac:dyDescent="0.3">
      <c r="B383" s="32" t="s">
        <v>172</v>
      </c>
      <c r="C383" s="32" t="s">
        <v>182</v>
      </c>
      <c r="D383" s="32" t="s">
        <v>184</v>
      </c>
      <c r="F383" s="32">
        <v>3</v>
      </c>
      <c r="H383" s="32" t="s">
        <v>153</v>
      </c>
      <c r="I383" s="32" t="s">
        <v>157</v>
      </c>
      <c r="J383" s="32" t="s">
        <v>157</v>
      </c>
      <c r="N38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3" s="13"/>
      <c r="P383" s="11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83" s="32" t="s">
        <v>40</v>
      </c>
      <c r="R383" s="32">
        <v>9</v>
      </c>
    </row>
    <row r="384" spans="2:18" x14ac:dyDescent="0.3">
      <c r="B384" s="32" t="s">
        <v>172</v>
      </c>
      <c r="C384" s="32" t="s">
        <v>182</v>
      </c>
      <c r="D384" s="32" t="s">
        <v>184</v>
      </c>
      <c r="F384" s="32">
        <v>3</v>
      </c>
      <c r="H384" s="32" t="s">
        <v>153</v>
      </c>
      <c r="I384" s="32" t="s">
        <v>154</v>
      </c>
      <c r="J384" s="32" t="s">
        <v>155</v>
      </c>
      <c r="N38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4" s="13"/>
      <c r="P384" s="11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84" s="32" t="s">
        <v>40</v>
      </c>
      <c r="R384" s="32">
        <v>9</v>
      </c>
    </row>
    <row r="385" spans="2:18" x14ac:dyDescent="0.3">
      <c r="B385" s="32" t="s">
        <v>172</v>
      </c>
      <c r="C385" s="32" t="s">
        <v>182</v>
      </c>
      <c r="D385" s="32" t="s">
        <v>184</v>
      </c>
      <c r="F385" s="32">
        <v>3</v>
      </c>
      <c r="H385" s="32" t="s">
        <v>153</v>
      </c>
      <c r="I385" s="32" t="s">
        <v>154</v>
      </c>
      <c r="J385" s="32" t="s">
        <v>156</v>
      </c>
      <c r="N38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5" s="13"/>
      <c r="P385" s="11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85" s="32" t="s">
        <v>40</v>
      </c>
      <c r="R385" s="32">
        <v>9</v>
      </c>
    </row>
    <row r="386" spans="2:18" x14ac:dyDescent="0.3">
      <c r="B386" s="32" t="s">
        <v>172</v>
      </c>
      <c r="C386" s="32" t="s">
        <v>182</v>
      </c>
      <c r="D386" s="32" t="s">
        <v>184</v>
      </c>
      <c r="F386" s="32">
        <v>3</v>
      </c>
      <c r="H386" s="32" t="s">
        <v>153</v>
      </c>
      <c r="I386" s="32" t="s">
        <v>154</v>
      </c>
      <c r="J386" s="32" t="s">
        <v>157</v>
      </c>
      <c r="N38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6" s="13"/>
      <c r="P386" s="11" t="str">
        <f>tbGroup[[#This Row],[Camp]]&amp;"-"&amp;tbGroup[[#This Row],[Difficulty]]&amp;"-"&amp;GET_GROUP_NAME(tbGroup[[#This Row],[IsBoss]],tbGroup[[#This Row],[Hero1]:[Soldier3]])&amp;tbGroup[[#This Row],[Suffix]]</f>
        <v>三国-变态-盾英+强英+刺英</v>
      </c>
      <c r="Q386" s="32" t="s">
        <v>40</v>
      </c>
      <c r="R386" s="32">
        <v>9</v>
      </c>
    </row>
    <row r="387" spans="2:18" x14ac:dyDescent="0.3">
      <c r="B387" s="32" t="s">
        <v>172</v>
      </c>
      <c r="C387" s="32" t="s">
        <v>182</v>
      </c>
      <c r="D387" s="32" t="s">
        <v>184</v>
      </c>
      <c r="F387" s="32">
        <v>3</v>
      </c>
      <c r="H387" s="32" t="s">
        <v>153</v>
      </c>
      <c r="I387" s="32" t="s">
        <v>155</v>
      </c>
      <c r="J387" s="32" t="s">
        <v>156</v>
      </c>
      <c r="N38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7" s="13"/>
      <c r="P387" s="11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87" s="32" t="s">
        <v>40</v>
      </c>
      <c r="R387" s="32">
        <v>9</v>
      </c>
    </row>
    <row r="388" spans="2:18" x14ac:dyDescent="0.3">
      <c r="B388" s="32" t="s">
        <v>172</v>
      </c>
      <c r="C388" s="32" t="s">
        <v>182</v>
      </c>
      <c r="D388" s="32" t="s">
        <v>184</v>
      </c>
      <c r="F388" s="32">
        <v>3</v>
      </c>
      <c r="H388" s="32" t="s">
        <v>153</v>
      </c>
      <c r="I388" s="32" t="s">
        <v>155</v>
      </c>
      <c r="J388" s="32" t="s">
        <v>157</v>
      </c>
      <c r="N38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8" s="13"/>
      <c r="P388" s="11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88" s="32" t="s">
        <v>40</v>
      </c>
      <c r="R388" s="32">
        <v>9</v>
      </c>
    </row>
    <row r="389" spans="2:18" x14ac:dyDescent="0.3">
      <c r="B389" s="32" t="s">
        <v>172</v>
      </c>
      <c r="C389" s="32" t="s">
        <v>182</v>
      </c>
      <c r="D389" s="32" t="s">
        <v>184</v>
      </c>
      <c r="F389" s="32">
        <v>3</v>
      </c>
      <c r="H389" s="32" t="s">
        <v>153</v>
      </c>
      <c r="I389" s="32" t="s">
        <v>156</v>
      </c>
      <c r="J389" s="32" t="s">
        <v>157</v>
      </c>
      <c r="N38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9" s="13"/>
      <c r="P389" s="11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89" s="32" t="s">
        <v>40</v>
      </c>
      <c r="R389" s="32">
        <v>9</v>
      </c>
    </row>
    <row r="390" spans="2:18" x14ac:dyDescent="0.3">
      <c r="B390" s="32" t="s">
        <v>151</v>
      </c>
      <c r="C390" s="32" t="s">
        <v>190</v>
      </c>
      <c r="D390" s="32" t="s">
        <v>194</v>
      </c>
      <c r="E390" s="32" t="b">
        <v>1</v>
      </c>
      <c r="F390" s="32">
        <v>3</v>
      </c>
      <c r="H390" s="32" t="s">
        <v>152</v>
      </c>
      <c r="I390" s="32" t="s">
        <v>154</v>
      </c>
      <c r="J390" s="32" t="s">
        <v>154</v>
      </c>
      <c r="N39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0" s="13"/>
      <c r="P390" s="11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90" s="32" t="s">
        <v>40</v>
      </c>
      <c r="R390" s="32">
        <v>9</v>
      </c>
    </row>
    <row r="391" spans="2:18" x14ac:dyDescent="0.3">
      <c r="B391" s="32" t="s">
        <v>151</v>
      </c>
      <c r="C391" s="32" t="s">
        <v>190</v>
      </c>
      <c r="D391" s="32" t="s">
        <v>194</v>
      </c>
      <c r="E391" s="32" t="b">
        <v>1</v>
      </c>
      <c r="F391" s="32">
        <v>3</v>
      </c>
      <c r="H391" s="32" t="s">
        <v>152</v>
      </c>
      <c r="I391" s="32" t="s">
        <v>155</v>
      </c>
      <c r="J391" s="32" t="s">
        <v>155</v>
      </c>
      <c r="N39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1" s="13"/>
      <c r="P391" s="11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91" s="32" t="s">
        <v>40</v>
      </c>
      <c r="R391" s="32">
        <v>9</v>
      </c>
    </row>
    <row r="392" spans="2:18" x14ac:dyDescent="0.3">
      <c r="B392" s="32" t="s">
        <v>151</v>
      </c>
      <c r="C392" s="32" t="s">
        <v>190</v>
      </c>
      <c r="D392" s="32" t="s">
        <v>194</v>
      </c>
      <c r="E392" s="32" t="b">
        <v>1</v>
      </c>
      <c r="F392" s="32">
        <v>3</v>
      </c>
      <c r="H392" s="32" t="s">
        <v>152</v>
      </c>
      <c r="I392" s="32" t="s">
        <v>156</v>
      </c>
      <c r="J392" s="32" t="s">
        <v>156</v>
      </c>
      <c r="N39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2" s="13"/>
      <c r="P392" s="11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92" s="32" t="s">
        <v>40</v>
      </c>
      <c r="R392" s="32">
        <v>9</v>
      </c>
    </row>
    <row r="393" spans="2:18" x14ac:dyDescent="0.3">
      <c r="B393" s="32" t="s">
        <v>151</v>
      </c>
      <c r="C393" s="32" t="s">
        <v>190</v>
      </c>
      <c r="D393" s="32" t="s">
        <v>194</v>
      </c>
      <c r="E393" s="32" t="b">
        <v>1</v>
      </c>
      <c r="F393" s="32">
        <v>3</v>
      </c>
      <c r="H393" s="32" t="s">
        <v>152</v>
      </c>
      <c r="I393" s="32" t="s">
        <v>157</v>
      </c>
      <c r="J393" s="32" t="s">
        <v>157</v>
      </c>
      <c r="N39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3" s="13"/>
      <c r="P393" s="11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93" s="32" t="s">
        <v>40</v>
      </c>
      <c r="R393" s="32">
        <v>9</v>
      </c>
    </row>
    <row r="394" spans="2:18" x14ac:dyDescent="0.3">
      <c r="B394" s="32" t="s">
        <v>151</v>
      </c>
      <c r="C394" s="32" t="s">
        <v>190</v>
      </c>
      <c r="D394" s="32" t="s">
        <v>194</v>
      </c>
      <c r="E394" s="32" t="b">
        <v>1</v>
      </c>
      <c r="F394" s="32">
        <v>3</v>
      </c>
      <c r="H394" s="32" t="s">
        <v>152</v>
      </c>
      <c r="I394" s="32" t="s">
        <v>154</v>
      </c>
      <c r="J394" s="32" t="s">
        <v>155</v>
      </c>
      <c r="N39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4" s="13"/>
      <c r="P394" s="11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94" s="32" t="s">
        <v>40</v>
      </c>
      <c r="R394" s="32">
        <v>9</v>
      </c>
    </row>
    <row r="395" spans="2:18" x14ac:dyDescent="0.3">
      <c r="B395" s="32" t="s">
        <v>151</v>
      </c>
      <c r="C395" s="32" t="s">
        <v>190</v>
      </c>
      <c r="D395" s="32" t="s">
        <v>194</v>
      </c>
      <c r="E395" s="32" t="b">
        <v>1</v>
      </c>
      <c r="F395" s="32">
        <v>3</v>
      </c>
      <c r="H395" s="32" t="s">
        <v>152</v>
      </c>
      <c r="I395" s="32" t="s">
        <v>154</v>
      </c>
      <c r="J395" s="32" t="s">
        <v>156</v>
      </c>
      <c r="N39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5" s="13"/>
      <c r="P395" s="11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95" s="32" t="s">
        <v>40</v>
      </c>
      <c r="R395" s="32">
        <v>9</v>
      </c>
    </row>
    <row r="396" spans="2:18" x14ac:dyDescent="0.3">
      <c r="B396" s="32" t="s">
        <v>151</v>
      </c>
      <c r="C396" s="32" t="s">
        <v>190</v>
      </c>
      <c r="D396" s="32" t="s">
        <v>194</v>
      </c>
      <c r="E396" s="32" t="b">
        <v>1</v>
      </c>
      <c r="F396" s="32">
        <v>3</v>
      </c>
      <c r="H396" s="32" t="s">
        <v>152</v>
      </c>
      <c r="I396" s="32" t="s">
        <v>154</v>
      </c>
      <c r="J396" s="32" t="s">
        <v>157</v>
      </c>
      <c r="N39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6" s="13"/>
      <c r="P396" s="11" t="str">
        <f>tbGroup[[#This Row],[Camp]]&amp;"-"&amp;tbGroup[[#This Row],[Difficulty]]&amp;"-"&amp;GET_GROUP_NAME(tbGroup[[#This Row],[IsBoss]],tbGroup[[#This Row],[Hero1]:[Soldier3]])&amp;tbGroup[[#This Row],[Suffix]]</f>
        <v>三国-变态-[B]铁英+强英+刺英</v>
      </c>
      <c r="Q396" s="32" t="s">
        <v>40</v>
      </c>
      <c r="R396" s="32">
        <v>9</v>
      </c>
    </row>
    <row r="397" spans="2:18" x14ac:dyDescent="0.3">
      <c r="B397" s="32" t="s">
        <v>151</v>
      </c>
      <c r="C397" s="32" t="s">
        <v>190</v>
      </c>
      <c r="D397" s="32" t="s">
        <v>194</v>
      </c>
      <c r="E397" s="32" t="b">
        <v>1</v>
      </c>
      <c r="F397" s="32">
        <v>3</v>
      </c>
      <c r="H397" s="32" t="s">
        <v>152</v>
      </c>
      <c r="I397" s="32" t="s">
        <v>155</v>
      </c>
      <c r="J397" s="32" t="s">
        <v>156</v>
      </c>
      <c r="N39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7" s="13"/>
      <c r="P397" s="11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97" s="32" t="s">
        <v>40</v>
      </c>
      <c r="R397" s="32">
        <v>9</v>
      </c>
    </row>
    <row r="398" spans="2:18" x14ac:dyDescent="0.3">
      <c r="B398" s="32" t="s">
        <v>151</v>
      </c>
      <c r="C398" s="32" t="s">
        <v>190</v>
      </c>
      <c r="D398" s="32" t="s">
        <v>194</v>
      </c>
      <c r="E398" s="32" t="b">
        <v>1</v>
      </c>
      <c r="F398" s="32">
        <v>3</v>
      </c>
      <c r="H398" s="32" t="s">
        <v>152</v>
      </c>
      <c r="I398" s="32" t="s">
        <v>155</v>
      </c>
      <c r="J398" s="32" t="s">
        <v>157</v>
      </c>
      <c r="N39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8" s="13"/>
      <c r="P398" s="11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98" s="32" t="s">
        <v>40</v>
      </c>
      <c r="R398" s="32">
        <v>9</v>
      </c>
    </row>
    <row r="399" spans="2:18" x14ac:dyDescent="0.3">
      <c r="B399" s="32" t="s">
        <v>151</v>
      </c>
      <c r="C399" s="32" t="s">
        <v>190</v>
      </c>
      <c r="D399" s="32" t="s">
        <v>194</v>
      </c>
      <c r="E399" s="32" t="b">
        <v>1</v>
      </c>
      <c r="F399" s="32">
        <v>3</v>
      </c>
      <c r="H399" s="32" t="s">
        <v>152</v>
      </c>
      <c r="I399" s="32" t="s">
        <v>156</v>
      </c>
      <c r="J399" s="32" t="s">
        <v>157</v>
      </c>
      <c r="N39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9" s="13"/>
      <c r="P399" s="11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99" s="32" t="s">
        <v>40</v>
      </c>
      <c r="R399" s="32">
        <v>9</v>
      </c>
    </row>
    <row r="400" spans="2:18" x14ac:dyDescent="0.3">
      <c r="B400" s="32" t="s">
        <v>151</v>
      </c>
      <c r="C400" s="32" t="s">
        <v>190</v>
      </c>
      <c r="D400" s="32" t="s">
        <v>194</v>
      </c>
      <c r="E400" s="32" t="b">
        <v>1</v>
      </c>
      <c r="F400" s="32">
        <v>3</v>
      </c>
      <c r="H400" s="32" t="s">
        <v>153</v>
      </c>
      <c r="I400" s="32" t="s">
        <v>154</v>
      </c>
      <c r="J400" s="32" t="s">
        <v>154</v>
      </c>
      <c r="N40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0" s="13"/>
      <c r="P400" s="11" t="str">
        <f>tbGroup[[#This Row],[Camp]]&amp;"-"&amp;tbGroup[[#This Row],[Difficulty]]&amp;"-"&amp;GET_GROUP_NAME(tbGroup[[#This Row],[IsBoss]],tbGroup[[#This Row],[Hero1]:[Soldier3]])&amp;tbGroup[[#This Row],[Suffix]]</f>
        <v>三国-变态-[B]盾英+强英+强英</v>
      </c>
      <c r="Q400" s="32" t="s">
        <v>40</v>
      </c>
      <c r="R400" s="32">
        <v>9</v>
      </c>
    </row>
    <row r="401" spans="2:18" x14ac:dyDescent="0.3">
      <c r="B401" s="32" t="s">
        <v>151</v>
      </c>
      <c r="C401" s="32" t="s">
        <v>190</v>
      </c>
      <c r="D401" s="32" t="s">
        <v>194</v>
      </c>
      <c r="E401" s="32" t="b">
        <v>1</v>
      </c>
      <c r="F401" s="32">
        <v>3</v>
      </c>
      <c r="H401" s="32" t="s">
        <v>153</v>
      </c>
      <c r="I401" s="32" t="s">
        <v>155</v>
      </c>
      <c r="J401" s="32" t="s">
        <v>155</v>
      </c>
      <c r="N40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1" s="13"/>
      <c r="P401" s="11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401" s="32" t="s">
        <v>40</v>
      </c>
      <c r="R401" s="32">
        <v>9</v>
      </c>
    </row>
    <row r="402" spans="2:18" x14ac:dyDescent="0.3">
      <c r="B402" s="32" t="s">
        <v>151</v>
      </c>
      <c r="C402" s="32" t="s">
        <v>190</v>
      </c>
      <c r="D402" s="32" t="s">
        <v>194</v>
      </c>
      <c r="E402" s="32" t="b">
        <v>1</v>
      </c>
      <c r="F402" s="32">
        <v>3</v>
      </c>
      <c r="H402" s="32" t="s">
        <v>153</v>
      </c>
      <c r="I402" s="32" t="s">
        <v>156</v>
      </c>
      <c r="J402" s="32" t="s">
        <v>156</v>
      </c>
      <c r="N40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2" s="13"/>
      <c r="P402" s="11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402" s="32" t="s">
        <v>40</v>
      </c>
      <c r="R402" s="32">
        <v>9</v>
      </c>
    </row>
    <row r="403" spans="2:18" x14ac:dyDescent="0.3">
      <c r="B403" s="32" t="s">
        <v>151</v>
      </c>
      <c r="C403" s="32" t="s">
        <v>190</v>
      </c>
      <c r="D403" s="32" t="s">
        <v>194</v>
      </c>
      <c r="E403" s="32" t="b">
        <v>1</v>
      </c>
      <c r="F403" s="32">
        <v>3</v>
      </c>
      <c r="H403" s="32" t="s">
        <v>153</v>
      </c>
      <c r="I403" s="32" t="s">
        <v>157</v>
      </c>
      <c r="J403" s="32" t="s">
        <v>157</v>
      </c>
      <c r="N40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3" s="13"/>
      <c r="P403" s="11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403" s="32" t="s">
        <v>40</v>
      </c>
      <c r="R403" s="32">
        <v>9</v>
      </c>
    </row>
    <row r="404" spans="2:18" x14ac:dyDescent="0.3">
      <c r="B404" s="32" t="s">
        <v>151</v>
      </c>
      <c r="C404" s="32" t="s">
        <v>190</v>
      </c>
      <c r="D404" s="32" t="s">
        <v>194</v>
      </c>
      <c r="E404" s="32" t="b">
        <v>1</v>
      </c>
      <c r="F404" s="32">
        <v>3</v>
      </c>
      <c r="H404" s="32" t="s">
        <v>153</v>
      </c>
      <c r="I404" s="32" t="s">
        <v>154</v>
      </c>
      <c r="J404" s="32" t="s">
        <v>155</v>
      </c>
      <c r="N40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4" s="13"/>
      <c r="P404" s="11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404" s="32" t="s">
        <v>40</v>
      </c>
      <c r="R404" s="32">
        <v>9</v>
      </c>
    </row>
    <row r="405" spans="2:18" x14ac:dyDescent="0.3">
      <c r="B405" s="32" t="s">
        <v>151</v>
      </c>
      <c r="C405" s="32" t="s">
        <v>190</v>
      </c>
      <c r="D405" s="32" t="s">
        <v>194</v>
      </c>
      <c r="E405" s="32" t="b">
        <v>1</v>
      </c>
      <c r="F405" s="32">
        <v>3</v>
      </c>
      <c r="H405" s="32" t="s">
        <v>153</v>
      </c>
      <c r="I405" s="32" t="s">
        <v>154</v>
      </c>
      <c r="J405" s="32" t="s">
        <v>156</v>
      </c>
      <c r="N40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5" s="13"/>
      <c r="P405" s="11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405" s="32" t="s">
        <v>40</v>
      </c>
      <c r="R405" s="32">
        <v>9</v>
      </c>
    </row>
    <row r="406" spans="2:18" x14ac:dyDescent="0.3">
      <c r="B406" s="32" t="s">
        <v>151</v>
      </c>
      <c r="C406" s="32" t="s">
        <v>190</v>
      </c>
      <c r="D406" s="32" t="s">
        <v>194</v>
      </c>
      <c r="E406" s="32" t="b">
        <v>1</v>
      </c>
      <c r="F406" s="32">
        <v>3</v>
      </c>
      <c r="H406" s="32" t="s">
        <v>153</v>
      </c>
      <c r="I406" s="32" t="s">
        <v>154</v>
      </c>
      <c r="J406" s="32" t="s">
        <v>157</v>
      </c>
      <c r="N40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6" s="13"/>
      <c r="P406" s="11" t="str">
        <f>tbGroup[[#This Row],[Camp]]&amp;"-"&amp;tbGroup[[#This Row],[Difficulty]]&amp;"-"&amp;GET_GROUP_NAME(tbGroup[[#This Row],[IsBoss]],tbGroup[[#This Row],[Hero1]:[Soldier3]])&amp;tbGroup[[#This Row],[Suffix]]</f>
        <v>三国-变态-[B]盾英+强英+刺英</v>
      </c>
      <c r="Q406" s="32" t="s">
        <v>40</v>
      </c>
      <c r="R406" s="32">
        <v>9</v>
      </c>
    </row>
    <row r="407" spans="2:18" x14ac:dyDescent="0.3">
      <c r="B407" s="32" t="s">
        <v>151</v>
      </c>
      <c r="C407" s="32" t="s">
        <v>190</v>
      </c>
      <c r="D407" s="32" t="s">
        <v>194</v>
      </c>
      <c r="E407" s="32" t="b">
        <v>1</v>
      </c>
      <c r="F407" s="32">
        <v>3</v>
      </c>
      <c r="H407" s="32" t="s">
        <v>153</v>
      </c>
      <c r="I407" s="32" t="s">
        <v>155</v>
      </c>
      <c r="J407" s="32" t="s">
        <v>156</v>
      </c>
      <c r="N40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7" s="13"/>
      <c r="P407" s="11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407" s="32" t="s">
        <v>40</v>
      </c>
      <c r="R407" s="32">
        <v>9</v>
      </c>
    </row>
    <row r="408" spans="2:18" x14ac:dyDescent="0.3">
      <c r="B408" s="32" t="s">
        <v>151</v>
      </c>
      <c r="C408" s="32" t="s">
        <v>190</v>
      </c>
      <c r="D408" s="32" t="s">
        <v>194</v>
      </c>
      <c r="E408" s="32" t="b">
        <v>1</v>
      </c>
      <c r="F408" s="32">
        <v>3</v>
      </c>
      <c r="H408" s="32" t="s">
        <v>153</v>
      </c>
      <c r="I408" s="32" t="s">
        <v>155</v>
      </c>
      <c r="J408" s="32" t="s">
        <v>157</v>
      </c>
      <c r="N40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8" s="13"/>
      <c r="P408" s="11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408" s="32" t="s">
        <v>40</v>
      </c>
      <c r="R408" s="32">
        <v>9</v>
      </c>
    </row>
    <row r="409" spans="2:18" x14ac:dyDescent="0.3">
      <c r="B409" s="32" t="s">
        <v>151</v>
      </c>
      <c r="C409" s="32" t="s">
        <v>190</v>
      </c>
      <c r="D409" s="32" t="s">
        <v>194</v>
      </c>
      <c r="E409" s="32" t="b">
        <v>1</v>
      </c>
      <c r="F409" s="32">
        <v>3</v>
      </c>
      <c r="H409" s="32" t="s">
        <v>153</v>
      </c>
      <c r="I409" s="32" t="s">
        <v>156</v>
      </c>
      <c r="J409" s="32" t="s">
        <v>157</v>
      </c>
      <c r="N40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9" s="13"/>
      <c r="P409" s="11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409" s="32" t="s">
        <v>40</v>
      </c>
      <c r="R409" s="32">
        <v>9</v>
      </c>
    </row>
  </sheetData>
  <dataConsolidate/>
  <phoneticPr fontId="22" type="noConversion"/>
  <conditionalFormatting sqref="N5:N409">
    <cfRule type="cellIs" dxfId="110" priority="2" operator="equal">
      <formula>FALSE</formula>
    </cfRule>
  </conditionalFormatting>
  <conditionalFormatting sqref="Q5:R409">
    <cfRule type="expression" dxfId="109" priority="1">
      <formula>ISBLANK(Q5)</formula>
    </cfRule>
  </conditionalFormatting>
  <conditionalFormatting sqref="P5:P409">
    <cfRule type="duplicateValues" dxfId="108" priority="3"/>
  </conditionalFormatting>
  <dataValidations count="8">
    <dataValidation type="list" allowBlank="1" showInputMessage="1" showErrorMessage="1" sqref="B5:B409">
      <formula1>"三国,黄巾"</formula1>
    </dataValidation>
    <dataValidation type="list" allowBlank="1" showInputMessage="1" showErrorMessage="1" sqref="C5:C409">
      <formula1>"简单,普通,困难,超难,变态"</formula1>
    </dataValidation>
    <dataValidation type="list" allowBlank="1" showInputMessage="1" showErrorMessage="1" sqref="F5:G409">
      <formula1>"0,1,2,3"</formula1>
    </dataValidation>
    <dataValidation type="list" allowBlank="1" showInputMessage="1" showErrorMessage="1" sqref="H5:J409">
      <formula1>HeroShortNames</formula1>
    </dataValidation>
    <dataValidation type="list" allowBlank="1" showInputMessage="1" showErrorMessage="1" sqref="K5:M409">
      <formula1>SoldierShortNames</formula1>
    </dataValidation>
    <dataValidation type="list" allowBlank="1" showInputMessage="1" showErrorMessage="1" sqref="S5:S409 E5:E409">
      <formula1>"TRUE,FALSE"</formula1>
    </dataValidation>
    <dataValidation type="list" allowBlank="1" showInputMessage="1" showErrorMessage="1" sqref="Q5:Q409">
      <formula1>Formations</formula1>
    </dataValidation>
    <dataValidation type="whole" allowBlank="1" showInputMessage="1" showErrorMessage="1" sqref="R5:R409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190500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123825</xdr:rowOff>
                  </from>
                  <to>
                    <xdr:col>11</xdr:col>
                    <xdr:colOff>9525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407"/>
  <sheetViews>
    <sheetView zoomScale="90" zoomScaleNormal="90" workbookViewId="0">
      <pane xSplit="1" ySplit="2" topLeftCell="B3" activePane="bottomRight" state="frozen"/>
      <selection activeCell="N5" sqref="N5"/>
      <selection pane="topRight" activeCell="N5" sqref="N5"/>
      <selection pane="bottomLeft" activeCell="N5" sqref="N5"/>
      <selection pane="bottomRight" activeCell="C41" sqref="C41"/>
    </sheetView>
  </sheetViews>
  <sheetFormatPr defaultColWidth="9" defaultRowHeight="16.5" x14ac:dyDescent="0.3"/>
  <cols>
    <col min="1" max="1" width="34.25" style="32" bestFit="1" customWidth="1"/>
    <col min="2" max="2" width="11.375" style="32" customWidth="1"/>
    <col min="3" max="3" width="11.25" style="32" bestFit="1" customWidth="1"/>
    <col min="4" max="27" width="11.125" style="32" customWidth="1"/>
    <col min="28" max="16384" width="9" style="32"/>
  </cols>
  <sheetData>
    <row r="1" spans="1:27" x14ac:dyDescent="0.3">
      <c r="A1" s="32" t="s">
        <v>0</v>
      </c>
      <c r="B1" s="32" t="s">
        <v>125</v>
      </c>
      <c r="C1" s="32" t="s">
        <v>1</v>
      </c>
      <c r="D1" s="32" t="s">
        <v>2</v>
      </c>
      <c r="E1" s="32" t="s">
        <v>3</v>
      </c>
      <c r="F1" s="32" t="s">
        <v>4</v>
      </c>
      <c r="G1" s="32" t="s">
        <v>5</v>
      </c>
      <c r="H1" s="32" t="s">
        <v>6</v>
      </c>
      <c r="I1" s="32" t="s">
        <v>7</v>
      </c>
      <c r="J1" s="32" t="s">
        <v>8</v>
      </c>
      <c r="K1" s="32" t="s">
        <v>9</v>
      </c>
      <c r="L1" s="32" t="s">
        <v>10</v>
      </c>
      <c r="M1" s="32" t="s">
        <v>686</v>
      </c>
      <c r="N1" s="32" t="s">
        <v>11</v>
      </c>
      <c r="O1" s="32" t="s">
        <v>12</v>
      </c>
      <c r="P1" s="32" t="s">
        <v>13</v>
      </c>
      <c r="Q1" s="32" t="s">
        <v>14</v>
      </c>
      <c r="R1" s="32" t="s">
        <v>15</v>
      </c>
      <c r="S1" s="32" t="s">
        <v>16</v>
      </c>
      <c r="T1" s="32" t="s">
        <v>17</v>
      </c>
      <c r="U1" s="32" t="s">
        <v>18</v>
      </c>
      <c r="V1" s="32" t="s">
        <v>19</v>
      </c>
      <c r="W1" s="32" t="s">
        <v>688</v>
      </c>
      <c r="X1" s="32" t="s">
        <v>20</v>
      </c>
      <c r="Y1" s="32" t="s">
        <v>21</v>
      </c>
      <c r="Z1" s="32" t="s">
        <v>22</v>
      </c>
      <c r="AA1" s="32" t="s">
        <v>23</v>
      </c>
    </row>
    <row r="2" spans="1:27" x14ac:dyDescent="0.3">
      <c r="A2" s="32" t="s">
        <v>126</v>
      </c>
      <c r="B2" s="32" t="s">
        <v>127</v>
      </c>
      <c r="C2" s="32" t="s">
        <v>128</v>
      </c>
      <c r="D2" s="32" t="s">
        <v>129</v>
      </c>
      <c r="E2" s="32" t="s">
        <v>130</v>
      </c>
      <c r="F2" s="32" t="s">
        <v>131</v>
      </c>
      <c r="G2" s="32" t="s">
        <v>132</v>
      </c>
      <c r="H2" s="32" t="s">
        <v>133</v>
      </c>
      <c r="I2" s="32" t="s">
        <v>134</v>
      </c>
      <c r="J2" s="32" t="s">
        <v>135</v>
      </c>
      <c r="K2" s="32" t="s">
        <v>136</v>
      </c>
      <c r="L2" s="32" t="s">
        <v>137</v>
      </c>
      <c r="M2" s="32" t="s">
        <v>687</v>
      </c>
      <c r="N2" s="32" t="s">
        <v>138</v>
      </c>
      <c r="O2" s="32" t="s">
        <v>139</v>
      </c>
      <c r="P2" s="32" t="s">
        <v>140</v>
      </c>
      <c r="Q2" s="32" t="s">
        <v>141</v>
      </c>
      <c r="R2" s="32" t="s">
        <v>142</v>
      </c>
      <c r="S2" s="32" t="s">
        <v>143</v>
      </c>
      <c r="T2" s="32" t="s">
        <v>144</v>
      </c>
      <c r="U2" s="32" t="s">
        <v>145</v>
      </c>
      <c r="V2" s="32" t="s">
        <v>146</v>
      </c>
      <c r="W2" s="32" t="s">
        <v>689</v>
      </c>
      <c r="X2" s="32" t="s">
        <v>147</v>
      </c>
      <c r="Y2" s="32" t="s">
        <v>148</v>
      </c>
      <c r="Z2" s="32" t="s">
        <v>149</v>
      </c>
      <c r="AA2" s="32" t="s">
        <v>150</v>
      </c>
    </row>
    <row r="3" spans="1:27" x14ac:dyDescent="0.3">
      <c r="A3" s="32" t="s">
        <v>39</v>
      </c>
      <c r="B3" s="32">
        <v>7</v>
      </c>
      <c r="C3" s="32" t="s">
        <v>623</v>
      </c>
      <c r="D3" s="32" t="s">
        <v>31</v>
      </c>
      <c r="E3" s="32" t="s">
        <v>31</v>
      </c>
      <c r="F3" s="32" t="s">
        <v>31</v>
      </c>
      <c r="G3" s="32" t="s">
        <v>31</v>
      </c>
    </row>
    <row r="4" spans="1:27" x14ac:dyDescent="0.3">
      <c r="A4" s="32" t="s">
        <v>43</v>
      </c>
      <c r="B4" s="32">
        <v>7</v>
      </c>
      <c r="C4" s="32" t="s">
        <v>702</v>
      </c>
      <c r="D4" s="32" t="s">
        <v>32</v>
      </c>
      <c r="E4" s="32" t="s">
        <v>32</v>
      </c>
      <c r="F4" s="32" t="s">
        <v>32</v>
      </c>
      <c r="G4" s="32" t="s">
        <v>32</v>
      </c>
      <c r="H4" s="32" t="s">
        <v>32</v>
      </c>
      <c r="I4" s="32" t="s">
        <v>32</v>
      </c>
    </row>
    <row r="5" spans="1:27" x14ac:dyDescent="0.3">
      <c r="A5" s="32" t="s">
        <v>44</v>
      </c>
      <c r="B5" s="32">
        <v>7</v>
      </c>
      <c r="C5" s="32" t="s">
        <v>623</v>
      </c>
      <c r="D5" s="32" t="s">
        <v>30</v>
      </c>
      <c r="E5" s="32" t="s">
        <v>30</v>
      </c>
      <c r="F5" s="32" t="s">
        <v>30</v>
      </c>
      <c r="G5" s="32" t="s">
        <v>30</v>
      </c>
      <c r="H5" s="32" t="s">
        <v>30</v>
      </c>
      <c r="I5" s="32" t="s">
        <v>30</v>
      </c>
      <c r="J5" s="32" t="s">
        <v>30</v>
      </c>
      <c r="K5" s="32" t="s">
        <v>30</v>
      </c>
      <c r="L5" s="32" t="s">
        <v>30</v>
      </c>
      <c r="M5" s="32" t="s">
        <v>30</v>
      </c>
      <c r="N5" s="32" t="s">
        <v>30</v>
      </c>
      <c r="O5" s="32" t="s">
        <v>30</v>
      </c>
    </row>
    <row r="6" spans="1:27" x14ac:dyDescent="0.3">
      <c r="A6" s="32" t="s">
        <v>45</v>
      </c>
      <c r="B6" s="32">
        <v>7</v>
      </c>
      <c r="C6" s="32" t="s">
        <v>623</v>
      </c>
      <c r="D6" s="32" t="s">
        <v>303</v>
      </c>
      <c r="E6" s="32" t="s">
        <v>303</v>
      </c>
      <c r="F6" s="32" t="s">
        <v>303</v>
      </c>
      <c r="G6" s="32" t="s">
        <v>303</v>
      </c>
      <c r="H6" s="32" t="s">
        <v>303</v>
      </c>
      <c r="I6" s="32" t="s">
        <v>303</v>
      </c>
    </row>
    <row r="7" spans="1:27" x14ac:dyDescent="0.3">
      <c r="A7" s="32" t="s">
        <v>581</v>
      </c>
      <c r="B7" s="32">
        <v>7</v>
      </c>
      <c r="C7" s="32" t="s">
        <v>40</v>
      </c>
      <c r="D7" s="32" t="s">
        <v>375</v>
      </c>
      <c r="E7" s="32" t="s">
        <v>32</v>
      </c>
      <c r="F7" s="32" t="s">
        <v>32</v>
      </c>
      <c r="G7" s="32" t="s">
        <v>32</v>
      </c>
      <c r="H7" s="32" t="s">
        <v>32</v>
      </c>
      <c r="I7" s="32" t="s">
        <v>32</v>
      </c>
    </row>
    <row r="8" spans="1:27" x14ac:dyDescent="0.3">
      <c r="A8" s="32" t="s">
        <v>46</v>
      </c>
      <c r="B8" s="32">
        <v>7</v>
      </c>
      <c r="C8" s="32" t="s">
        <v>40</v>
      </c>
      <c r="D8" s="32" t="s">
        <v>31</v>
      </c>
      <c r="E8" s="32" t="s">
        <v>31</v>
      </c>
      <c r="F8" s="32" t="s">
        <v>31</v>
      </c>
      <c r="G8" s="32" t="s">
        <v>32</v>
      </c>
      <c r="H8" s="32" t="s">
        <v>32</v>
      </c>
      <c r="I8" s="32" t="s">
        <v>32</v>
      </c>
      <c r="J8" s="32" t="s">
        <v>32</v>
      </c>
    </row>
    <row r="9" spans="1:27" x14ac:dyDescent="0.3">
      <c r="A9" s="32" t="s">
        <v>47</v>
      </c>
      <c r="B9" s="32">
        <v>7</v>
      </c>
      <c r="C9" s="32" t="s">
        <v>40</v>
      </c>
      <c r="D9" s="32" t="s">
        <v>31</v>
      </c>
      <c r="E9" s="32" t="s">
        <v>31</v>
      </c>
      <c r="F9" s="32" t="s">
        <v>303</v>
      </c>
      <c r="G9" s="32" t="s">
        <v>303</v>
      </c>
      <c r="H9" s="32" t="s">
        <v>303</v>
      </c>
      <c r="I9" s="32" t="s">
        <v>303</v>
      </c>
    </row>
    <row r="10" spans="1:27" x14ac:dyDescent="0.3">
      <c r="A10" s="32" t="s">
        <v>48</v>
      </c>
      <c r="B10" s="32">
        <v>7</v>
      </c>
      <c r="C10" s="32" t="s">
        <v>40</v>
      </c>
      <c r="D10" s="32" t="s">
        <v>382</v>
      </c>
      <c r="E10" s="32" t="s">
        <v>31</v>
      </c>
      <c r="F10" s="32" t="s">
        <v>31</v>
      </c>
      <c r="G10" s="32" t="s">
        <v>31</v>
      </c>
      <c r="H10" s="32" t="s">
        <v>31</v>
      </c>
      <c r="I10" s="32" t="s">
        <v>31</v>
      </c>
      <c r="J10" s="32" t="s">
        <v>31</v>
      </c>
      <c r="K10" s="32" t="s">
        <v>31</v>
      </c>
    </row>
    <row r="11" spans="1:27" x14ac:dyDescent="0.3">
      <c r="A11" s="32" t="s">
        <v>594</v>
      </c>
      <c r="B11" s="32">
        <v>7</v>
      </c>
      <c r="C11" s="32" t="s">
        <v>40</v>
      </c>
      <c r="D11" s="32" t="s">
        <v>375</v>
      </c>
      <c r="E11" s="32" t="s">
        <v>32</v>
      </c>
      <c r="F11" s="32" t="s">
        <v>32</v>
      </c>
      <c r="G11" s="32" t="s">
        <v>32</v>
      </c>
      <c r="H11" s="32" t="s">
        <v>32</v>
      </c>
      <c r="I11" s="32" t="s">
        <v>32</v>
      </c>
      <c r="J11" s="32" t="s">
        <v>32</v>
      </c>
      <c r="K11" s="32" t="s">
        <v>32</v>
      </c>
      <c r="L11" s="32" t="s">
        <v>32</v>
      </c>
      <c r="M11" s="32" t="s">
        <v>32</v>
      </c>
    </row>
    <row r="12" spans="1:27" x14ac:dyDescent="0.3">
      <c r="A12" s="32" t="s">
        <v>582</v>
      </c>
      <c r="B12" s="32">
        <v>7</v>
      </c>
      <c r="C12" s="32" t="s">
        <v>40</v>
      </c>
      <c r="D12" s="32" t="s">
        <v>595</v>
      </c>
      <c r="E12" s="32" t="s">
        <v>303</v>
      </c>
      <c r="F12" s="32" t="s">
        <v>303</v>
      </c>
      <c r="G12" s="32" t="s">
        <v>303</v>
      </c>
      <c r="H12" s="32" t="s">
        <v>303</v>
      </c>
      <c r="I12" s="32" t="s">
        <v>303</v>
      </c>
      <c r="J12" s="32" t="s">
        <v>303</v>
      </c>
    </row>
    <row r="13" spans="1:27" x14ac:dyDescent="0.3">
      <c r="A13" s="32" t="s">
        <v>583</v>
      </c>
      <c r="B13" s="32">
        <v>7</v>
      </c>
      <c r="C13" s="32" t="s">
        <v>40</v>
      </c>
      <c r="D13" s="32" t="s">
        <v>595</v>
      </c>
      <c r="E13" s="32" t="s">
        <v>32</v>
      </c>
      <c r="F13" s="32" t="s">
        <v>32</v>
      </c>
      <c r="G13" s="32" t="s">
        <v>32</v>
      </c>
      <c r="H13" s="32" t="s">
        <v>32</v>
      </c>
      <c r="I13" s="32" t="s">
        <v>32</v>
      </c>
      <c r="J13" s="32" t="s">
        <v>32</v>
      </c>
      <c r="K13" s="32" t="s">
        <v>32</v>
      </c>
      <c r="L13" s="32" t="s">
        <v>32</v>
      </c>
      <c r="M13" s="32" t="s">
        <v>32</v>
      </c>
    </row>
    <row r="14" spans="1:27" x14ac:dyDescent="0.3">
      <c r="A14" s="32" t="s">
        <v>584</v>
      </c>
      <c r="B14" s="32">
        <v>7</v>
      </c>
      <c r="C14" s="32" t="s">
        <v>40</v>
      </c>
      <c r="D14" s="32" t="s">
        <v>596</v>
      </c>
      <c r="E14" s="32" t="s">
        <v>595</v>
      </c>
      <c r="F14" s="32" t="s">
        <v>32</v>
      </c>
      <c r="G14" s="32" t="s">
        <v>32</v>
      </c>
      <c r="H14" s="32" t="s">
        <v>32</v>
      </c>
      <c r="I14" s="32" t="s">
        <v>32</v>
      </c>
      <c r="J14" s="32" t="s">
        <v>32</v>
      </c>
    </row>
    <row r="15" spans="1:27" x14ac:dyDescent="0.3">
      <c r="A15" s="32" t="s">
        <v>585</v>
      </c>
      <c r="B15" s="32">
        <v>7</v>
      </c>
      <c r="C15" s="32" t="s">
        <v>40</v>
      </c>
      <c r="D15" s="32" t="s">
        <v>596</v>
      </c>
      <c r="E15" s="32" t="s">
        <v>31</v>
      </c>
      <c r="F15" s="32" t="s">
        <v>31</v>
      </c>
      <c r="G15" s="32" t="s">
        <v>31</v>
      </c>
      <c r="H15" s="32" t="s">
        <v>31</v>
      </c>
      <c r="I15" s="32" t="s">
        <v>31</v>
      </c>
      <c r="J15" s="32" t="s">
        <v>31</v>
      </c>
      <c r="K15" s="32" t="s">
        <v>31</v>
      </c>
      <c r="L15" s="32" t="s">
        <v>31</v>
      </c>
      <c r="M15" s="32" t="s">
        <v>31</v>
      </c>
      <c r="N15" s="32" t="s">
        <v>31</v>
      </c>
      <c r="O15" s="32" t="s">
        <v>31</v>
      </c>
      <c r="P15" s="32" t="s">
        <v>31</v>
      </c>
    </row>
    <row r="16" spans="1:27" x14ac:dyDescent="0.3">
      <c r="A16" s="32" t="s">
        <v>41</v>
      </c>
      <c r="B16" s="32">
        <v>7</v>
      </c>
      <c r="C16" s="32" t="s">
        <v>40</v>
      </c>
      <c r="D16" s="32" t="s">
        <v>31</v>
      </c>
      <c r="E16" s="32" t="s">
        <v>31</v>
      </c>
      <c r="F16" s="32" t="s">
        <v>32</v>
      </c>
      <c r="G16" s="32" t="s">
        <v>32</v>
      </c>
      <c r="H16" s="32" t="s">
        <v>32</v>
      </c>
      <c r="I16" s="32" t="s">
        <v>32</v>
      </c>
      <c r="J16" s="32" t="s">
        <v>32</v>
      </c>
      <c r="K16" s="32" t="s">
        <v>32</v>
      </c>
      <c r="L16" s="32" t="s">
        <v>32</v>
      </c>
      <c r="M16" s="32" t="s">
        <v>32</v>
      </c>
      <c r="N16" s="32" t="s">
        <v>32</v>
      </c>
    </row>
    <row r="17" spans="1:15" x14ac:dyDescent="0.3">
      <c r="A17" s="32" t="s">
        <v>42</v>
      </c>
      <c r="B17" s="32">
        <v>7</v>
      </c>
      <c r="C17" s="32" t="s">
        <v>40</v>
      </c>
      <c r="D17" s="32" t="s">
        <v>382</v>
      </c>
      <c r="E17" s="32" t="s">
        <v>31</v>
      </c>
      <c r="F17" s="32" t="s">
        <v>31</v>
      </c>
      <c r="G17" s="32" t="s">
        <v>31</v>
      </c>
      <c r="H17" s="32" t="s">
        <v>31</v>
      </c>
      <c r="I17" s="32" t="s">
        <v>31</v>
      </c>
      <c r="J17" s="32" t="s">
        <v>31</v>
      </c>
      <c r="K17" s="32" t="s">
        <v>31</v>
      </c>
      <c r="L17" s="32" t="s">
        <v>31</v>
      </c>
      <c r="M17" s="32" t="s">
        <v>31</v>
      </c>
      <c r="N17" s="32" t="s">
        <v>31</v>
      </c>
      <c r="O17" s="32" t="s">
        <v>31</v>
      </c>
    </row>
    <row r="18" spans="1:15" x14ac:dyDescent="0.3">
      <c r="A18" s="32" t="s">
        <v>63</v>
      </c>
      <c r="B18" s="32">
        <v>7</v>
      </c>
      <c r="C18" s="32" t="s">
        <v>40</v>
      </c>
      <c r="D18" s="32" t="s">
        <v>25</v>
      </c>
      <c r="E18" s="32" t="s">
        <v>25</v>
      </c>
      <c r="F18" s="32" t="s">
        <v>25</v>
      </c>
    </row>
    <row r="19" spans="1:15" x14ac:dyDescent="0.3">
      <c r="A19" s="32" t="s">
        <v>56</v>
      </c>
      <c r="B19" s="32">
        <v>7</v>
      </c>
      <c r="C19" s="32" t="s">
        <v>40</v>
      </c>
      <c r="D19" s="32" t="s">
        <v>34</v>
      </c>
      <c r="E19" s="32" t="s">
        <v>34</v>
      </c>
      <c r="F19" s="32" t="s">
        <v>34</v>
      </c>
      <c r="G19" s="32" t="s">
        <v>34</v>
      </c>
    </row>
    <row r="20" spans="1:15" x14ac:dyDescent="0.3">
      <c r="A20" s="32" t="s">
        <v>62</v>
      </c>
      <c r="B20" s="32">
        <v>7</v>
      </c>
      <c r="C20" s="32" t="s">
        <v>40</v>
      </c>
      <c r="D20" s="32" t="s">
        <v>26</v>
      </c>
      <c r="E20" s="32" t="s">
        <v>26</v>
      </c>
      <c r="F20" s="32" t="s">
        <v>26</v>
      </c>
    </row>
    <row r="21" spans="1:15" x14ac:dyDescent="0.3">
      <c r="A21" s="32" t="s">
        <v>61</v>
      </c>
      <c r="B21" s="32">
        <v>7</v>
      </c>
      <c r="C21" s="32" t="s">
        <v>40</v>
      </c>
      <c r="D21" s="32" t="s">
        <v>443</v>
      </c>
      <c r="E21" s="32" t="s">
        <v>443</v>
      </c>
    </row>
    <row r="22" spans="1:15" x14ac:dyDescent="0.3">
      <c r="A22" s="32" t="s">
        <v>59</v>
      </c>
      <c r="B22" s="32">
        <v>7</v>
      </c>
      <c r="C22" s="32" t="s">
        <v>40</v>
      </c>
      <c r="D22" s="32" t="s">
        <v>28</v>
      </c>
      <c r="E22" s="32" t="s">
        <v>28</v>
      </c>
      <c r="F22" s="32" t="s">
        <v>28</v>
      </c>
    </row>
    <row r="23" spans="1:15" x14ac:dyDescent="0.3">
      <c r="A23" s="32" t="s">
        <v>55</v>
      </c>
      <c r="B23" s="32">
        <v>7</v>
      </c>
      <c r="C23" s="32" t="s">
        <v>40</v>
      </c>
      <c r="D23" s="32" t="s">
        <v>444</v>
      </c>
      <c r="E23" s="32" t="s">
        <v>444</v>
      </c>
    </row>
    <row r="24" spans="1:15" x14ac:dyDescent="0.3">
      <c r="A24" s="32" t="s">
        <v>60</v>
      </c>
      <c r="B24" s="32">
        <v>7</v>
      </c>
      <c r="C24" s="32" t="s">
        <v>40</v>
      </c>
      <c r="D24" s="32" t="s">
        <v>49</v>
      </c>
      <c r="E24" s="32" t="s">
        <v>49</v>
      </c>
      <c r="F24" s="32" t="s">
        <v>49</v>
      </c>
      <c r="G24" s="32" t="s">
        <v>49</v>
      </c>
    </row>
    <row r="25" spans="1:15" x14ac:dyDescent="0.3">
      <c r="A25" s="32" t="s">
        <v>65</v>
      </c>
      <c r="B25" s="32">
        <v>7</v>
      </c>
      <c r="C25" s="32" t="s">
        <v>40</v>
      </c>
      <c r="D25" s="32" t="s">
        <v>25</v>
      </c>
      <c r="E25" s="32" t="s">
        <v>443</v>
      </c>
      <c r="F25" s="32" t="s">
        <v>443</v>
      </c>
    </row>
    <row r="26" spans="1:15" x14ac:dyDescent="0.3">
      <c r="A26" s="32" t="s">
        <v>66</v>
      </c>
      <c r="B26" s="32">
        <v>7</v>
      </c>
      <c r="C26" s="32" t="s">
        <v>40</v>
      </c>
      <c r="D26" s="32" t="s">
        <v>25</v>
      </c>
      <c r="E26" s="32" t="s">
        <v>26</v>
      </c>
      <c r="F26" s="32" t="s">
        <v>26</v>
      </c>
    </row>
    <row r="27" spans="1:15" x14ac:dyDescent="0.3">
      <c r="A27" s="32" t="s">
        <v>64</v>
      </c>
      <c r="B27" s="32">
        <v>7</v>
      </c>
      <c r="C27" s="32" t="s">
        <v>40</v>
      </c>
      <c r="D27" s="32" t="s">
        <v>25</v>
      </c>
      <c r="E27" s="32" t="s">
        <v>28</v>
      </c>
      <c r="F27" s="32" t="s">
        <v>28</v>
      </c>
    </row>
    <row r="28" spans="1:15" x14ac:dyDescent="0.3">
      <c r="A28" s="32" t="s">
        <v>58</v>
      </c>
      <c r="B28" s="32">
        <v>7</v>
      </c>
      <c r="C28" s="32" t="s">
        <v>40</v>
      </c>
      <c r="D28" s="32" t="s">
        <v>34</v>
      </c>
      <c r="E28" s="32" t="s">
        <v>443</v>
      </c>
    </row>
    <row r="29" spans="1:15" x14ac:dyDescent="0.3">
      <c r="A29" s="32" t="s">
        <v>195</v>
      </c>
      <c r="B29" s="32">
        <v>7</v>
      </c>
      <c r="C29" s="32" t="s">
        <v>40</v>
      </c>
      <c r="D29" s="32" t="s">
        <v>34</v>
      </c>
      <c r="E29" s="32" t="s">
        <v>26</v>
      </c>
      <c r="F29" s="32" t="s">
        <v>26</v>
      </c>
    </row>
    <row r="30" spans="1:15" x14ac:dyDescent="0.3">
      <c r="A30" s="32" t="s">
        <v>57</v>
      </c>
      <c r="B30" s="32">
        <v>7</v>
      </c>
      <c r="C30" s="32" t="s">
        <v>40</v>
      </c>
      <c r="D30" s="32" t="s">
        <v>34</v>
      </c>
      <c r="E30" s="32" t="s">
        <v>34</v>
      </c>
      <c r="F30" s="32" t="s">
        <v>28</v>
      </c>
    </row>
    <row r="31" spans="1:15" x14ac:dyDescent="0.3">
      <c r="A31" s="32" t="s">
        <v>117</v>
      </c>
      <c r="B31" s="32">
        <v>7</v>
      </c>
      <c r="C31" s="32" t="s">
        <v>40</v>
      </c>
      <c r="D31" s="32" t="s">
        <v>25</v>
      </c>
      <c r="E31" s="32" t="s">
        <v>25</v>
      </c>
      <c r="F31" s="32" t="s">
        <v>25</v>
      </c>
      <c r="G31" s="32" t="s">
        <v>25</v>
      </c>
      <c r="H31" s="32" t="s">
        <v>25</v>
      </c>
    </row>
    <row r="32" spans="1:15" x14ac:dyDescent="0.3">
      <c r="A32" s="32" t="s">
        <v>98</v>
      </c>
      <c r="B32" s="32">
        <v>7</v>
      </c>
      <c r="C32" s="32" t="s">
        <v>40</v>
      </c>
      <c r="D32" s="32" t="s">
        <v>34</v>
      </c>
      <c r="E32" s="32" t="s">
        <v>34</v>
      </c>
      <c r="F32" s="32" t="s">
        <v>34</v>
      </c>
      <c r="G32" s="32" t="s">
        <v>34</v>
      </c>
      <c r="H32" s="32" t="s">
        <v>34</v>
      </c>
    </row>
    <row r="33" spans="1:8" x14ac:dyDescent="0.3">
      <c r="A33" s="32" t="s">
        <v>113</v>
      </c>
      <c r="B33" s="32">
        <v>7</v>
      </c>
      <c r="C33" s="32" t="s">
        <v>40</v>
      </c>
      <c r="D33" s="32" t="s">
        <v>26</v>
      </c>
      <c r="E33" s="32" t="s">
        <v>26</v>
      </c>
      <c r="F33" s="32" t="s">
        <v>26</v>
      </c>
      <c r="G33" s="32" t="s">
        <v>26</v>
      </c>
    </row>
    <row r="34" spans="1:8" x14ac:dyDescent="0.3">
      <c r="A34" s="32" t="s">
        <v>110</v>
      </c>
      <c r="B34" s="32">
        <v>7</v>
      </c>
      <c r="C34" s="32" t="s">
        <v>40</v>
      </c>
      <c r="D34" s="32" t="s">
        <v>443</v>
      </c>
      <c r="E34" s="32" t="s">
        <v>443</v>
      </c>
      <c r="F34" s="32" t="s">
        <v>443</v>
      </c>
      <c r="G34" s="32" t="s">
        <v>443</v>
      </c>
    </row>
    <row r="35" spans="1:8" x14ac:dyDescent="0.3">
      <c r="A35" s="32" t="s">
        <v>106</v>
      </c>
      <c r="B35" s="32">
        <v>7</v>
      </c>
      <c r="C35" s="32" t="s">
        <v>40</v>
      </c>
      <c r="D35" s="32" t="s">
        <v>28</v>
      </c>
      <c r="E35" s="32" t="s">
        <v>28</v>
      </c>
      <c r="F35" s="32" t="s">
        <v>28</v>
      </c>
      <c r="G35" s="32" t="s">
        <v>28</v>
      </c>
    </row>
    <row r="36" spans="1:8" x14ac:dyDescent="0.3">
      <c r="A36" s="32" t="s">
        <v>97</v>
      </c>
      <c r="B36" s="32">
        <v>7</v>
      </c>
      <c r="C36" s="32" t="s">
        <v>40</v>
      </c>
      <c r="D36" s="32" t="s">
        <v>444</v>
      </c>
      <c r="E36" s="32" t="s">
        <v>444</v>
      </c>
      <c r="F36" s="32" t="s">
        <v>444</v>
      </c>
      <c r="G36" s="32" t="s">
        <v>444</v>
      </c>
    </row>
    <row r="37" spans="1:8" x14ac:dyDescent="0.3">
      <c r="A37" s="32" t="s">
        <v>109</v>
      </c>
      <c r="B37" s="32">
        <v>7</v>
      </c>
      <c r="C37" s="32" t="s">
        <v>40</v>
      </c>
      <c r="D37" s="32" t="s">
        <v>49</v>
      </c>
      <c r="E37" s="32" t="s">
        <v>49</v>
      </c>
      <c r="F37" s="32" t="s">
        <v>49</v>
      </c>
      <c r="G37" s="32" t="s">
        <v>49</v>
      </c>
      <c r="H37" s="32" t="s">
        <v>49</v>
      </c>
    </row>
    <row r="38" spans="1:8" x14ac:dyDescent="0.3">
      <c r="A38" s="32" t="s">
        <v>119</v>
      </c>
      <c r="B38" s="32">
        <v>7</v>
      </c>
      <c r="C38" s="32" t="s">
        <v>40</v>
      </c>
      <c r="D38" s="32" t="s">
        <v>25</v>
      </c>
      <c r="E38" s="32" t="s">
        <v>25</v>
      </c>
      <c r="F38" s="32" t="s">
        <v>443</v>
      </c>
      <c r="G38" s="32" t="s">
        <v>443</v>
      </c>
    </row>
    <row r="39" spans="1:8" x14ac:dyDescent="0.3">
      <c r="A39" s="32" t="s">
        <v>120</v>
      </c>
      <c r="B39" s="32">
        <v>7</v>
      </c>
      <c r="C39" s="32" t="s">
        <v>40</v>
      </c>
      <c r="D39" s="32" t="s">
        <v>25</v>
      </c>
      <c r="E39" s="32" t="s">
        <v>25</v>
      </c>
      <c r="F39" s="32" t="s">
        <v>25</v>
      </c>
      <c r="G39" s="32" t="s">
        <v>26</v>
      </c>
      <c r="H39" s="32" t="s">
        <v>26</v>
      </c>
    </row>
    <row r="40" spans="1:8" x14ac:dyDescent="0.3">
      <c r="A40" s="32" t="s">
        <v>118</v>
      </c>
      <c r="B40" s="32">
        <v>7</v>
      </c>
      <c r="C40" s="32" t="s">
        <v>40</v>
      </c>
      <c r="D40" s="32" t="s">
        <v>25</v>
      </c>
      <c r="E40" s="32" t="s">
        <v>25</v>
      </c>
      <c r="F40" s="32" t="s">
        <v>25</v>
      </c>
      <c r="G40" s="32" t="s">
        <v>28</v>
      </c>
      <c r="H40" s="32" t="s">
        <v>28</v>
      </c>
    </row>
    <row r="41" spans="1:8" x14ac:dyDescent="0.3">
      <c r="A41" s="32" t="s">
        <v>100</v>
      </c>
      <c r="B41" s="32">
        <v>7</v>
      </c>
      <c r="C41" s="32" t="s">
        <v>40</v>
      </c>
      <c r="D41" s="32" t="s">
        <v>34</v>
      </c>
      <c r="E41" s="32" t="s">
        <v>34</v>
      </c>
      <c r="F41" s="32" t="s">
        <v>34</v>
      </c>
      <c r="G41" s="32" t="s">
        <v>443</v>
      </c>
      <c r="H41" s="32" t="s">
        <v>443</v>
      </c>
    </row>
    <row r="42" spans="1:8" x14ac:dyDescent="0.3">
      <c r="A42" s="32" t="s">
        <v>101</v>
      </c>
      <c r="B42" s="32">
        <v>7</v>
      </c>
      <c r="C42" s="32" t="s">
        <v>40</v>
      </c>
      <c r="D42" s="32" t="s">
        <v>34</v>
      </c>
      <c r="E42" s="32" t="s">
        <v>34</v>
      </c>
      <c r="F42" s="32" t="s">
        <v>34</v>
      </c>
      <c r="G42" s="32" t="s">
        <v>26</v>
      </c>
      <c r="H42" s="32" t="s">
        <v>26</v>
      </c>
    </row>
    <row r="43" spans="1:8" x14ac:dyDescent="0.3">
      <c r="A43" s="32" t="s">
        <v>99</v>
      </c>
      <c r="B43" s="32">
        <v>7</v>
      </c>
      <c r="C43" s="32" t="s">
        <v>40</v>
      </c>
      <c r="D43" s="32" t="s">
        <v>34</v>
      </c>
      <c r="E43" s="32" t="s">
        <v>34</v>
      </c>
      <c r="F43" s="32" t="s">
        <v>34</v>
      </c>
      <c r="G43" s="32" t="s">
        <v>28</v>
      </c>
      <c r="H43" s="32" t="s">
        <v>28</v>
      </c>
    </row>
    <row r="44" spans="1:8" x14ac:dyDescent="0.3">
      <c r="A44" s="32" t="s">
        <v>121</v>
      </c>
      <c r="B44" s="32">
        <v>7</v>
      </c>
      <c r="C44" s="32" t="s">
        <v>40</v>
      </c>
      <c r="D44" s="32" t="s">
        <v>378</v>
      </c>
      <c r="E44" s="32" t="s">
        <v>25</v>
      </c>
      <c r="F44" s="32" t="s">
        <v>25</v>
      </c>
      <c r="G44" s="32" t="s">
        <v>25</v>
      </c>
      <c r="H44" s="32" t="s">
        <v>25</v>
      </c>
    </row>
    <row r="45" spans="1:8" x14ac:dyDescent="0.3">
      <c r="A45" s="32" t="s">
        <v>102</v>
      </c>
      <c r="B45" s="32">
        <v>7</v>
      </c>
      <c r="C45" s="32" t="s">
        <v>40</v>
      </c>
      <c r="D45" s="32" t="s">
        <v>376</v>
      </c>
      <c r="E45" s="32" t="s">
        <v>34</v>
      </c>
      <c r="F45" s="32" t="s">
        <v>34</v>
      </c>
      <c r="G45" s="32" t="s">
        <v>34</v>
      </c>
      <c r="H45" s="32" t="s">
        <v>34</v>
      </c>
    </row>
    <row r="46" spans="1:8" x14ac:dyDescent="0.3">
      <c r="A46" s="32" t="s">
        <v>114</v>
      </c>
      <c r="B46" s="32">
        <v>7</v>
      </c>
      <c r="C46" s="32" t="s">
        <v>40</v>
      </c>
      <c r="D46" s="32" t="s">
        <v>377</v>
      </c>
      <c r="E46" s="32" t="s">
        <v>26</v>
      </c>
      <c r="F46" s="32" t="s">
        <v>26</v>
      </c>
    </row>
    <row r="47" spans="1:8" x14ac:dyDescent="0.3">
      <c r="A47" s="32" t="s">
        <v>196</v>
      </c>
      <c r="B47" s="32">
        <v>7</v>
      </c>
      <c r="C47" s="32" t="s">
        <v>40</v>
      </c>
      <c r="D47" s="32" t="s">
        <v>379</v>
      </c>
      <c r="E47" s="32" t="s">
        <v>443</v>
      </c>
      <c r="F47" s="32" t="s">
        <v>443</v>
      </c>
    </row>
    <row r="48" spans="1:8" x14ac:dyDescent="0.3">
      <c r="A48" s="32" t="s">
        <v>197</v>
      </c>
      <c r="B48" s="32">
        <v>7</v>
      </c>
      <c r="C48" s="32" t="s">
        <v>40</v>
      </c>
      <c r="D48" s="32" t="s">
        <v>380</v>
      </c>
      <c r="E48" s="32" t="s">
        <v>28</v>
      </c>
      <c r="F48" s="32" t="s">
        <v>28</v>
      </c>
    </row>
    <row r="49" spans="1:10" x14ac:dyDescent="0.3">
      <c r="A49" s="32" t="s">
        <v>198</v>
      </c>
      <c r="B49" s="32">
        <v>7</v>
      </c>
      <c r="C49" s="32" t="s">
        <v>40</v>
      </c>
      <c r="D49" s="32" t="s">
        <v>381</v>
      </c>
      <c r="E49" s="32" t="s">
        <v>444</v>
      </c>
      <c r="F49" s="32" t="s">
        <v>444</v>
      </c>
    </row>
    <row r="50" spans="1:10" x14ac:dyDescent="0.3">
      <c r="A50" s="32" t="s">
        <v>124</v>
      </c>
      <c r="B50" s="32">
        <v>7</v>
      </c>
      <c r="C50" s="32" t="s">
        <v>40</v>
      </c>
      <c r="D50" s="32" t="s">
        <v>378</v>
      </c>
      <c r="E50" s="32" t="s">
        <v>25</v>
      </c>
      <c r="F50" s="32" t="s">
        <v>25</v>
      </c>
      <c r="G50" s="32" t="s">
        <v>26</v>
      </c>
      <c r="H50" s="32" t="s">
        <v>26</v>
      </c>
    </row>
    <row r="51" spans="1:10" x14ac:dyDescent="0.3">
      <c r="A51" s="32" t="s">
        <v>123</v>
      </c>
      <c r="B51" s="32">
        <v>7</v>
      </c>
      <c r="C51" s="32" t="s">
        <v>40</v>
      </c>
      <c r="D51" s="32" t="s">
        <v>378</v>
      </c>
      <c r="E51" s="32" t="s">
        <v>25</v>
      </c>
      <c r="F51" s="32" t="s">
        <v>25</v>
      </c>
      <c r="G51" s="32" t="s">
        <v>443</v>
      </c>
      <c r="H51" s="32" t="s">
        <v>443</v>
      </c>
    </row>
    <row r="52" spans="1:10" x14ac:dyDescent="0.3">
      <c r="A52" s="32" t="s">
        <v>122</v>
      </c>
      <c r="B52" s="32">
        <v>7</v>
      </c>
      <c r="C52" s="32" t="s">
        <v>40</v>
      </c>
      <c r="D52" s="32" t="s">
        <v>378</v>
      </c>
      <c r="E52" s="32" t="s">
        <v>28</v>
      </c>
      <c r="F52" s="32" t="s">
        <v>28</v>
      </c>
      <c r="G52" s="32" t="s">
        <v>28</v>
      </c>
    </row>
    <row r="53" spans="1:10" x14ac:dyDescent="0.3">
      <c r="A53" s="32" t="s">
        <v>105</v>
      </c>
      <c r="B53" s="32">
        <v>7</v>
      </c>
      <c r="C53" s="32" t="s">
        <v>40</v>
      </c>
      <c r="D53" s="32" t="s">
        <v>376</v>
      </c>
      <c r="E53" s="32" t="s">
        <v>34</v>
      </c>
      <c r="F53" s="32" t="s">
        <v>34</v>
      </c>
      <c r="G53" s="32" t="s">
        <v>26</v>
      </c>
      <c r="H53" s="32" t="s">
        <v>26</v>
      </c>
    </row>
    <row r="54" spans="1:10" x14ac:dyDescent="0.3">
      <c r="A54" s="32" t="s">
        <v>104</v>
      </c>
      <c r="B54" s="32">
        <v>7</v>
      </c>
      <c r="C54" s="32" t="s">
        <v>40</v>
      </c>
      <c r="D54" s="32" t="s">
        <v>376</v>
      </c>
      <c r="E54" s="32" t="s">
        <v>34</v>
      </c>
      <c r="F54" s="32" t="s">
        <v>34</v>
      </c>
      <c r="G54" s="32" t="s">
        <v>443</v>
      </c>
      <c r="H54" s="32" t="s">
        <v>443</v>
      </c>
    </row>
    <row r="55" spans="1:10" x14ac:dyDescent="0.3">
      <c r="A55" s="32" t="s">
        <v>103</v>
      </c>
      <c r="B55" s="32">
        <v>7</v>
      </c>
      <c r="C55" s="32" t="s">
        <v>40</v>
      </c>
      <c r="D55" s="32" t="s">
        <v>376</v>
      </c>
      <c r="E55" s="32" t="s">
        <v>28</v>
      </c>
      <c r="F55" s="32" t="s">
        <v>28</v>
      </c>
      <c r="G55" s="32" t="s">
        <v>28</v>
      </c>
    </row>
    <row r="56" spans="1:10" x14ac:dyDescent="0.3">
      <c r="A56" s="32" t="s">
        <v>116</v>
      </c>
      <c r="B56" s="32">
        <v>7</v>
      </c>
      <c r="C56" s="32" t="s">
        <v>40</v>
      </c>
      <c r="D56" s="32" t="s">
        <v>377</v>
      </c>
      <c r="E56" s="32" t="s">
        <v>25</v>
      </c>
      <c r="F56" s="32" t="s">
        <v>25</v>
      </c>
      <c r="G56" s="32" t="s">
        <v>25</v>
      </c>
      <c r="H56" s="32" t="s">
        <v>25</v>
      </c>
    </row>
    <row r="57" spans="1:10" x14ac:dyDescent="0.3">
      <c r="A57" s="32" t="s">
        <v>115</v>
      </c>
      <c r="B57" s="32">
        <v>7</v>
      </c>
      <c r="C57" s="32" t="s">
        <v>40</v>
      </c>
      <c r="D57" s="32" t="s">
        <v>377</v>
      </c>
      <c r="E57" s="32" t="s">
        <v>26</v>
      </c>
      <c r="F57" s="32" t="s">
        <v>26</v>
      </c>
      <c r="G57" s="32" t="s">
        <v>34</v>
      </c>
    </row>
    <row r="58" spans="1:10" x14ac:dyDescent="0.3">
      <c r="A58" s="32" t="s">
        <v>108</v>
      </c>
      <c r="B58" s="32">
        <v>7</v>
      </c>
      <c r="C58" s="32" t="s">
        <v>40</v>
      </c>
      <c r="D58" s="32" t="s">
        <v>380</v>
      </c>
      <c r="E58" s="32" t="s">
        <v>25</v>
      </c>
      <c r="F58" s="32" t="s">
        <v>25</v>
      </c>
      <c r="G58" s="32" t="s">
        <v>25</v>
      </c>
      <c r="H58" s="32" t="s">
        <v>25</v>
      </c>
    </row>
    <row r="59" spans="1:10" x14ac:dyDescent="0.3">
      <c r="A59" s="32" t="s">
        <v>107</v>
      </c>
      <c r="B59" s="32">
        <v>7</v>
      </c>
      <c r="C59" s="32" t="s">
        <v>40</v>
      </c>
      <c r="D59" s="32" t="s">
        <v>380</v>
      </c>
      <c r="E59" s="32" t="s">
        <v>28</v>
      </c>
      <c r="F59" s="32" t="s">
        <v>28</v>
      </c>
      <c r="G59" s="32" t="s">
        <v>34</v>
      </c>
    </row>
    <row r="60" spans="1:10" x14ac:dyDescent="0.3">
      <c r="A60" s="32" t="s">
        <v>112</v>
      </c>
      <c r="B60" s="32">
        <v>7</v>
      </c>
      <c r="C60" s="32" t="s">
        <v>40</v>
      </c>
      <c r="D60" s="32" t="s">
        <v>379</v>
      </c>
      <c r="E60" s="32" t="s">
        <v>443</v>
      </c>
      <c r="F60" s="32" t="s">
        <v>443</v>
      </c>
      <c r="G60" s="32" t="s">
        <v>25</v>
      </c>
    </row>
    <row r="61" spans="1:10" x14ac:dyDescent="0.3">
      <c r="A61" s="32" t="s">
        <v>111</v>
      </c>
      <c r="B61" s="32">
        <v>7</v>
      </c>
      <c r="C61" s="32" t="s">
        <v>40</v>
      </c>
      <c r="D61" s="32" t="s">
        <v>379</v>
      </c>
      <c r="E61" s="32" t="s">
        <v>34</v>
      </c>
      <c r="F61" s="32" t="s">
        <v>34</v>
      </c>
      <c r="G61" s="32" t="s">
        <v>34</v>
      </c>
    </row>
    <row r="62" spans="1:10" x14ac:dyDescent="0.3">
      <c r="A62" s="32" t="s">
        <v>86</v>
      </c>
      <c r="B62" s="32">
        <v>7</v>
      </c>
      <c r="C62" s="32" t="s">
        <v>40</v>
      </c>
      <c r="D62" s="32" t="s">
        <v>25</v>
      </c>
      <c r="E62" s="32" t="s">
        <v>25</v>
      </c>
      <c r="F62" s="32" t="s">
        <v>443</v>
      </c>
      <c r="G62" s="32" t="s">
        <v>443</v>
      </c>
      <c r="H62" s="32" t="s">
        <v>443</v>
      </c>
      <c r="I62" s="32" t="s">
        <v>443</v>
      </c>
      <c r="J62" s="32" t="s">
        <v>443</v>
      </c>
    </row>
    <row r="63" spans="1:10" x14ac:dyDescent="0.3">
      <c r="A63" s="32" t="s">
        <v>87</v>
      </c>
      <c r="B63" s="32">
        <v>7</v>
      </c>
      <c r="C63" s="32" t="s">
        <v>40</v>
      </c>
      <c r="D63" s="32" t="s">
        <v>25</v>
      </c>
      <c r="E63" s="32" t="s">
        <v>25</v>
      </c>
      <c r="F63" s="32" t="s">
        <v>26</v>
      </c>
      <c r="G63" s="32" t="s">
        <v>26</v>
      </c>
      <c r="H63" s="32" t="s">
        <v>26</v>
      </c>
      <c r="I63" s="32" t="s">
        <v>26</v>
      </c>
      <c r="J63" s="32" t="s">
        <v>26</v>
      </c>
    </row>
    <row r="64" spans="1:10" x14ac:dyDescent="0.3">
      <c r="A64" s="32" t="s">
        <v>85</v>
      </c>
      <c r="B64" s="32">
        <v>7</v>
      </c>
      <c r="C64" s="32" t="s">
        <v>40</v>
      </c>
      <c r="D64" s="32" t="s">
        <v>25</v>
      </c>
      <c r="E64" s="32" t="s">
        <v>25</v>
      </c>
      <c r="F64" s="32" t="s">
        <v>28</v>
      </c>
      <c r="G64" s="32" t="s">
        <v>28</v>
      </c>
      <c r="H64" s="32" t="s">
        <v>28</v>
      </c>
      <c r="I64" s="32" t="s">
        <v>28</v>
      </c>
      <c r="J64" s="32" t="s">
        <v>28</v>
      </c>
    </row>
    <row r="65" spans="1:11" x14ac:dyDescent="0.3">
      <c r="A65" s="32" t="s">
        <v>199</v>
      </c>
      <c r="B65" s="32">
        <v>7</v>
      </c>
      <c r="C65" s="32" t="s">
        <v>40</v>
      </c>
      <c r="D65" s="32" t="s">
        <v>34</v>
      </c>
      <c r="E65" s="32" t="s">
        <v>34</v>
      </c>
      <c r="F65" s="32" t="s">
        <v>34</v>
      </c>
      <c r="G65" s="32" t="s">
        <v>34</v>
      </c>
      <c r="H65" s="32" t="s">
        <v>443</v>
      </c>
      <c r="I65" s="32" t="s">
        <v>443</v>
      </c>
      <c r="J65" s="32" t="s">
        <v>443</v>
      </c>
    </row>
    <row r="66" spans="1:11" x14ac:dyDescent="0.3">
      <c r="A66" s="32" t="s">
        <v>68</v>
      </c>
      <c r="B66" s="32">
        <v>7</v>
      </c>
      <c r="C66" s="32" t="s">
        <v>40</v>
      </c>
      <c r="D66" s="32" t="s">
        <v>34</v>
      </c>
      <c r="E66" s="32" t="s">
        <v>34</v>
      </c>
      <c r="F66" s="32" t="s">
        <v>26</v>
      </c>
      <c r="G66" s="32" t="s">
        <v>26</v>
      </c>
      <c r="H66" s="32" t="s">
        <v>26</v>
      </c>
      <c r="I66" s="32" t="s">
        <v>26</v>
      </c>
      <c r="J66" s="32" t="s">
        <v>26</v>
      </c>
    </row>
    <row r="67" spans="1:11" x14ac:dyDescent="0.3">
      <c r="A67" s="32" t="s">
        <v>67</v>
      </c>
      <c r="B67" s="32">
        <v>7</v>
      </c>
      <c r="C67" s="32" t="s">
        <v>40</v>
      </c>
      <c r="D67" s="32" t="s">
        <v>34</v>
      </c>
      <c r="E67" s="32" t="s">
        <v>34</v>
      </c>
      <c r="F67" s="32" t="s">
        <v>28</v>
      </c>
      <c r="G67" s="32" t="s">
        <v>28</v>
      </c>
      <c r="H67" s="32" t="s">
        <v>28</v>
      </c>
      <c r="I67" s="32" t="s">
        <v>28</v>
      </c>
      <c r="J67" s="32" t="s">
        <v>28</v>
      </c>
    </row>
    <row r="68" spans="1:11" x14ac:dyDescent="0.3">
      <c r="A68" s="32" t="s">
        <v>200</v>
      </c>
      <c r="B68" s="32">
        <v>7</v>
      </c>
      <c r="C68" s="32" t="s">
        <v>40</v>
      </c>
      <c r="D68" s="32" t="s">
        <v>25</v>
      </c>
      <c r="E68" s="32" t="s">
        <v>34</v>
      </c>
      <c r="F68" s="32" t="s">
        <v>26</v>
      </c>
      <c r="G68" s="32" t="s">
        <v>26</v>
      </c>
      <c r="H68" s="32" t="s">
        <v>26</v>
      </c>
      <c r="I68" s="32" t="s">
        <v>26</v>
      </c>
      <c r="J68" s="32" t="s">
        <v>26</v>
      </c>
    </row>
    <row r="69" spans="1:11" x14ac:dyDescent="0.3">
      <c r="A69" s="32" t="s">
        <v>201</v>
      </c>
      <c r="B69" s="32">
        <v>7</v>
      </c>
      <c r="C69" s="32" t="s">
        <v>40</v>
      </c>
      <c r="D69" s="32" t="s">
        <v>25</v>
      </c>
      <c r="E69" s="32" t="s">
        <v>34</v>
      </c>
      <c r="F69" s="32" t="s">
        <v>34</v>
      </c>
      <c r="G69" s="32" t="s">
        <v>443</v>
      </c>
      <c r="H69" s="32" t="s">
        <v>443</v>
      </c>
      <c r="I69" s="32" t="s">
        <v>443</v>
      </c>
      <c r="J69" s="32" t="s">
        <v>443</v>
      </c>
    </row>
    <row r="70" spans="1:11" x14ac:dyDescent="0.3">
      <c r="A70" s="32" t="s">
        <v>202</v>
      </c>
      <c r="B70" s="32">
        <v>7</v>
      </c>
      <c r="C70" s="32" t="s">
        <v>40</v>
      </c>
      <c r="D70" s="32" t="s">
        <v>25</v>
      </c>
      <c r="E70" s="32" t="s">
        <v>34</v>
      </c>
      <c r="F70" s="32" t="s">
        <v>28</v>
      </c>
      <c r="G70" s="32" t="s">
        <v>28</v>
      </c>
      <c r="H70" s="32" t="s">
        <v>28</v>
      </c>
      <c r="I70" s="32" t="s">
        <v>28</v>
      </c>
      <c r="J70" s="32" t="s">
        <v>28</v>
      </c>
    </row>
    <row r="71" spans="1:11" x14ac:dyDescent="0.3">
      <c r="A71" s="32" t="s">
        <v>203</v>
      </c>
      <c r="B71" s="32">
        <v>7</v>
      </c>
      <c r="C71" s="32" t="s">
        <v>40</v>
      </c>
      <c r="D71" s="32" t="s">
        <v>34</v>
      </c>
      <c r="E71" s="32" t="s">
        <v>26</v>
      </c>
      <c r="F71" s="32" t="s">
        <v>26</v>
      </c>
      <c r="G71" s="32" t="s">
        <v>443</v>
      </c>
      <c r="H71" s="32" t="s">
        <v>443</v>
      </c>
      <c r="I71" s="32" t="s">
        <v>443</v>
      </c>
      <c r="J71" s="32" t="s">
        <v>443</v>
      </c>
    </row>
    <row r="72" spans="1:11" x14ac:dyDescent="0.3">
      <c r="A72" s="32" t="s">
        <v>204</v>
      </c>
      <c r="B72" s="32">
        <v>7</v>
      </c>
      <c r="C72" s="32" t="s">
        <v>40</v>
      </c>
      <c r="D72" s="32" t="s">
        <v>34</v>
      </c>
      <c r="E72" s="32" t="s">
        <v>26</v>
      </c>
      <c r="F72" s="32" t="s">
        <v>28</v>
      </c>
      <c r="G72" s="32" t="s">
        <v>28</v>
      </c>
      <c r="H72" s="32" t="s">
        <v>28</v>
      </c>
      <c r="I72" s="32" t="s">
        <v>28</v>
      </c>
      <c r="J72" s="32" t="s">
        <v>28</v>
      </c>
    </row>
    <row r="73" spans="1:11" x14ac:dyDescent="0.3">
      <c r="A73" s="32" t="s">
        <v>205</v>
      </c>
      <c r="B73" s="32">
        <v>7</v>
      </c>
      <c r="C73" s="32" t="s">
        <v>40</v>
      </c>
      <c r="D73" s="32" t="s">
        <v>34</v>
      </c>
      <c r="E73" s="32" t="s">
        <v>443</v>
      </c>
      <c r="F73" s="32" t="s">
        <v>28</v>
      </c>
      <c r="G73" s="32" t="s">
        <v>28</v>
      </c>
      <c r="H73" s="32" t="s">
        <v>28</v>
      </c>
      <c r="I73" s="32" t="s">
        <v>28</v>
      </c>
      <c r="J73" s="32" t="s">
        <v>28</v>
      </c>
    </row>
    <row r="74" spans="1:11" x14ac:dyDescent="0.3">
      <c r="A74" s="32" t="s">
        <v>206</v>
      </c>
      <c r="B74" s="32">
        <v>7</v>
      </c>
      <c r="C74" s="32" t="s">
        <v>40</v>
      </c>
      <c r="D74" s="32" t="s">
        <v>25</v>
      </c>
      <c r="E74" s="32" t="s">
        <v>26</v>
      </c>
      <c r="F74" s="32" t="s">
        <v>443</v>
      </c>
      <c r="G74" s="32" t="s">
        <v>443</v>
      </c>
      <c r="H74" s="32" t="s">
        <v>443</v>
      </c>
      <c r="I74" s="32" t="s">
        <v>443</v>
      </c>
      <c r="J74" s="32" t="s">
        <v>443</v>
      </c>
    </row>
    <row r="75" spans="1:11" x14ac:dyDescent="0.3">
      <c r="A75" s="32" t="s">
        <v>88</v>
      </c>
      <c r="B75" s="32">
        <v>7</v>
      </c>
      <c r="C75" s="32" t="s">
        <v>40</v>
      </c>
      <c r="D75" s="32" t="s">
        <v>25</v>
      </c>
      <c r="E75" s="32" t="s">
        <v>26</v>
      </c>
      <c r="F75" s="32" t="s">
        <v>28</v>
      </c>
      <c r="G75" s="32" t="s">
        <v>28</v>
      </c>
      <c r="H75" s="32" t="s">
        <v>28</v>
      </c>
      <c r="I75" s="32" t="s">
        <v>28</v>
      </c>
      <c r="J75" s="32" t="s">
        <v>28</v>
      </c>
      <c r="K75" s="32" t="s">
        <v>28</v>
      </c>
    </row>
    <row r="76" spans="1:11" x14ac:dyDescent="0.3">
      <c r="A76" s="32" t="s">
        <v>207</v>
      </c>
      <c r="B76" s="32">
        <v>7</v>
      </c>
      <c r="C76" s="32" t="s">
        <v>40</v>
      </c>
      <c r="D76" s="32" t="s">
        <v>25</v>
      </c>
      <c r="E76" s="32" t="s">
        <v>443</v>
      </c>
      <c r="F76" s="32" t="s">
        <v>28</v>
      </c>
      <c r="G76" s="32" t="s">
        <v>28</v>
      </c>
      <c r="H76" s="32" t="s">
        <v>28</v>
      </c>
      <c r="I76" s="32" t="s">
        <v>28</v>
      </c>
      <c r="J76" s="32" t="s">
        <v>28</v>
      </c>
      <c r="K76" s="32" t="s">
        <v>28</v>
      </c>
    </row>
    <row r="77" spans="1:11" x14ac:dyDescent="0.3">
      <c r="A77" s="32" t="s">
        <v>94</v>
      </c>
      <c r="B77" s="32">
        <v>7</v>
      </c>
      <c r="C77" s="32" t="s">
        <v>40</v>
      </c>
      <c r="D77" s="32" t="s">
        <v>378</v>
      </c>
      <c r="E77" s="32" t="s">
        <v>26</v>
      </c>
      <c r="F77" s="32" t="s">
        <v>26</v>
      </c>
      <c r="G77" s="32" t="s">
        <v>26</v>
      </c>
      <c r="H77" s="32" t="s">
        <v>26</v>
      </c>
      <c r="I77" s="32" t="s">
        <v>26</v>
      </c>
      <c r="J77" s="32" t="s">
        <v>26</v>
      </c>
    </row>
    <row r="78" spans="1:11" x14ac:dyDescent="0.3">
      <c r="A78" s="32" t="s">
        <v>92</v>
      </c>
      <c r="B78" s="32">
        <v>7</v>
      </c>
      <c r="C78" s="32" t="s">
        <v>40</v>
      </c>
      <c r="D78" s="32" t="s">
        <v>378</v>
      </c>
      <c r="E78" s="32" t="s">
        <v>25</v>
      </c>
      <c r="F78" s="32" t="s">
        <v>25</v>
      </c>
      <c r="G78" s="32" t="s">
        <v>443</v>
      </c>
      <c r="H78" s="32" t="s">
        <v>443</v>
      </c>
      <c r="I78" s="32" t="s">
        <v>443</v>
      </c>
      <c r="J78" s="32" t="s">
        <v>443</v>
      </c>
    </row>
    <row r="79" spans="1:11" x14ac:dyDescent="0.3">
      <c r="A79" s="32" t="s">
        <v>90</v>
      </c>
      <c r="B79" s="32">
        <v>7</v>
      </c>
      <c r="C79" s="32" t="s">
        <v>40</v>
      </c>
      <c r="D79" s="32" t="s">
        <v>378</v>
      </c>
      <c r="E79" s="32" t="s">
        <v>28</v>
      </c>
      <c r="F79" s="32" t="s">
        <v>28</v>
      </c>
      <c r="G79" s="32" t="s">
        <v>28</v>
      </c>
      <c r="H79" s="32" t="s">
        <v>28</v>
      </c>
      <c r="I79" s="32" t="s">
        <v>28</v>
      </c>
      <c r="J79" s="32" t="s">
        <v>28</v>
      </c>
    </row>
    <row r="80" spans="1:11" x14ac:dyDescent="0.3">
      <c r="A80" s="32" t="s">
        <v>74</v>
      </c>
      <c r="B80" s="32">
        <v>7</v>
      </c>
      <c r="C80" s="32" t="s">
        <v>40</v>
      </c>
      <c r="D80" s="32" t="s">
        <v>376</v>
      </c>
      <c r="E80" s="32" t="s">
        <v>26</v>
      </c>
      <c r="F80" s="32" t="s">
        <v>26</v>
      </c>
      <c r="G80" s="32" t="s">
        <v>26</v>
      </c>
      <c r="H80" s="32" t="s">
        <v>26</v>
      </c>
      <c r="I80" s="32" t="s">
        <v>26</v>
      </c>
      <c r="J80" s="32" t="s">
        <v>26</v>
      </c>
    </row>
    <row r="81" spans="1:10" x14ac:dyDescent="0.3">
      <c r="A81" s="32" t="s">
        <v>73</v>
      </c>
      <c r="B81" s="32">
        <v>7</v>
      </c>
      <c r="C81" s="32" t="s">
        <v>40</v>
      </c>
      <c r="D81" s="32" t="s">
        <v>376</v>
      </c>
      <c r="E81" s="32" t="s">
        <v>443</v>
      </c>
      <c r="F81" s="32" t="s">
        <v>443</v>
      </c>
      <c r="G81" s="32" t="s">
        <v>443</v>
      </c>
      <c r="H81" s="32" t="s">
        <v>443</v>
      </c>
      <c r="I81" s="32" t="s">
        <v>443</v>
      </c>
    </row>
    <row r="82" spans="1:10" x14ac:dyDescent="0.3">
      <c r="A82" s="32" t="s">
        <v>71</v>
      </c>
      <c r="B82" s="32">
        <v>7</v>
      </c>
      <c r="C82" s="32" t="s">
        <v>40</v>
      </c>
      <c r="D82" s="32" t="s">
        <v>376</v>
      </c>
      <c r="E82" s="32" t="s">
        <v>28</v>
      </c>
      <c r="F82" s="32" t="s">
        <v>28</v>
      </c>
      <c r="G82" s="32" t="s">
        <v>28</v>
      </c>
      <c r="H82" s="32" t="s">
        <v>28</v>
      </c>
      <c r="I82" s="32" t="s">
        <v>28</v>
      </c>
      <c r="J82" s="32" t="s">
        <v>28</v>
      </c>
    </row>
    <row r="83" spans="1:10" x14ac:dyDescent="0.3">
      <c r="A83" s="32" t="s">
        <v>208</v>
      </c>
      <c r="B83" s="32">
        <v>7</v>
      </c>
      <c r="C83" s="32" t="s">
        <v>40</v>
      </c>
      <c r="D83" s="32" t="s">
        <v>600</v>
      </c>
      <c r="E83" s="32" t="s">
        <v>26</v>
      </c>
      <c r="F83" s="32" t="s">
        <v>26</v>
      </c>
      <c r="G83" s="32" t="s">
        <v>26</v>
      </c>
      <c r="H83" s="32" t="s">
        <v>26</v>
      </c>
    </row>
    <row r="84" spans="1:10" x14ac:dyDescent="0.3">
      <c r="A84" s="32" t="s">
        <v>209</v>
      </c>
      <c r="B84" s="32">
        <v>7</v>
      </c>
      <c r="C84" s="32" t="s">
        <v>40</v>
      </c>
      <c r="D84" s="32" t="s">
        <v>600</v>
      </c>
      <c r="E84" s="32" t="s">
        <v>443</v>
      </c>
      <c r="F84" s="32" t="s">
        <v>443</v>
      </c>
      <c r="G84" s="32" t="s">
        <v>443</v>
      </c>
    </row>
    <row r="85" spans="1:10" x14ac:dyDescent="0.3">
      <c r="A85" s="32" t="s">
        <v>210</v>
      </c>
      <c r="B85" s="32">
        <v>7</v>
      </c>
      <c r="C85" s="32" t="s">
        <v>40</v>
      </c>
      <c r="D85" s="32" t="s">
        <v>600</v>
      </c>
      <c r="E85" s="32" t="s">
        <v>25</v>
      </c>
      <c r="F85" s="32" t="s">
        <v>25</v>
      </c>
      <c r="G85" s="32" t="s">
        <v>25</v>
      </c>
      <c r="H85" s="32" t="s">
        <v>25</v>
      </c>
      <c r="I85" s="32" t="s">
        <v>28</v>
      </c>
      <c r="J85" s="32" t="s">
        <v>28</v>
      </c>
    </row>
    <row r="86" spans="1:10" x14ac:dyDescent="0.3">
      <c r="A86" s="32" t="s">
        <v>211</v>
      </c>
      <c r="B86" s="32">
        <v>7</v>
      </c>
      <c r="C86" s="32" t="s">
        <v>40</v>
      </c>
      <c r="D86" s="32" t="s">
        <v>597</v>
      </c>
      <c r="E86" s="32" t="s">
        <v>34</v>
      </c>
      <c r="F86" s="32" t="s">
        <v>34</v>
      </c>
      <c r="G86" s="32" t="s">
        <v>34</v>
      </c>
      <c r="H86" s="32" t="s">
        <v>34</v>
      </c>
      <c r="I86" s="32" t="s">
        <v>26</v>
      </c>
      <c r="J86" s="32" t="s">
        <v>26</v>
      </c>
    </row>
    <row r="87" spans="1:10" x14ac:dyDescent="0.3">
      <c r="A87" s="32" t="s">
        <v>212</v>
      </c>
      <c r="B87" s="32">
        <v>7</v>
      </c>
      <c r="C87" s="32" t="s">
        <v>40</v>
      </c>
      <c r="D87" s="32" t="s">
        <v>597</v>
      </c>
      <c r="E87" s="32" t="s">
        <v>443</v>
      </c>
      <c r="F87" s="32" t="s">
        <v>443</v>
      </c>
      <c r="G87" s="32" t="s">
        <v>443</v>
      </c>
      <c r="H87" s="32" t="s">
        <v>443</v>
      </c>
    </row>
    <row r="88" spans="1:10" x14ac:dyDescent="0.3">
      <c r="A88" s="32" t="s">
        <v>213</v>
      </c>
      <c r="B88" s="32">
        <v>7</v>
      </c>
      <c r="C88" s="32" t="s">
        <v>40</v>
      </c>
      <c r="D88" s="32" t="s">
        <v>597</v>
      </c>
      <c r="E88" s="32" t="s">
        <v>34</v>
      </c>
      <c r="F88" s="32" t="s">
        <v>34</v>
      </c>
      <c r="G88" s="32" t="s">
        <v>28</v>
      </c>
      <c r="H88" s="32" t="s">
        <v>28</v>
      </c>
      <c r="I88" s="32" t="s">
        <v>28</v>
      </c>
    </row>
    <row r="89" spans="1:10" x14ac:dyDescent="0.3">
      <c r="A89" s="32" t="s">
        <v>84</v>
      </c>
      <c r="B89" s="32">
        <v>7</v>
      </c>
      <c r="C89" s="32" t="s">
        <v>40</v>
      </c>
      <c r="D89" s="32" t="s">
        <v>377</v>
      </c>
      <c r="E89" s="32" t="s">
        <v>26</v>
      </c>
      <c r="F89" s="32" t="s">
        <v>26</v>
      </c>
      <c r="G89" s="32" t="s">
        <v>25</v>
      </c>
      <c r="H89" s="32" t="s">
        <v>25</v>
      </c>
      <c r="I89" s="32" t="s">
        <v>25</v>
      </c>
      <c r="J89" s="32" t="s">
        <v>25</v>
      </c>
    </row>
    <row r="90" spans="1:10" x14ac:dyDescent="0.3">
      <c r="A90" s="32" t="s">
        <v>82</v>
      </c>
      <c r="B90" s="32">
        <v>7</v>
      </c>
      <c r="C90" s="32" t="s">
        <v>40</v>
      </c>
      <c r="D90" s="32" t="s">
        <v>377</v>
      </c>
      <c r="E90" s="32" t="s">
        <v>26</v>
      </c>
      <c r="F90" s="32" t="s">
        <v>26</v>
      </c>
      <c r="G90" s="32" t="s">
        <v>34</v>
      </c>
      <c r="H90" s="32" t="s">
        <v>34</v>
      </c>
      <c r="I90" s="32" t="s">
        <v>34</v>
      </c>
      <c r="J90" s="32" t="s">
        <v>34</v>
      </c>
    </row>
    <row r="91" spans="1:10" x14ac:dyDescent="0.3">
      <c r="A91" s="32" t="s">
        <v>78</v>
      </c>
      <c r="B91" s="32">
        <v>7</v>
      </c>
      <c r="C91" s="32" t="s">
        <v>40</v>
      </c>
      <c r="D91" s="32" t="s">
        <v>380</v>
      </c>
      <c r="E91" s="32" t="s">
        <v>28</v>
      </c>
      <c r="F91" s="32" t="s">
        <v>28</v>
      </c>
      <c r="G91" s="32" t="s">
        <v>25</v>
      </c>
      <c r="H91" s="32" t="s">
        <v>25</v>
      </c>
      <c r="I91" s="32" t="s">
        <v>25</v>
      </c>
      <c r="J91" s="32" t="s">
        <v>25</v>
      </c>
    </row>
    <row r="92" spans="1:10" x14ac:dyDescent="0.3">
      <c r="A92" s="32" t="s">
        <v>76</v>
      </c>
      <c r="B92" s="32">
        <v>7</v>
      </c>
      <c r="C92" s="32" t="s">
        <v>40</v>
      </c>
      <c r="D92" s="32" t="s">
        <v>380</v>
      </c>
      <c r="E92" s="32" t="s">
        <v>28</v>
      </c>
      <c r="F92" s="32" t="s">
        <v>28</v>
      </c>
      <c r="G92" s="32" t="s">
        <v>34</v>
      </c>
      <c r="H92" s="32" t="s">
        <v>34</v>
      </c>
      <c r="I92" s="32" t="s">
        <v>34</v>
      </c>
      <c r="J92" s="32" t="s">
        <v>34</v>
      </c>
    </row>
    <row r="93" spans="1:10" x14ac:dyDescent="0.3">
      <c r="A93" s="32" t="s">
        <v>81</v>
      </c>
      <c r="B93" s="32">
        <v>7</v>
      </c>
      <c r="C93" s="32" t="s">
        <v>40</v>
      </c>
      <c r="D93" s="32" t="s">
        <v>379</v>
      </c>
      <c r="E93" s="32" t="s">
        <v>443</v>
      </c>
      <c r="F93" s="32" t="s">
        <v>443</v>
      </c>
      <c r="G93" s="32" t="s">
        <v>25</v>
      </c>
      <c r="H93" s="32" t="s">
        <v>25</v>
      </c>
      <c r="I93" s="32" t="s">
        <v>25</v>
      </c>
      <c r="J93" s="32" t="s">
        <v>25</v>
      </c>
    </row>
    <row r="94" spans="1:10" x14ac:dyDescent="0.3">
      <c r="A94" s="32" t="s">
        <v>79</v>
      </c>
      <c r="B94" s="32">
        <v>7</v>
      </c>
      <c r="C94" s="32" t="s">
        <v>40</v>
      </c>
      <c r="D94" s="32" t="s">
        <v>379</v>
      </c>
      <c r="E94" s="32" t="s">
        <v>443</v>
      </c>
      <c r="F94" s="32" t="s">
        <v>443</v>
      </c>
      <c r="G94" s="32" t="s">
        <v>34</v>
      </c>
      <c r="H94" s="32" t="s">
        <v>34</v>
      </c>
      <c r="I94" s="32" t="s">
        <v>34</v>
      </c>
      <c r="J94" s="32" t="s">
        <v>34</v>
      </c>
    </row>
    <row r="95" spans="1:10" x14ac:dyDescent="0.3">
      <c r="A95" s="32" t="s">
        <v>214</v>
      </c>
      <c r="B95" s="32">
        <v>7</v>
      </c>
      <c r="C95" s="32" t="s">
        <v>40</v>
      </c>
      <c r="D95" s="32" t="s">
        <v>601</v>
      </c>
      <c r="E95" s="32" t="s">
        <v>26</v>
      </c>
      <c r="F95" s="32" t="s">
        <v>26</v>
      </c>
      <c r="G95" s="32" t="s">
        <v>25</v>
      </c>
      <c r="H95" s="32" t="s">
        <v>25</v>
      </c>
      <c r="I95" s="32" t="s">
        <v>25</v>
      </c>
      <c r="J95" s="32" t="s">
        <v>25</v>
      </c>
    </row>
    <row r="96" spans="1:10" x14ac:dyDescent="0.3">
      <c r="A96" s="32" t="s">
        <v>215</v>
      </c>
      <c r="B96" s="32">
        <v>7</v>
      </c>
      <c r="C96" s="32" t="s">
        <v>40</v>
      </c>
      <c r="D96" s="32" t="s">
        <v>601</v>
      </c>
      <c r="E96" s="32" t="s">
        <v>26</v>
      </c>
      <c r="F96" s="32" t="s">
        <v>26</v>
      </c>
      <c r="G96" s="32" t="s">
        <v>34</v>
      </c>
      <c r="H96" s="32" t="s">
        <v>34</v>
      </c>
      <c r="I96" s="32" t="s">
        <v>34</v>
      </c>
      <c r="J96" s="32" t="s">
        <v>34</v>
      </c>
    </row>
    <row r="97" spans="1:11" x14ac:dyDescent="0.3">
      <c r="A97" s="32" t="s">
        <v>216</v>
      </c>
      <c r="B97" s="32">
        <v>7</v>
      </c>
      <c r="C97" s="32" t="s">
        <v>40</v>
      </c>
      <c r="D97" s="32" t="s">
        <v>598</v>
      </c>
      <c r="E97" s="32" t="s">
        <v>28</v>
      </c>
      <c r="F97" s="32" t="s">
        <v>28</v>
      </c>
      <c r="G97" s="32" t="s">
        <v>25</v>
      </c>
      <c r="H97" s="32" t="s">
        <v>25</v>
      </c>
      <c r="I97" s="32" t="s">
        <v>25</v>
      </c>
      <c r="J97" s="32" t="s">
        <v>25</v>
      </c>
    </row>
    <row r="98" spans="1:11" x14ac:dyDescent="0.3">
      <c r="A98" s="32" t="s">
        <v>217</v>
      </c>
      <c r="B98" s="32">
        <v>7</v>
      </c>
      <c r="C98" s="32" t="s">
        <v>40</v>
      </c>
      <c r="D98" s="32" t="s">
        <v>598</v>
      </c>
      <c r="E98" s="32" t="s">
        <v>28</v>
      </c>
      <c r="F98" s="32" t="s">
        <v>28</v>
      </c>
      <c r="G98" s="32" t="s">
        <v>34</v>
      </c>
      <c r="H98" s="32" t="s">
        <v>34</v>
      </c>
      <c r="I98" s="32" t="s">
        <v>34</v>
      </c>
      <c r="J98" s="32" t="s">
        <v>34</v>
      </c>
    </row>
    <row r="99" spans="1:11" x14ac:dyDescent="0.3">
      <c r="A99" s="32" t="s">
        <v>218</v>
      </c>
      <c r="B99" s="32">
        <v>7</v>
      </c>
      <c r="C99" s="32" t="s">
        <v>40</v>
      </c>
      <c r="D99" s="32" t="s">
        <v>602</v>
      </c>
      <c r="E99" s="32" t="s">
        <v>443</v>
      </c>
      <c r="F99" s="32" t="s">
        <v>443</v>
      </c>
      <c r="G99" s="32" t="s">
        <v>25</v>
      </c>
      <c r="H99" s="32" t="s">
        <v>25</v>
      </c>
      <c r="I99" s="32" t="s">
        <v>25</v>
      </c>
      <c r="J99" s="32" t="s">
        <v>25</v>
      </c>
    </row>
    <row r="100" spans="1:11" x14ac:dyDescent="0.3">
      <c r="A100" s="32" t="s">
        <v>219</v>
      </c>
      <c r="B100" s="32">
        <v>7</v>
      </c>
      <c r="C100" s="32" t="s">
        <v>40</v>
      </c>
      <c r="D100" s="32" t="s">
        <v>602</v>
      </c>
      <c r="E100" s="32" t="s">
        <v>443</v>
      </c>
      <c r="F100" s="32" t="s">
        <v>443</v>
      </c>
      <c r="G100" s="32" t="s">
        <v>34</v>
      </c>
      <c r="H100" s="32" t="s">
        <v>34</v>
      </c>
      <c r="I100" s="32" t="s">
        <v>34</v>
      </c>
      <c r="J100" s="32" t="s">
        <v>34</v>
      </c>
    </row>
    <row r="101" spans="1:11" x14ac:dyDescent="0.3">
      <c r="A101" s="32" t="s">
        <v>96</v>
      </c>
      <c r="B101" s="32">
        <v>7</v>
      </c>
      <c r="C101" s="32" t="s">
        <v>40</v>
      </c>
      <c r="D101" s="32" t="s">
        <v>378</v>
      </c>
      <c r="E101" s="32" t="s">
        <v>378</v>
      </c>
      <c r="F101" s="32" t="s">
        <v>25</v>
      </c>
      <c r="G101" s="32" t="s">
        <v>25</v>
      </c>
      <c r="H101" s="32" t="s">
        <v>25</v>
      </c>
      <c r="I101" s="32" t="s">
        <v>25</v>
      </c>
    </row>
    <row r="102" spans="1:11" x14ac:dyDescent="0.3">
      <c r="A102" s="32" t="s">
        <v>220</v>
      </c>
      <c r="B102" s="32">
        <v>7</v>
      </c>
      <c r="C102" s="32" t="s">
        <v>40</v>
      </c>
      <c r="D102" s="32" t="s">
        <v>378</v>
      </c>
      <c r="E102" s="32" t="s">
        <v>25</v>
      </c>
      <c r="F102" s="32" t="s">
        <v>25</v>
      </c>
      <c r="G102" s="32" t="s">
        <v>25</v>
      </c>
      <c r="H102" s="32" t="s">
        <v>376</v>
      </c>
      <c r="I102" s="32" t="s">
        <v>34</v>
      </c>
      <c r="J102" s="32" t="s">
        <v>34</v>
      </c>
      <c r="K102" s="32" t="s">
        <v>34</v>
      </c>
    </row>
    <row r="103" spans="1:11" x14ac:dyDescent="0.3">
      <c r="A103" s="32" t="s">
        <v>95</v>
      </c>
      <c r="B103" s="32">
        <v>7</v>
      </c>
      <c r="C103" s="32" t="s">
        <v>40</v>
      </c>
      <c r="D103" s="32" t="s">
        <v>378</v>
      </c>
      <c r="E103" s="32" t="s">
        <v>25</v>
      </c>
      <c r="F103" s="32" t="s">
        <v>25</v>
      </c>
      <c r="G103" s="32" t="s">
        <v>377</v>
      </c>
      <c r="H103" s="32" t="s">
        <v>26</v>
      </c>
      <c r="I103" s="32" t="s">
        <v>26</v>
      </c>
    </row>
    <row r="104" spans="1:11" x14ac:dyDescent="0.3">
      <c r="A104" s="32" t="s">
        <v>93</v>
      </c>
      <c r="B104" s="32">
        <v>7</v>
      </c>
      <c r="C104" s="32" t="s">
        <v>40</v>
      </c>
      <c r="D104" s="32" t="s">
        <v>378</v>
      </c>
      <c r="E104" s="32" t="s">
        <v>25</v>
      </c>
      <c r="F104" s="32" t="s">
        <v>25</v>
      </c>
      <c r="G104" s="32" t="s">
        <v>379</v>
      </c>
      <c r="H104" s="32" t="s">
        <v>443</v>
      </c>
      <c r="I104" s="32" t="s">
        <v>443</v>
      </c>
    </row>
    <row r="105" spans="1:11" x14ac:dyDescent="0.3">
      <c r="A105" s="32" t="s">
        <v>91</v>
      </c>
      <c r="B105" s="32">
        <v>7</v>
      </c>
      <c r="C105" s="32" t="s">
        <v>40</v>
      </c>
      <c r="D105" s="32" t="s">
        <v>378</v>
      </c>
      <c r="E105" s="32" t="s">
        <v>25</v>
      </c>
      <c r="F105" s="32" t="s">
        <v>25</v>
      </c>
      <c r="G105" s="32" t="s">
        <v>25</v>
      </c>
      <c r="H105" s="32" t="s">
        <v>25</v>
      </c>
      <c r="I105" s="32" t="s">
        <v>380</v>
      </c>
      <c r="J105" s="32" t="s">
        <v>28</v>
      </c>
      <c r="K105" s="32" t="s">
        <v>28</v>
      </c>
    </row>
    <row r="106" spans="1:11" x14ac:dyDescent="0.3">
      <c r="A106" s="32" t="s">
        <v>89</v>
      </c>
      <c r="B106" s="32">
        <v>7</v>
      </c>
      <c r="C106" s="32" t="s">
        <v>40</v>
      </c>
      <c r="D106" s="32" t="s">
        <v>378</v>
      </c>
      <c r="E106" s="32" t="s">
        <v>25</v>
      </c>
      <c r="F106" s="32" t="s">
        <v>25</v>
      </c>
      <c r="G106" s="32" t="s">
        <v>381</v>
      </c>
      <c r="H106" s="32" t="s">
        <v>444</v>
      </c>
      <c r="I106" s="32" t="s">
        <v>444</v>
      </c>
    </row>
    <row r="107" spans="1:11" x14ac:dyDescent="0.3">
      <c r="A107" s="32" t="s">
        <v>70</v>
      </c>
      <c r="B107" s="32">
        <v>7</v>
      </c>
      <c r="C107" s="32" t="s">
        <v>40</v>
      </c>
      <c r="D107" s="32" t="s">
        <v>376</v>
      </c>
      <c r="E107" s="32" t="s">
        <v>376</v>
      </c>
      <c r="F107" s="32" t="s">
        <v>34</v>
      </c>
      <c r="G107" s="32" t="s">
        <v>34</v>
      </c>
      <c r="H107" s="32" t="s">
        <v>34</v>
      </c>
      <c r="I107" s="32" t="s">
        <v>34</v>
      </c>
      <c r="J107" s="32" t="s">
        <v>34</v>
      </c>
      <c r="K107" s="32" t="s">
        <v>34</v>
      </c>
    </row>
    <row r="108" spans="1:11" x14ac:dyDescent="0.3">
      <c r="A108" s="32" t="s">
        <v>75</v>
      </c>
      <c r="B108" s="32">
        <v>7</v>
      </c>
      <c r="C108" s="32" t="s">
        <v>40</v>
      </c>
      <c r="D108" s="32" t="s">
        <v>376</v>
      </c>
      <c r="E108" s="32" t="s">
        <v>34</v>
      </c>
      <c r="F108" s="32" t="s">
        <v>34</v>
      </c>
      <c r="G108" s="32" t="s">
        <v>377</v>
      </c>
      <c r="H108" s="32" t="s">
        <v>26</v>
      </c>
      <c r="I108" s="32" t="s">
        <v>26</v>
      </c>
    </row>
    <row r="109" spans="1:11" x14ac:dyDescent="0.3">
      <c r="A109" s="32" t="s">
        <v>221</v>
      </c>
      <c r="B109" s="32">
        <v>7</v>
      </c>
      <c r="C109" s="32" t="s">
        <v>40</v>
      </c>
      <c r="D109" s="32" t="s">
        <v>376</v>
      </c>
      <c r="E109" s="32" t="s">
        <v>34</v>
      </c>
      <c r="F109" s="32" t="s">
        <v>34</v>
      </c>
      <c r="G109" s="32" t="s">
        <v>379</v>
      </c>
      <c r="H109" s="32" t="s">
        <v>443</v>
      </c>
      <c r="I109" s="32" t="s">
        <v>443</v>
      </c>
    </row>
    <row r="110" spans="1:11" x14ac:dyDescent="0.3">
      <c r="A110" s="32" t="s">
        <v>72</v>
      </c>
      <c r="B110" s="32">
        <v>7</v>
      </c>
      <c r="C110" s="32" t="s">
        <v>40</v>
      </c>
      <c r="D110" s="32" t="s">
        <v>376</v>
      </c>
      <c r="E110" s="32" t="s">
        <v>34</v>
      </c>
      <c r="F110" s="32" t="s">
        <v>34</v>
      </c>
      <c r="G110" s="32" t="s">
        <v>380</v>
      </c>
      <c r="H110" s="32" t="s">
        <v>28</v>
      </c>
      <c r="I110" s="32" t="s">
        <v>28</v>
      </c>
    </row>
    <row r="111" spans="1:11" x14ac:dyDescent="0.3">
      <c r="A111" s="32" t="s">
        <v>69</v>
      </c>
      <c r="B111" s="32">
        <v>7</v>
      </c>
      <c r="C111" s="32" t="s">
        <v>40</v>
      </c>
      <c r="D111" s="32" t="s">
        <v>376</v>
      </c>
      <c r="E111" s="32" t="s">
        <v>34</v>
      </c>
      <c r="F111" s="32" t="s">
        <v>34</v>
      </c>
      <c r="G111" s="32" t="s">
        <v>381</v>
      </c>
      <c r="H111" s="32" t="s">
        <v>444</v>
      </c>
      <c r="I111" s="32" t="s">
        <v>444</v>
      </c>
    </row>
    <row r="112" spans="1:11" x14ac:dyDescent="0.3">
      <c r="A112" s="32" t="s">
        <v>83</v>
      </c>
      <c r="B112" s="32">
        <v>7</v>
      </c>
      <c r="C112" s="32" t="s">
        <v>40</v>
      </c>
      <c r="D112" s="32" t="s">
        <v>377</v>
      </c>
      <c r="E112" s="32" t="s">
        <v>377</v>
      </c>
      <c r="F112" s="32" t="s">
        <v>26</v>
      </c>
      <c r="G112" s="32" t="s">
        <v>26</v>
      </c>
      <c r="H112" s="32" t="s">
        <v>26</v>
      </c>
      <c r="I112" s="32" t="s">
        <v>26</v>
      </c>
    </row>
    <row r="113" spans="1:11" x14ac:dyDescent="0.3">
      <c r="A113" s="32" t="s">
        <v>222</v>
      </c>
      <c r="B113" s="32">
        <v>7</v>
      </c>
      <c r="C113" s="32" t="s">
        <v>40</v>
      </c>
      <c r="D113" s="32" t="s">
        <v>377</v>
      </c>
      <c r="E113" s="32" t="s">
        <v>26</v>
      </c>
      <c r="F113" s="32" t="s">
        <v>26</v>
      </c>
      <c r="G113" s="32" t="s">
        <v>379</v>
      </c>
      <c r="H113" s="32" t="s">
        <v>443</v>
      </c>
      <c r="I113" s="32" t="s">
        <v>443</v>
      </c>
    </row>
    <row r="114" spans="1:11" x14ac:dyDescent="0.3">
      <c r="A114" s="32" t="s">
        <v>223</v>
      </c>
      <c r="B114" s="32">
        <v>7</v>
      </c>
      <c r="C114" s="32" t="s">
        <v>40</v>
      </c>
      <c r="D114" s="32" t="s">
        <v>377</v>
      </c>
      <c r="E114" s="32" t="s">
        <v>26</v>
      </c>
      <c r="F114" s="32" t="s">
        <v>26</v>
      </c>
      <c r="G114" s="32" t="s">
        <v>380</v>
      </c>
      <c r="H114" s="32" t="s">
        <v>28</v>
      </c>
      <c r="I114" s="32" t="s">
        <v>28</v>
      </c>
    </row>
    <row r="115" spans="1:11" x14ac:dyDescent="0.3">
      <c r="A115" s="32" t="s">
        <v>224</v>
      </c>
      <c r="B115" s="32">
        <v>7</v>
      </c>
      <c r="C115" s="32" t="s">
        <v>40</v>
      </c>
      <c r="D115" s="32" t="s">
        <v>377</v>
      </c>
      <c r="E115" s="32" t="s">
        <v>26</v>
      </c>
      <c r="F115" s="32" t="s">
        <v>26</v>
      </c>
      <c r="G115" s="32" t="s">
        <v>381</v>
      </c>
      <c r="H115" s="32" t="s">
        <v>444</v>
      </c>
      <c r="I115" s="32" t="s">
        <v>444</v>
      </c>
    </row>
    <row r="116" spans="1:11" x14ac:dyDescent="0.3">
      <c r="A116" s="32" t="s">
        <v>80</v>
      </c>
      <c r="B116" s="32">
        <v>7</v>
      </c>
      <c r="C116" s="32" t="s">
        <v>40</v>
      </c>
      <c r="D116" s="32" t="s">
        <v>379</v>
      </c>
      <c r="E116" s="32" t="s">
        <v>443</v>
      </c>
      <c r="F116" s="32" t="s">
        <v>379</v>
      </c>
      <c r="G116" s="32" t="s">
        <v>443</v>
      </c>
      <c r="H116" s="32" t="s">
        <v>443</v>
      </c>
      <c r="I116" s="32" t="s">
        <v>443</v>
      </c>
    </row>
    <row r="117" spans="1:11" x14ac:dyDescent="0.3">
      <c r="A117" s="32" t="s">
        <v>225</v>
      </c>
      <c r="B117" s="32">
        <v>7</v>
      </c>
      <c r="C117" s="32" t="s">
        <v>40</v>
      </c>
      <c r="D117" s="32" t="s">
        <v>379</v>
      </c>
      <c r="E117" s="32" t="s">
        <v>443</v>
      </c>
      <c r="F117" s="32" t="s">
        <v>443</v>
      </c>
      <c r="G117" s="32" t="s">
        <v>443</v>
      </c>
      <c r="H117" s="32" t="s">
        <v>380</v>
      </c>
      <c r="I117" s="32" t="s">
        <v>28</v>
      </c>
      <c r="J117" s="32" t="s">
        <v>28</v>
      </c>
      <c r="K117" s="32" t="s">
        <v>28</v>
      </c>
    </row>
    <row r="118" spans="1:11" x14ac:dyDescent="0.3">
      <c r="A118" s="32" t="s">
        <v>226</v>
      </c>
      <c r="B118" s="32">
        <v>7</v>
      </c>
      <c r="C118" s="32" t="s">
        <v>40</v>
      </c>
      <c r="D118" s="32" t="s">
        <v>379</v>
      </c>
      <c r="E118" s="32" t="s">
        <v>443</v>
      </c>
      <c r="F118" s="32" t="s">
        <v>381</v>
      </c>
      <c r="G118" s="32" t="s">
        <v>444</v>
      </c>
    </row>
    <row r="119" spans="1:11" x14ac:dyDescent="0.3">
      <c r="A119" s="32" t="s">
        <v>77</v>
      </c>
      <c r="B119" s="32">
        <v>7</v>
      </c>
      <c r="C119" s="32" t="s">
        <v>40</v>
      </c>
      <c r="D119" s="32" t="s">
        <v>380</v>
      </c>
      <c r="E119" s="32" t="s">
        <v>380</v>
      </c>
      <c r="F119" s="32" t="s">
        <v>28</v>
      </c>
      <c r="G119" s="32" t="s">
        <v>28</v>
      </c>
      <c r="H119" s="32" t="s">
        <v>28</v>
      </c>
      <c r="I119" s="32" t="s">
        <v>28</v>
      </c>
    </row>
    <row r="120" spans="1:11" x14ac:dyDescent="0.3">
      <c r="A120" s="32" t="s">
        <v>227</v>
      </c>
      <c r="B120" s="32">
        <v>7</v>
      </c>
      <c r="C120" s="32" t="s">
        <v>40</v>
      </c>
      <c r="D120" s="32" t="s">
        <v>380</v>
      </c>
      <c r="E120" s="32" t="s">
        <v>28</v>
      </c>
      <c r="F120" s="32" t="s">
        <v>28</v>
      </c>
      <c r="G120" s="32" t="s">
        <v>381</v>
      </c>
      <c r="H120" s="32" t="s">
        <v>444</v>
      </c>
      <c r="I120" s="32" t="s">
        <v>444</v>
      </c>
    </row>
    <row r="121" spans="1:11" x14ac:dyDescent="0.3">
      <c r="A121" s="32" t="s">
        <v>228</v>
      </c>
      <c r="B121" s="32">
        <v>7</v>
      </c>
      <c r="C121" s="32" t="s">
        <v>40</v>
      </c>
      <c r="D121" s="32" t="s">
        <v>381</v>
      </c>
      <c r="E121" s="32" t="s">
        <v>381</v>
      </c>
      <c r="F121" s="32" t="s">
        <v>444</v>
      </c>
      <c r="G121" s="32" t="s">
        <v>444</v>
      </c>
      <c r="H121" s="32" t="s">
        <v>444</v>
      </c>
      <c r="I121" s="32" t="s">
        <v>444</v>
      </c>
    </row>
    <row r="122" spans="1:11" x14ac:dyDescent="0.3">
      <c r="A122" s="32" t="s">
        <v>480</v>
      </c>
      <c r="B122" s="32">
        <v>7</v>
      </c>
      <c r="C122" s="32" t="s">
        <v>40</v>
      </c>
      <c r="D122" s="32" t="s">
        <v>600</v>
      </c>
      <c r="E122" s="32" t="s">
        <v>25</v>
      </c>
      <c r="F122" s="32" t="s">
        <v>25</v>
      </c>
      <c r="G122" s="32" t="s">
        <v>600</v>
      </c>
    </row>
    <row r="123" spans="1:11" x14ac:dyDescent="0.3">
      <c r="A123" s="32" t="s">
        <v>481</v>
      </c>
      <c r="B123" s="32">
        <v>7</v>
      </c>
      <c r="C123" s="32" t="s">
        <v>40</v>
      </c>
      <c r="D123" s="32" t="s">
        <v>600</v>
      </c>
      <c r="E123" s="32" t="s">
        <v>25</v>
      </c>
      <c r="F123" s="32" t="s">
        <v>25</v>
      </c>
      <c r="G123" s="32" t="s">
        <v>597</v>
      </c>
      <c r="H123" s="32" t="s">
        <v>34</v>
      </c>
      <c r="I123" s="32" t="s">
        <v>34</v>
      </c>
    </row>
    <row r="124" spans="1:11" x14ac:dyDescent="0.3">
      <c r="A124" s="32" t="s">
        <v>482</v>
      </c>
      <c r="B124" s="32">
        <v>7</v>
      </c>
      <c r="C124" s="32" t="s">
        <v>40</v>
      </c>
      <c r="D124" s="32" t="s">
        <v>600</v>
      </c>
      <c r="E124" s="32" t="s">
        <v>601</v>
      </c>
      <c r="F124" s="32" t="s">
        <v>26</v>
      </c>
      <c r="G124" s="32" t="s">
        <v>26</v>
      </c>
    </row>
    <row r="125" spans="1:11" x14ac:dyDescent="0.3">
      <c r="A125" s="32" t="s">
        <v>483</v>
      </c>
      <c r="B125" s="32">
        <v>7</v>
      </c>
      <c r="C125" s="32" t="s">
        <v>40</v>
      </c>
      <c r="D125" s="32" t="s">
        <v>600</v>
      </c>
      <c r="E125" s="32" t="s">
        <v>602</v>
      </c>
      <c r="F125" s="32" t="s">
        <v>443</v>
      </c>
      <c r="G125" s="32" t="s">
        <v>443</v>
      </c>
    </row>
    <row r="126" spans="1:11" x14ac:dyDescent="0.3">
      <c r="A126" s="32" t="s">
        <v>484</v>
      </c>
      <c r="B126" s="32">
        <v>7</v>
      </c>
      <c r="C126" s="32" t="s">
        <v>40</v>
      </c>
      <c r="D126" s="32" t="s">
        <v>600</v>
      </c>
      <c r="E126" s="32" t="s">
        <v>25</v>
      </c>
      <c r="F126" s="32" t="s">
        <v>25</v>
      </c>
      <c r="G126" s="32" t="s">
        <v>598</v>
      </c>
      <c r="H126" s="32" t="s">
        <v>28</v>
      </c>
      <c r="I126" s="32" t="s">
        <v>28</v>
      </c>
    </row>
    <row r="127" spans="1:11" x14ac:dyDescent="0.3">
      <c r="A127" s="32" t="s">
        <v>485</v>
      </c>
      <c r="B127" s="32">
        <v>7</v>
      </c>
      <c r="C127" s="32" t="s">
        <v>40</v>
      </c>
      <c r="D127" s="32" t="s">
        <v>600</v>
      </c>
      <c r="E127" s="32" t="s">
        <v>599</v>
      </c>
      <c r="F127" s="32" t="s">
        <v>444</v>
      </c>
      <c r="G127" s="32" t="s">
        <v>444</v>
      </c>
    </row>
    <row r="128" spans="1:11" x14ac:dyDescent="0.3">
      <c r="A128" s="32" t="s">
        <v>486</v>
      </c>
      <c r="B128" s="32">
        <v>7</v>
      </c>
      <c r="C128" s="32" t="s">
        <v>40</v>
      </c>
      <c r="D128" s="32" t="s">
        <v>597</v>
      </c>
      <c r="E128" s="32" t="s">
        <v>597</v>
      </c>
      <c r="F128" s="32" t="s">
        <v>34</v>
      </c>
      <c r="G128" s="32" t="s">
        <v>34</v>
      </c>
      <c r="H128" s="32" t="s">
        <v>34</v>
      </c>
      <c r="I128" s="32" t="s">
        <v>34</v>
      </c>
    </row>
    <row r="129" spans="1:14" x14ac:dyDescent="0.3">
      <c r="A129" s="32" t="s">
        <v>487</v>
      </c>
      <c r="B129" s="32">
        <v>7</v>
      </c>
      <c r="C129" s="32" t="s">
        <v>40</v>
      </c>
      <c r="D129" s="32" t="s">
        <v>597</v>
      </c>
      <c r="E129" s="32" t="s">
        <v>601</v>
      </c>
      <c r="F129" s="32" t="s">
        <v>26</v>
      </c>
      <c r="G129" s="32" t="s">
        <v>26</v>
      </c>
    </row>
    <row r="130" spans="1:14" x14ac:dyDescent="0.3">
      <c r="A130" s="32" t="s">
        <v>488</v>
      </c>
      <c r="B130" s="32">
        <v>7</v>
      </c>
      <c r="C130" s="32" t="s">
        <v>40</v>
      </c>
      <c r="D130" s="32" t="s">
        <v>597</v>
      </c>
      <c r="E130" s="32" t="s">
        <v>602</v>
      </c>
      <c r="F130" s="32" t="s">
        <v>443</v>
      </c>
      <c r="G130" s="32" t="s">
        <v>443</v>
      </c>
    </row>
    <row r="131" spans="1:14" x14ac:dyDescent="0.3">
      <c r="A131" s="32" t="s">
        <v>489</v>
      </c>
      <c r="B131" s="32">
        <v>7</v>
      </c>
      <c r="C131" s="32" t="s">
        <v>40</v>
      </c>
      <c r="D131" s="32" t="s">
        <v>597</v>
      </c>
      <c r="E131" s="32" t="s">
        <v>598</v>
      </c>
      <c r="F131" s="32" t="s">
        <v>28</v>
      </c>
      <c r="G131" s="32" t="s">
        <v>28</v>
      </c>
    </row>
    <row r="132" spans="1:14" x14ac:dyDescent="0.3">
      <c r="A132" s="32" t="s">
        <v>490</v>
      </c>
      <c r="B132" s="32">
        <v>7</v>
      </c>
      <c r="C132" s="32" t="s">
        <v>40</v>
      </c>
      <c r="D132" s="32" t="s">
        <v>597</v>
      </c>
      <c r="E132" s="32" t="s">
        <v>599</v>
      </c>
      <c r="F132" s="32" t="s">
        <v>444</v>
      </c>
      <c r="G132" s="32" t="s">
        <v>444</v>
      </c>
    </row>
    <row r="133" spans="1:14" x14ac:dyDescent="0.3">
      <c r="A133" s="32" t="s">
        <v>491</v>
      </c>
      <c r="B133" s="32">
        <v>7</v>
      </c>
      <c r="C133" s="32" t="s">
        <v>40</v>
      </c>
      <c r="D133" s="32" t="s">
        <v>601</v>
      </c>
      <c r="E133" s="32" t="s">
        <v>601</v>
      </c>
      <c r="F133" s="32" t="s">
        <v>26</v>
      </c>
      <c r="G133" s="32" t="s">
        <v>26</v>
      </c>
    </row>
    <row r="134" spans="1:14" x14ac:dyDescent="0.3">
      <c r="A134" s="32" t="s">
        <v>492</v>
      </c>
      <c r="B134" s="32">
        <v>7</v>
      </c>
      <c r="C134" s="32" t="s">
        <v>40</v>
      </c>
      <c r="D134" s="32" t="s">
        <v>601</v>
      </c>
      <c r="E134" s="32" t="s">
        <v>602</v>
      </c>
    </row>
    <row r="135" spans="1:14" x14ac:dyDescent="0.3">
      <c r="A135" s="32" t="s">
        <v>493</v>
      </c>
      <c r="B135" s="32">
        <v>7</v>
      </c>
      <c r="C135" s="32" t="s">
        <v>40</v>
      </c>
      <c r="D135" s="32" t="s">
        <v>601</v>
      </c>
      <c r="E135" s="32" t="s">
        <v>598</v>
      </c>
    </row>
    <row r="136" spans="1:14" x14ac:dyDescent="0.3">
      <c r="A136" s="32" t="s">
        <v>494</v>
      </c>
      <c r="B136" s="32">
        <v>7</v>
      </c>
      <c r="C136" s="32" t="s">
        <v>40</v>
      </c>
      <c r="D136" s="32" t="s">
        <v>601</v>
      </c>
      <c r="E136" s="32" t="s">
        <v>599</v>
      </c>
    </row>
    <row r="137" spans="1:14" x14ac:dyDescent="0.3">
      <c r="A137" s="32" t="s">
        <v>495</v>
      </c>
      <c r="B137" s="32">
        <v>7</v>
      </c>
      <c r="C137" s="32" t="s">
        <v>40</v>
      </c>
      <c r="D137" s="32" t="s">
        <v>602</v>
      </c>
      <c r="E137" s="32" t="s">
        <v>602</v>
      </c>
    </row>
    <row r="138" spans="1:14" x14ac:dyDescent="0.3">
      <c r="A138" s="32" t="s">
        <v>496</v>
      </c>
      <c r="B138" s="32">
        <v>7</v>
      </c>
      <c r="C138" s="32" t="s">
        <v>40</v>
      </c>
      <c r="D138" s="32" t="s">
        <v>602</v>
      </c>
      <c r="E138" s="32" t="s">
        <v>598</v>
      </c>
    </row>
    <row r="139" spans="1:14" x14ac:dyDescent="0.3">
      <c r="A139" s="32" t="s">
        <v>497</v>
      </c>
      <c r="B139" s="32">
        <v>7</v>
      </c>
      <c r="C139" s="32" t="s">
        <v>40</v>
      </c>
      <c r="D139" s="32" t="s">
        <v>602</v>
      </c>
      <c r="E139" s="32" t="s">
        <v>599</v>
      </c>
    </row>
    <row r="140" spans="1:14" x14ac:dyDescent="0.3">
      <c r="A140" s="32" t="s">
        <v>498</v>
      </c>
      <c r="B140" s="32">
        <v>7</v>
      </c>
      <c r="C140" s="32" t="s">
        <v>40</v>
      </c>
      <c r="D140" s="32" t="s">
        <v>598</v>
      </c>
      <c r="E140" s="32" t="s">
        <v>598</v>
      </c>
      <c r="F140" s="32" t="s">
        <v>28</v>
      </c>
      <c r="G140" s="32" t="s">
        <v>28</v>
      </c>
    </row>
    <row r="141" spans="1:14" x14ac:dyDescent="0.3">
      <c r="A141" s="32" t="s">
        <v>499</v>
      </c>
      <c r="B141" s="32">
        <v>7</v>
      </c>
      <c r="C141" s="32" t="s">
        <v>40</v>
      </c>
      <c r="D141" s="32" t="s">
        <v>598</v>
      </c>
      <c r="E141" s="32" t="s">
        <v>599</v>
      </c>
    </row>
    <row r="142" spans="1:14" x14ac:dyDescent="0.3">
      <c r="A142" s="32" t="s">
        <v>500</v>
      </c>
      <c r="B142" s="32">
        <v>7</v>
      </c>
      <c r="C142" s="32" t="s">
        <v>40</v>
      </c>
      <c r="D142" s="32" t="s">
        <v>599</v>
      </c>
      <c r="E142" s="32" t="s">
        <v>444</v>
      </c>
      <c r="F142" s="32" t="s">
        <v>599</v>
      </c>
      <c r="G142" s="32" t="s">
        <v>444</v>
      </c>
    </row>
    <row r="143" spans="1:14" x14ac:dyDescent="0.3">
      <c r="A143" s="32" t="s">
        <v>229</v>
      </c>
      <c r="B143" s="32">
        <v>7</v>
      </c>
      <c r="C143" s="32" t="s">
        <v>40</v>
      </c>
      <c r="D143" s="32" t="s">
        <v>378</v>
      </c>
      <c r="E143" s="32" t="s">
        <v>25</v>
      </c>
      <c r="F143" s="32" t="s">
        <v>378</v>
      </c>
      <c r="G143" s="32" t="s">
        <v>25</v>
      </c>
      <c r="H143" s="32" t="s">
        <v>25</v>
      </c>
      <c r="I143" s="32" t="s">
        <v>25</v>
      </c>
      <c r="J143" s="32" t="s">
        <v>25</v>
      </c>
      <c r="K143" s="32" t="s">
        <v>25</v>
      </c>
      <c r="L143" s="32" t="s">
        <v>25</v>
      </c>
      <c r="M143" s="32" t="s">
        <v>25</v>
      </c>
      <c r="N143" s="32" t="s">
        <v>25</v>
      </c>
    </row>
    <row r="144" spans="1:14" x14ac:dyDescent="0.3">
      <c r="A144" s="32" t="s">
        <v>230</v>
      </c>
      <c r="B144" s="32">
        <v>7</v>
      </c>
      <c r="C144" s="32" t="s">
        <v>40</v>
      </c>
      <c r="D144" s="32" t="s">
        <v>378</v>
      </c>
      <c r="E144" s="32" t="s">
        <v>25</v>
      </c>
      <c r="F144" s="32" t="s">
        <v>25</v>
      </c>
      <c r="G144" s="32" t="s">
        <v>25</v>
      </c>
      <c r="H144" s="32" t="s">
        <v>376</v>
      </c>
      <c r="I144" s="32" t="s">
        <v>34</v>
      </c>
      <c r="J144" s="32" t="s">
        <v>34</v>
      </c>
      <c r="K144" s="32" t="s">
        <v>34</v>
      </c>
      <c r="L144" s="32" t="s">
        <v>34</v>
      </c>
      <c r="M144" s="32" t="s">
        <v>34</v>
      </c>
      <c r="N144" s="32" t="s">
        <v>34</v>
      </c>
    </row>
    <row r="145" spans="1:16" x14ac:dyDescent="0.3">
      <c r="A145" s="32" t="s">
        <v>231</v>
      </c>
      <c r="B145" s="32">
        <v>7</v>
      </c>
      <c r="C145" s="32" t="s">
        <v>40</v>
      </c>
      <c r="D145" s="32" t="s">
        <v>378</v>
      </c>
      <c r="E145" s="32" t="s">
        <v>25</v>
      </c>
      <c r="F145" s="32" t="s">
        <v>25</v>
      </c>
      <c r="G145" s="32" t="s">
        <v>25</v>
      </c>
      <c r="H145" s="32" t="s">
        <v>25</v>
      </c>
      <c r="I145" s="32" t="s">
        <v>377</v>
      </c>
      <c r="J145" s="32" t="s">
        <v>26</v>
      </c>
      <c r="K145" s="32" t="s">
        <v>26</v>
      </c>
      <c r="L145" s="32" t="s">
        <v>26</v>
      </c>
      <c r="M145" s="32" t="s">
        <v>26</v>
      </c>
    </row>
    <row r="146" spans="1:16" x14ac:dyDescent="0.3">
      <c r="A146" s="32" t="s">
        <v>232</v>
      </c>
      <c r="B146" s="32">
        <v>7</v>
      </c>
      <c r="C146" s="32" t="s">
        <v>40</v>
      </c>
      <c r="D146" s="32" t="s">
        <v>378</v>
      </c>
      <c r="E146" s="32" t="s">
        <v>25</v>
      </c>
      <c r="F146" s="32" t="s">
        <v>25</v>
      </c>
      <c r="G146" s="32" t="s">
        <v>25</v>
      </c>
      <c r="H146" s="32" t="s">
        <v>25</v>
      </c>
      <c r="I146" s="32" t="s">
        <v>379</v>
      </c>
      <c r="J146" s="32" t="s">
        <v>443</v>
      </c>
      <c r="K146" s="32" t="s">
        <v>443</v>
      </c>
      <c r="L146" s="32" t="s">
        <v>443</v>
      </c>
      <c r="M146" s="32" t="s">
        <v>443</v>
      </c>
      <c r="N146" s="32" t="s">
        <v>443</v>
      </c>
      <c r="O146" s="32" t="s">
        <v>443</v>
      </c>
    </row>
    <row r="147" spans="1:16" x14ac:dyDescent="0.3">
      <c r="A147" s="32" t="s">
        <v>51</v>
      </c>
      <c r="B147" s="32">
        <v>7</v>
      </c>
      <c r="C147" s="32" t="s">
        <v>40</v>
      </c>
      <c r="D147" s="32" t="s">
        <v>378</v>
      </c>
      <c r="E147" s="32" t="s">
        <v>25</v>
      </c>
      <c r="F147" s="32" t="s">
        <v>25</v>
      </c>
      <c r="G147" s="32" t="s">
        <v>25</v>
      </c>
      <c r="H147" s="32" t="s">
        <v>25</v>
      </c>
      <c r="I147" s="32" t="s">
        <v>380</v>
      </c>
      <c r="J147" s="32" t="s">
        <v>28</v>
      </c>
      <c r="K147" s="32" t="s">
        <v>28</v>
      </c>
      <c r="L147" s="32" t="s">
        <v>28</v>
      </c>
      <c r="M147" s="32" t="s">
        <v>28</v>
      </c>
      <c r="N147" s="32" t="s">
        <v>28</v>
      </c>
      <c r="O147" s="32" t="s">
        <v>28</v>
      </c>
    </row>
    <row r="148" spans="1:16" x14ac:dyDescent="0.3">
      <c r="A148" s="32" t="s">
        <v>233</v>
      </c>
      <c r="B148" s="32">
        <v>7</v>
      </c>
      <c r="C148" s="32" t="s">
        <v>40</v>
      </c>
      <c r="D148" s="32" t="s">
        <v>378</v>
      </c>
      <c r="E148" s="32" t="s">
        <v>25</v>
      </c>
      <c r="F148" s="32" t="s">
        <v>25</v>
      </c>
      <c r="G148" s="32" t="s">
        <v>25</v>
      </c>
      <c r="H148" s="32" t="s">
        <v>25</v>
      </c>
      <c r="I148" s="32" t="s">
        <v>381</v>
      </c>
      <c r="J148" s="32" t="s">
        <v>444</v>
      </c>
      <c r="K148" s="32" t="s">
        <v>444</v>
      </c>
      <c r="L148" s="32" t="s">
        <v>444</v>
      </c>
      <c r="M148" s="32" t="s">
        <v>444</v>
      </c>
    </row>
    <row r="149" spans="1:16" x14ac:dyDescent="0.3">
      <c r="A149" s="32" t="s">
        <v>234</v>
      </c>
      <c r="B149" s="32">
        <v>7</v>
      </c>
      <c r="C149" s="32" t="s">
        <v>40</v>
      </c>
      <c r="D149" s="32" t="s">
        <v>376</v>
      </c>
      <c r="E149" s="32" t="s">
        <v>34</v>
      </c>
      <c r="F149" s="32" t="s">
        <v>376</v>
      </c>
      <c r="G149" s="32" t="s">
        <v>34</v>
      </c>
      <c r="H149" s="32" t="s">
        <v>34</v>
      </c>
      <c r="I149" s="32" t="s">
        <v>34</v>
      </c>
      <c r="J149" s="32" t="s">
        <v>34</v>
      </c>
      <c r="K149" s="32" t="s">
        <v>34</v>
      </c>
      <c r="L149" s="32" t="s">
        <v>34</v>
      </c>
      <c r="M149" s="32" t="s">
        <v>34</v>
      </c>
      <c r="N149" s="32" t="s">
        <v>34</v>
      </c>
    </row>
    <row r="150" spans="1:16" x14ac:dyDescent="0.3">
      <c r="A150" s="32" t="s">
        <v>235</v>
      </c>
      <c r="B150" s="32">
        <v>7</v>
      </c>
      <c r="C150" s="32" t="s">
        <v>40</v>
      </c>
      <c r="D150" s="32" t="s">
        <v>376</v>
      </c>
      <c r="E150" s="32" t="s">
        <v>34</v>
      </c>
      <c r="F150" s="32" t="s">
        <v>34</v>
      </c>
      <c r="G150" s="32" t="s">
        <v>34</v>
      </c>
      <c r="H150" s="32" t="s">
        <v>34</v>
      </c>
      <c r="I150" s="32" t="s">
        <v>377</v>
      </c>
      <c r="J150" s="32" t="s">
        <v>26</v>
      </c>
      <c r="K150" s="32" t="s">
        <v>26</v>
      </c>
    </row>
    <row r="151" spans="1:16" x14ac:dyDescent="0.3">
      <c r="A151" s="32" t="s">
        <v>236</v>
      </c>
      <c r="B151" s="32">
        <v>7</v>
      </c>
      <c r="C151" s="32" t="s">
        <v>40</v>
      </c>
      <c r="D151" s="32" t="s">
        <v>376</v>
      </c>
      <c r="E151" s="32" t="s">
        <v>34</v>
      </c>
      <c r="F151" s="32" t="s">
        <v>34</v>
      </c>
      <c r="G151" s="32" t="s">
        <v>34</v>
      </c>
      <c r="H151" s="32" t="s">
        <v>34</v>
      </c>
      <c r="I151" s="32" t="s">
        <v>379</v>
      </c>
      <c r="J151" s="32" t="s">
        <v>443</v>
      </c>
      <c r="K151" s="32" t="s">
        <v>443</v>
      </c>
      <c r="L151" s="32" t="s">
        <v>443</v>
      </c>
      <c r="M151" s="32" t="s">
        <v>443</v>
      </c>
    </row>
    <row r="152" spans="1:16" x14ac:dyDescent="0.3">
      <c r="A152" s="32" t="s">
        <v>237</v>
      </c>
      <c r="B152" s="32">
        <v>7</v>
      </c>
      <c r="C152" s="32" t="s">
        <v>40</v>
      </c>
      <c r="D152" s="32" t="s">
        <v>376</v>
      </c>
      <c r="E152" s="32" t="s">
        <v>34</v>
      </c>
      <c r="F152" s="32" t="s">
        <v>34</v>
      </c>
      <c r="G152" s="32" t="s">
        <v>34</v>
      </c>
      <c r="H152" s="32" t="s">
        <v>34</v>
      </c>
      <c r="I152" s="32" t="s">
        <v>380</v>
      </c>
      <c r="J152" s="32" t="s">
        <v>28</v>
      </c>
      <c r="K152" s="32" t="s">
        <v>28</v>
      </c>
      <c r="L152" s="32" t="s">
        <v>28</v>
      </c>
      <c r="M152" s="32" t="s">
        <v>28</v>
      </c>
    </row>
    <row r="153" spans="1:16" x14ac:dyDescent="0.3">
      <c r="A153" s="32" t="s">
        <v>238</v>
      </c>
      <c r="B153" s="32">
        <v>7</v>
      </c>
      <c r="C153" s="32" t="s">
        <v>40</v>
      </c>
      <c r="D153" s="32" t="s">
        <v>376</v>
      </c>
      <c r="E153" s="32" t="s">
        <v>34</v>
      </c>
      <c r="F153" s="32" t="s">
        <v>34</v>
      </c>
      <c r="G153" s="32" t="s">
        <v>34</v>
      </c>
      <c r="H153" s="32" t="s">
        <v>34</v>
      </c>
      <c r="I153" s="32" t="s">
        <v>381</v>
      </c>
      <c r="J153" s="32" t="s">
        <v>444</v>
      </c>
      <c r="K153" s="32" t="s">
        <v>444</v>
      </c>
      <c r="L153" s="32" t="s">
        <v>444</v>
      </c>
      <c r="M153" s="32" t="s">
        <v>444</v>
      </c>
    </row>
    <row r="154" spans="1:16" x14ac:dyDescent="0.3">
      <c r="A154" s="32" t="s">
        <v>239</v>
      </c>
      <c r="B154" s="32">
        <v>7</v>
      </c>
      <c r="C154" s="32" t="s">
        <v>40</v>
      </c>
      <c r="D154" s="32" t="s">
        <v>377</v>
      </c>
      <c r="E154" s="32" t="s">
        <v>26</v>
      </c>
      <c r="F154" s="32" t="s">
        <v>377</v>
      </c>
      <c r="G154" s="32" t="s">
        <v>26</v>
      </c>
      <c r="H154" s="32" t="s">
        <v>26</v>
      </c>
      <c r="I154" s="32" t="s">
        <v>26</v>
      </c>
      <c r="J154" s="32" t="s">
        <v>26</v>
      </c>
      <c r="K154" s="32" t="s">
        <v>26</v>
      </c>
      <c r="L154" s="32" t="s">
        <v>26</v>
      </c>
      <c r="M154" s="32" t="s">
        <v>26</v>
      </c>
      <c r="N154" s="32" t="s">
        <v>26</v>
      </c>
      <c r="O154" s="32" t="s">
        <v>26</v>
      </c>
      <c r="P154" s="32" t="s">
        <v>26</v>
      </c>
    </row>
    <row r="155" spans="1:16" x14ac:dyDescent="0.3">
      <c r="A155" s="32" t="s">
        <v>240</v>
      </c>
      <c r="B155" s="32">
        <v>7</v>
      </c>
      <c r="C155" s="32" t="s">
        <v>40</v>
      </c>
      <c r="D155" s="32" t="s">
        <v>377</v>
      </c>
      <c r="E155" s="32" t="s">
        <v>26</v>
      </c>
      <c r="F155" s="32" t="s">
        <v>26</v>
      </c>
      <c r="G155" s="32" t="s">
        <v>26</v>
      </c>
      <c r="H155" s="32" t="s">
        <v>379</v>
      </c>
      <c r="I155" s="32" t="s">
        <v>443</v>
      </c>
      <c r="J155" s="32" t="s">
        <v>443</v>
      </c>
      <c r="K155" s="32" t="s">
        <v>443</v>
      </c>
      <c r="L155" s="32" t="s">
        <v>443</v>
      </c>
      <c r="M155" s="32" t="s">
        <v>443</v>
      </c>
      <c r="N155" s="32" t="s">
        <v>443</v>
      </c>
      <c r="O155" s="32" t="s">
        <v>443</v>
      </c>
    </row>
    <row r="156" spans="1:16" x14ac:dyDescent="0.3">
      <c r="A156" s="32" t="s">
        <v>241</v>
      </c>
      <c r="B156" s="32">
        <v>7</v>
      </c>
      <c r="C156" s="32" t="s">
        <v>40</v>
      </c>
      <c r="D156" s="32" t="s">
        <v>377</v>
      </c>
      <c r="E156" s="32" t="s">
        <v>26</v>
      </c>
      <c r="F156" s="32" t="s">
        <v>26</v>
      </c>
      <c r="G156" s="32" t="s">
        <v>26</v>
      </c>
      <c r="H156" s="32" t="s">
        <v>380</v>
      </c>
      <c r="I156" s="32" t="s">
        <v>28</v>
      </c>
      <c r="J156" s="32" t="s">
        <v>28</v>
      </c>
      <c r="K156" s="32" t="s">
        <v>28</v>
      </c>
      <c r="L156" s="32" t="s">
        <v>28</v>
      </c>
      <c r="M156" s="32" t="s">
        <v>28</v>
      </c>
      <c r="N156" s="32" t="s">
        <v>28</v>
      </c>
      <c r="O156" s="32" t="s">
        <v>28</v>
      </c>
      <c r="P156" s="32" t="s">
        <v>28</v>
      </c>
    </row>
    <row r="157" spans="1:16" x14ac:dyDescent="0.3">
      <c r="A157" s="32" t="s">
        <v>242</v>
      </c>
      <c r="B157" s="32">
        <v>7</v>
      </c>
      <c r="C157" s="32" t="s">
        <v>40</v>
      </c>
      <c r="D157" s="32" t="s">
        <v>377</v>
      </c>
      <c r="E157" s="32" t="s">
        <v>26</v>
      </c>
      <c r="F157" s="32" t="s">
        <v>26</v>
      </c>
      <c r="G157" s="32" t="s">
        <v>26</v>
      </c>
      <c r="H157" s="32" t="s">
        <v>381</v>
      </c>
      <c r="I157" s="32" t="s">
        <v>444</v>
      </c>
      <c r="J157" s="32" t="s">
        <v>444</v>
      </c>
      <c r="K157" s="32" t="s">
        <v>444</v>
      </c>
      <c r="L157" s="32" t="s">
        <v>444</v>
      </c>
      <c r="M157" s="32" t="s">
        <v>444</v>
      </c>
    </row>
    <row r="158" spans="1:16" x14ac:dyDescent="0.3">
      <c r="A158" s="32" t="s">
        <v>243</v>
      </c>
      <c r="B158" s="32">
        <v>7</v>
      </c>
      <c r="C158" s="32" t="s">
        <v>40</v>
      </c>
      <c r="D158" s="32" t="s">
        <v>379</v>
      </c>
      <c r="E158" s="32" t="s">
        <v>443</v>
      </c>
      <c r="F158" s="32" t="s">
        <v>379</v>
      </c>
      <c r="G158" s="32" t="s">
        <v>443</v>
      </c>
      <c r="H158" s="32" t="s">
        <v>443</v>
      </c>
      <c r="I158" s="32" t="s">
        <v>443</v>
      </c>
      <c r="J158" s="32" t="s">
        <v>443</v>
      </c>
      <c r="K158" s="32" t="s">
        <v>443</v>
      </c>
      <c r="L158" s="32" t="s">
        <v>443</v>
      </c>
      <c r="M158" s="32" t="s">
        <v>443</v>
      </c>
    </row>
    <row r="159" spans="1:16" x14ac:dyDescent="0.3">
      <c r="A159" s="32" t="s">
        <v>244</v>
      </c>
      <c r="B159" s="32">
        <v>7</v>
      </c>
      <c r="C159" s="32" t="s">
        <v>40</v>
      </c>
      <c r="D159" s="32" t="s">
        <v>379</v>
      </c>
      <c r="E159" s="32" t="s">
        <v>443</v>
      </c>
      <c r="F159" s="32" t="s">
        <v>443</v>
      </c>
      <c r="G159" s="32" t="s">
        <v>443</v>
      </c>
      <c r="H159" s="32" t="s">
        <v>380</v>
      </c>
      <c r="I159" s="32" t="s">
        <v>28</v>
      </c>
      <c r="J159" s="32" t="s">
        <v>28</v>
      </c>
      <c r="K159" s="32" t="s">
        <v>28</v>
      </c>
      <c r="L159" s="32" t="s">
        <v>28</v>
      </c>
      <c r="M159" s="32" t="s">
        <v>28</v>
      </c>
      <c r="N159" s="32" t="s">
        <v>28</v>
      </c>
      <c r="O159" s="32" t="s">
        <v>28</v>
      </c>
      <c r="P159" s="32" t="s">
        <v>28</v>
      </c>
    </row>
    <row r="160" spans="1:16" x14ac:dyDescent="0.3">
      <c r="A160" s="32" t="s">
        <v>245</v>
      </c>
      <c r="B160" s="32">
        <v>7</v>
      </c>
      <c r="C160" s="32" t="s">
        <v>40</v>
      </c>
      <c r="D160" s="32" t="s">
        <v>379</v>
      </c>
      <c r="E160" s="32" t="s">
        <v>443</v>
      </c>
      <c r="F160" s="32" t="s">
        <v>443</v>
      </c>
      <c r="G160" s="32" t="s">
        <v>443</v>
      </c>
      <c r="H160" s="32" t="s">
        <v>381</v>
      </c>
      <c r="I160" s="32" t="s">
        <v>444</v>
      </c>
      <c r="J160" s="32" t="s">
        <v>444</v>
      </c>
      <c r="K160" s="32" t="s">
        <v>444</v>
      </c>
    </row>
    <row r="161" spans="1:16" x14ac:dyDescent="0.3">
      <c r="A161" s="32" t="s">
        <v>246</v>
      </c>
      <c r="B161" s="32">
        <v>7</v>
      </c>
      <c r="C161" s="32" t="s">
        <v>40</v>
      </c>
      <c r="D161" s="32" t="s">
        <v>380</v>
      </c>
      <c r="E161" s="32" t="s">
        <v>28</v>
      </c>
      <c r="F161" s="32" t="s">
        <v>380</v>
      </c>
      <c r="G161" s="32" t="s">
        <v>28</v>
      </c>
      <c r="H161" s="32" t="s">
        <v>28</v>
      </c>
      <c r="I161" s="32" t="s">
        <v>28</v>
      </c>
      <c r="J161" s="32" t="s">
        <v>28</v>
      </c>
      <c r="K161" s="32" t="s">
        <v>28</v>
      </c>
      <c r="L161" s="32" t="s">
        <v>28</v>
      </c>
      <c r="M161" s="32" t="s">
        <v>28</v>
      </c>
      <c r="N161" s="32" t="s">
        <v>28</v>
      </c>
      <c r="O161" s="32" t="s">
        <v>28</v>
      </c>
      <c r="P161" s="32" t="s">
        <v>28</v>
      </c>
    </row>
    <row r="162" spans="1:16" x14ac:dyDescent="0.3">
      <c r="A162" s="32" t="s">
        <v>247</v>
      </c>
      <c r="B162" s="32">
        <v>7</v>
      </c>
      <c r="C162" s="32" t="s">
        <v>40</v>
      </c>
      <c r="D162" s="32" t="s">
        <v>380</v>
      </c>
      <c r="E162" s="32" t="s">
        <v>28</v>
      </c>
      <c r="F162" s="32" t="s">
        <v>28</v>
      </c>
      <c r="G162" s="32" t="s">
        <v>28</v>
      </c>
      <c r="H162" s="32" t="s">
        <v>381</v>
      </c>
      <c r="I162" s="32" t="s">
        <v>444</v>
      </c>
      <c r="J162" s="32" t="s">
        <v>444</v>
      </c>
      <c r="K162" s="32" t="s">
        <v>444</v>
      </c>
      <c r="L162" s="32" t="s">
        <v>444</v>
      </c>
      <c r="M162" s="32" t="s">
        <v>444</v>
      </c>
    </row>
    <row r="163" spans="1:16" x14ac:dyDescent="0.3">
      <c r="A163" s="32" t="s">
        <v>50</v>
      </c>
      <c r="B163" s="32">
        <v>7</v>
      </c>
      <c r="C163" s="32" t="s">
        <v>40</v>
      </c>
      <c r="D163" s="32" t="s">
        <v>381</v>
      </c>
      <c r="E163" s="32" t="s">
        <v>444</v>
      </c>
      <c r="F163" s="32" t="s">
        <v>381</v>
      </c>
      <c r="G163" s="32" t="s">
        <v>444</v>
      </c>
      <c r="H163" s="32" t="s">
        <v>444</v>
      </c>
      <c r="I163" s="32" t="s">
        <v>444</v>
      </c>
      <c r="J163" s="32" t="s">
        <v>444</v>
      </c>
      <c r="K163" s="32" t="s">
        <v>444</v>
      </c>
    </row>
    <row r="164" spans="1:16" x14ac:dyDescent="0.3">
      <c r="A164" s="32" t="s">
        <v>501</v>
      </c>
      <c r="B164" s="32">
        <v>7</v>
      </c>
      <c r="C164" s="32" t="s">
        <v>40</v>
      </c>
      <c r="D164" s="32" t="s">
        <v>600</v>
      </c>
      <c r="E164" s="32" t="s">
        <v>25</v>
      </c>
      <c r="F164" s="32" t="s">
        <v>600</v>
      </c>
      <c r="G164" s="32" t="s">
        <v>25</v>
      </c>
      <c r="H164" s="32" t="s">
        <v>25</v>
      </c>
      <c r="I164" s="32" t="s">
        <v>25</v>
      </c>
      <c r="J164" s="32" t="s">
        <v>25</v>
      </c>
      <c r="K164" s="32" t="s">
        <v>25</v>
      </c>
    </row>
    <row r="165" spans="1:16" x14ac:dyDescent="0.3">
      <c r="A165" s="32" t="s">
        <v>502</v>
      </c>
      <c r="B165" s="32">
        <v>7</v>
      </c>
      <c r="C165" s="32" t="s">
        <v>40</v>
      </c>
      <c r="D165" s="32" t="s">
        <v>600</v>
      </c>
      <c r="E165" s="32" t="s">
        <v>25</v>
      </c>
      <c r="F165" s="32" t="s">
        <v>25</v>
      </c>
      <c r="G165" s="32" t="s">
        <v>25</v>
      </c>
      <c r="H165" s="32" t="s">
        <v>597</v>
      </c>
      <c r="I165" s="32" t="s">
        <v>34</v>
      </c>
      <c r="J165" s="32" t="s">
        <v>34</v>
      </c>
      <c r="K165" s="32" t="s">
        <v>34</v>
      </c>
    </row>
    <row r="166" spans="1:16" x14ac:dyDescent="0.3">
      <c r="A166" s="32" t="s">
        <v>503</v>
      </c>
      <c r="B166" s="32">
        <v>7</v>
      </c>
      <c r="C166" s="32" t="s">
        <v>40</v>
      </c>
      <c r="D166" s="32" t="s">
        <v>600</v>
      </c>
      <c r="E166" s="32" t="s">
        <v>601</v>
      </c>
      <c r="F166" s="32" t="s">
        <v>26</v>
      </c>
      <c r="G166" s="32" t="s">
        <v>26</v>
      </c>
      <c r="H166" s="32" t="s">
        <v>26</v>
      </c>
      <c r="I166" s="32" t="s">
        <v>26</v>
      </c>
      <c r="J166" s="32" t="s">
        <v>26</v>
      </c>
      <c r="K166" s="32" t="s">
        <v>26</v>
      </c>
    </row>
    <row r="167" spans="1:16" x14ac:dyDescent="0.3">
      <c r="A167" s="32" t="s">
        <v>504</v>
      </c>
      <c r="B167" s="32">
        <v>7</v>
      </c>
      <c r="C167" s="32" t="s">
        <v>40</v>
      </c>
      <c r="D167" s="32" t="s">
        <v>600</v>
      </c>
      <c r="E167" s="32" t="s">
        <v>602</v>
      </c>
      <c r="F167" s="32" t="s">
        <v>443</v>
      </c>
      <c r="G167" s="32" t="s">
        <v>443</v>
      </c>
      <c r="H167" s="32" t="s">
        <v>443</v>
      </c>
      <c r="I167" s="32" t="s">
        <v>443</v>
      </c>
      <c r="J167" s="32" t="s">
        <v>443</v>
      </c>
      <c r="K167" s="32" t="s">
        <v>443</v>
      </c>
    </row>
    <row r="168" spans="1:16" x14ac:dyDescent="0.3">
      <c r="A168" s="32" t="s">
        <v>505</v>
      </c>
      <c r="B168" s="32">
        <v>7</v>
      </c>
      <c r="C168" s="32" t="s">
        <v>40</v>
      </c>
      <c r="D168" s="32" t="s">
        <v>600</v>
      </c>
      <c r="E168" s="32" t="s">
        <v>598</v>
      </c>
      <c r="F168" s="32" t="s">
        <v>28</v>
      </c>
      <c r="G168" s="32" t="s">
        <v>28</v>
      </c>
      <c r="H168" s="32" t="s">
        <v>28</v>
      </c>
      <c r="I168" s="32" t="s">
        <v>28</v>
      </c>
      <c r="J168" s="32" t="s">
        <v>28</v>
      </c>
      <c r="K168" s="32" t="s">
        <v>28</v>
      </c>
    </row>
    <row r="169" spans="1:16" x14ac:dyDescent="0.3">
      <c r="A169" s="32" t="s">
        <v>506</v>
      </c>
      <c r="B169" s="32">
        <v>7</v>
      </c>
      <c r="C169" s="32" t="s">
        <v>40</v>
      </c>
      <c r="D169" s="32" t="s">
        <v>600</v>
      </c>
      <c r="E169" s="32" t="s">
        <v>25</v>
      </c>
      <c r="F169" s="32" t="s">
        <v>25</v>
      </c>
      <c r="G169" s="32" t="s">
        <v>599</v>
      </c>
      <c r="H169" s="32" t="s">
        <v>444</v>
      </c>
      <c r="I169" s="32" t="s">
        <v>444</v>
      </c>
      <c r="J169" s="32" t="s">
        <v>444</v>
      </c>
      <c r="K169" s="32" t="s">
        <v>444</v>
      </c>
    </row>
    <row r="170" spans="1:16" x14ac:dyDescent="0.3">
      <c r="A170" s="32" t="s">
        <v>507</v>
      </c>
      <c r="B170" s="32">
        <v>7</v>
      </c>
      <c r="C170" s="32" t="s">
        <v>40</v>
      </c>
      <c r="D170" s="32" t="s">
        <v>597</v>
      </c>
      <c r="E170" s="32" t="s">
        <v>34</v>
      </c>
      <c r="F170" s="32" t="s">
        <v>597</v>
      </c>
      <c r="G170" s="32" t="s">
        <v>34</v>
      </c>
      <c r="H170" s="32" t="s">
        <v>34</v>
      </c>
      <c r="I170" s="32" t="s">
        <v>34</v>
      </c>
      <c r="J170" s="32" t="s">
        <v>34</v>
      </c>
      <c r="K170" s="32" t="s">
        <v>34</v>
      </c>
      <c r="L170" s="32" t="s">
        <v>34</v>
      </c>
    </row>
    <row r="171" spans="1:16" x14ac:dyDescent="0.3">
      <c r="A171" s="32" t="s">
        <v>508</v>
      </c>
      <c r="B171" s="32">
        <v>7</v>
      </c>
      <c r="C171" s="32" t="s">
        <v>40</v>
      </c>
      <c r="D171" s="32" t="s">
        <v>597</v>
      </c>
      <c r="E171" s="32" t="s">
        <v>601</v>
      </c>
      <c r="F171" s="32" t="s">
        <v>26</v>
      </c>
      <c r="G171" s="32" t="s">
        <v>26</v>
      </c>
      <c r="H171" s="32" t="s">
        <v>26</v>
      </c>
      <c r="I171" s="32" t="s">
        <v>26</v>
      </c>
      <c r="J171" s="32" t="s">
        <v>26</v>
      </c>
      <c r="K171" s="32" t="s">
        <v>26</v>
      </c>
    </row>
    <row r="172" spans="1:16" x14ac:dyDescent="0.3">
      <c r="A172" s="32" t="s">
        <v>509</v>
      </c>
      <c r="B172" s="32">
        <v>7</v>
      </c>
      <c r="C172" s="32" t="s">
        <v>40</v>
      </c>
      <c r="D172" s="32" t="s">
        <v>597</v>
      </c>
      <c r="E172" s="32" t="s">
        <v>602</v>
      </c>
      <c r="F172" s="32" t="s">
        <v>443</v>
      </c>
      <c r="G172" s="32" t="s">
        <v>443</v>
      </c>
      <c r="H172" s="32" t="s">
        <v>443</v>
      </c>
      <c r="I172" s="32" t="s">
        <v>443</v>
      </c>
      <c r="J172" s="32" t="s">
        <v>443</v>
      </c>
      <c r="K172" s="32" t="s">
        <v>443</v>
      </c>
    </row>
    <row r="173" spans="1:16" x14ac:dyDescent="0.3">
      <c r="A173" s="32" t="s">
        <v>510</v>
      </c>
      <c r="B173" s="32">
        <v>7</v>
      </c>
      <c r="C173" s="32" t="s">
        <v>40</v>
      </c>
      <c r="D173" s="32" t="s">
        <v>597</v>
      </c>
      <c r="E173" s="32" t="s">
        <v>598</v>
      </c>
      <c r="F173" s="32" t="s">
        <v>28</v>
      </c>
      <c r="G173" s="32" t="s">
        <v>28</v>
      </c>
      <c r="H173" s="32" t="s">
        <v>28</v>
      </c>
      <c r="I173" s="32" t="s">
        <v>28</v>
      </c>
      <c r="J173" s="32" t="s">
        <v>28</v>
      </c>
      <c r="K173" s="32" t="s">
        <v>28</v>
      </c>
      <c r="L173" s="32" t="s">
        <v>28</v>
      </c>
      <c r="M173" s="32" t="s">
        <v>28</v>
      </c>
    </row>
    <row r="174" spans="1:16" x14ac:dyDescent="0.3">
      <c r="A174" s="32" t="s">
        <v>511</v>
      </c>
      <c r="B174" s="32">
        <v>7</v>
      </c>
      <c r="C174" s="32" t="s">
        <v>40</v>
      </c>
      <c r="D174" s="32" t="s">
        <v>597</v>
      </c>
      <c r="E174" s="32" t="s">
        <v>34</v>
      </c>
      <c r="F174" s="32" t="s">
        <v>34</v>
      </c>
      <c r="G174" s="32" t="s">
        <v>599</v>
      </c>
      <c r="H174" s="32" t="s">
        <v>444</v>
      </c>
      <c r="I174" s="32" t="s">
        <v>444</v>
      </c>
      <c r="J174" s="32" t="s">
        <v>444</v>
      </c>
      <c r="K174" s="32" t="s">
        <v>444</v>
      </c>
    </row>
    <row r="175" spans="1:16" x14ac:dyDescent="0.3">
      <c r="A175" s="32" t="s">
        <v>512</v>
      </c>
      <c r="B175" s="32">
        <v>7</v>
      </c>
      <c r="C175" s="32" t="s">
        <v>40</v>
      </c>
      <c r="D175" s="32" t="s">
        <v>601</v>
      </c>
      <c r="E175" s="32" t="s">
        <v>26</v>
      </c>
      <c r="F175" s="32" t="s">
        <v>601</v>
      </c>
      <c r="G175" s="32" t="s">
        <v>26</v>
      </c>
      <c r="H175" s="32" t="s">
        <v>26</v>
      </c>
      <c r="I175" s="32" t="s">
        <v>26</v>
      </c>
      <c r="J175" s="32" t="s">
        <v>26</v>
      </c>
      <c r="K175" s="32" t="s">
        <v>26</v>
      </c>
      <c r="L175" s="32" t="s">
        <v>26</v>
      </c>
    </row>
    <row r="176" spans="1:16" x14ac:dyDescent="0.3">
      <c r="A176" s="32" t="s">
        <v>513</v>
      </c>
      <c r="B176" s="32">
        <v>7</v>
      </c>
      <c r="C176" s="32" t="s">
        <v>40</v>
      </c>
      <c r="D176" s="32" t="s">
        <v>601</v>
      </c>
      <c r="E176" s="32" t="s">
        <v>26</v>
      </c>
      <c r="F176" s="32" t="s">
        <v>26</v>
      </c>
      <c r="G176" s="32" t="s">
        <v>26</v>
      </c>
      <c r="H176" s="32" t="s">
        <v>602</v>
      </c>
      <c r="I176" s="32" t="s">
        <v>443</v>
      </c>
      <c r="J176" s="32" t="s">
        <v>443</v>
      </c>
      <c r="K176" s="32" t="s">
        <v>443</v>
      </c>
      <c r="L176" s="32" t="s">
        <v>443</v>
      </c>
    </row>
    <row r="177" spans="1:15" x14ac:dyDescent="0.3">
      <c r="A177" s="32" t="s">
        <v>514</v>
      </c>
      <c r="B177" s="32">
        <v>7</v>
      </c>
      <c r="C177" s="32" t="s">
        <v>40</v>
      </c>
      <c r="D177" s="32" t="s">
        <v>601</v>
      </c>
      <c r="E177" s="32" t="s">
        <v>26</v>
      </c>
      <c r="F177" s="32" t="s">
        <v>26</v>
      </c>
      <c r="G177" s="32" t="s">
        <v>26</v>
      </c>
      <c r="H177" s="32" t="s">
        <v>598</v>
      </c>
      <c r="I177" s="32" t="s">
        <v>28</v>
      </c>
      <c r="J177" s="32" t="s">
        <v>28</v>
      </c>
      <c r="K177" s="32" t="s">
        <v>28</v>
      </c>
      <c r="L177" s="32" t="s">
        <v>28</v>
      </c>
      <c r="M177" s="32" t="s">
        <v>28</v>
      </c>
    </row>
    <row r="178" spans="1:15" x14ac:dyDescent="0.3">
      <c r="A178" s="32" t="s">
        <v>515</v>
      </c>
      <c r="B178" s="32">
        <v>7</v>
      </c>
      <c r="C178" s="32" t="s">
        <v>40</v>
      </c>
      <c r="D178" s="32" t="s">
        <v>601</v>
      </c>
      <c r="E178" s="32" t="s">
        <v>26</v>
      </c>
      <c r="F178" s="32" t="s">
        <v>26</v>
      </c>
      <c r="G178" s="32" t="s">
        <v>599</v>
      </c>
      <c r="H178" s="32" t="s">
        <v>444</v>
      </c>
      <c r="I178" s="32" t="s">
        <v>444</v>
      </c>
    </row>
    <row r="179" spans="1:15" x14ac:dyDescent="0.3">
      <c r="A179" s="32" t="s">
        <v>516</v>
      </c>
      <c r="B179" s="32">
        <v>7</v>
      </c>
      <c r="C179" s="32" t="s">
        <v>40</v>
      </c>
      <c r="D179" s="32" t="s">
        <v>602</v>
      </c>
      <c r="E179" s="32" t="s">
        <v>443</v>
      </c>
      <c r="F179" s="32" t="s">
        <v>602</v>
      </c>
      <c r="G179" s="32" t="s">
        <v>443</v>
      </c>
      <c r="H179" s="32" t="s">
        <v>443</v>
      </c>
      <c r="I179" s="32" t="s">
        <v>443</v>
      </c>
      <c r="J179" s="32" t="s">
        <v>443</v>
      </c>
      <c r="K179" s="32" t="s">
        <v>443</v>
      </c>
    </row>
    <row r="180" spans="1:15" x14ac:dyDescent="0.3">
      <c r="A180" s="32" t="s">
        <v>517</v>
      </c>
      <c r="B180" s="32">
        <v>7</v>
      </c>
      <c r="C180" s="32" t="s">
        <v>40</v>
      </c>
      <c r="D180" s="32" t="s">
        <v>602</v>
      </c>
      <c r="E180" s="32" t="s">
        <v>443</v>
      </c>
      <c r="F180" s="32" t="s">
        <v>443</v>
      </c>
      <c r="G180" s="32" t="s">
        <v>443</v>
      </c>
      <c r="H180" s="32" t="s">
        <v>598</v>
      </c>
      <c r="I180" s="32" t="s">
        <v>28</v>
      </c>
      <c r="J180" s="32" t="s">
        <v>28</v>
      </c>
      <c r="K180" s="32" t="s">
        <v>28</v>
      </c>
      <c r="L180" s="32" t="s">
        <v>28</v>
      </c>
    </row>
    <row r="181" spans="1:15" x14ac:dyDescent="0.3">
      <c r="A181" s="32" t="s">
        <v>518</v>
      </c>
      <c r="B181" s="32">
        <v>7</v>
      </c>
      <c r="C181" s="32" t="s">
        <v>40</v>
      </c>
      <c r="D181" s="32" t="s">
        <v>602</v>
      </c>
      <c r="E181" s="32" t="s">
        <v>443</v>
      </c>
      <c r="F181" s="32" t="s">
        <v>443</v>
      </c>
      <c r="G181" s="32" t="s">
        <v>599</v>
      </c>
      <c r="H181" s="32" t="s">
        <v>444</v>
      </c>
      <c r="I181" s="32" t="s">
        <v>444</v>
      </c>
    </row>
    <row r="182" spans="1:15" x14ac:dyDescent="0.3">
      <c r="A182" s="32" t="s">
        <v>519</v>
      </c>
      <c r="B182" s="32">
        <v>7</v>
      </c>
      <c r="C182" s="32" t="s">
        <v>40</v>
      </c>
      <c r="D182" s="32" t="s">
        <v>598</v>
      </c>
      <c r="E182" s="32" t="s">
        <v>28</v>
      </c>
      <c r="F182" s="32" t="s">
        <v>598</v>
      </c>
      <c r="G182" s="32" t="s">
        <v>28</v>
      </c>
      <c r="H182" s="32" t="s">
        <v>28</v>
      </c>
      <c r="I182" s="32" t="s">
        <v>28</v>
      </c>
      <c r="J182" s="32" t="s">
        <v>28</v>
      </c>
      <c r="K182" s="32" t="s">
        <v>28</v>
      </c>
      <c r="L182" s="32" t="s">
        <v>28</v>
      </c>
    </row>
    <row r="183" spans="1:15" x14ac:dyDescent="0.3">
      <c r="A183" s="32" t="s">
        <v>520</v>
      </c>
      <c r="B183" s="32">
        <v>7</v>
      </c>
      <c r="C183" s="32" t="s">
        <v>40</v>
      </c>
      <c r="D183" s="32" t="s">
        <v>598</v>
      </c>
      <c r="E183" s="32" t="s">
        <v>28</v>
      </c>
      <c r="F183" s="32" t="s">
        <v>28</v>
      </c>
      <c r="G183" s="32" t="s">
        <v>599</v>
      </c>
      <c r="H183" s="32" t="s">
        <v>444</v>
      </c>
      <c r="I183" s="32" t="s">
        <v>444</v>
      </c>
    </row>
    <row r="184" spans="1:15" x14ac:dyDescent="0.3">
      <c r="A184" s="32" t="s">
        <v>521</v>
      </c>
      <c r="B184" s="32">
        <v>7</v>
      </c>
      <c r="C184" s="32" t="s">
        <v>40</v>
      </c>
      <c r="D184" s="32" t="s">
        <v>599</v>
      </c>
      <c r="E184" s="32" t="s">
        <v>444</v>
      </c>
      <c r="F184" s="32" t="s">
        <v>444</v>
      </c>
      <c r="G184" s="32" t="s">
        <v>599</v>
      </c>
      <c r="H184" s="32" t="s">
        <v>444</v>
      </c>
      <c r="I184" s="32" t="s">
        <v>444</v>
      </c>
    </row>
    <row r="185" spans="1:15" x14ac:dyDescent="0.3">
      <c r="A185" s="32" t="s">
        <v>248</v>
      </c>
      <c r="B185" s="32">
        <v>7</v>
      </c>
      <c r="C185" s="32" t="s">
        <v>40</v>
      </c>
      <c r="D185" s="32" t="s">
        <v>378</v>
      </c>
      <c r="E185" s="32" t="s">
        <v>378</v>
      </c>
      <c r="F185" s="32" t="s">
        <v>377</v>
      </c>
      <c r="G185" s="32" t="s">
        <v>26</v>
      </c>
      <c r="H185" s="32" t="s">
        <v>26</v>
      </c>
      <c r="I185" s="32" t="s">
        <v>26</v>
      </c>
      <c r="J185" s="32" t="s">
        <v>26</v>
      </c>
      <c r="K185" s="32" t="s">
        <v>26</v>
      </c>
      <c r="L185" s="32" t="s">
        <v>26</v>
      </c>
      <c r="M185" s="32" t="s">
        <v>26</v>
      </c>
      <c r="N185" s="32" t="s">
        <v>26</v>
      </c>
      <c r="O185" s="32" t="s">
        <v>26</v>
      </c>
    </row>
    <row r="186" spans="1:15" x14ac:dyDescent="0.3">
      <c r="A186" s="32" t="s">
        <v>249</v>
      </c>
      <c r="B186" s="32">
        <v>7</v>
      </c>
      <c r="C186" s="32" t="s">
        <v>40</v>
      </c>
      <c r="D186" s="32" t="s">
        <v>378</v>
      </c>
      <c r="E186" s="32" t="s">
        <v>378</v>
      </c>
      <c r="F186" s="32" t="s">
        <v>379</v>
      </c>
      <c r="G186" s="32" t="s">
        <v>443</v>
      </c>
      <c r="H186" s="32" t="s">
        <v>443</v>
      </c>
      <c r="I186" s="32" t="s">
        <v>443</v>
      </c>
      <c r="J186" s="32" t="s">
        <v>443</v>
      </c>
      <c r="K186" s="32" t="s">
        <v>443</v>
      </c>
      <c r="L186" s="32" t="s">
        <v>443</v>
      </c>
      <c r="M186" s="32" t="s">
        <v>443</v>
      </c>
      <c r="N186" s="32" t="s">
        <v>443</v>
      </c>
    </row>
    <row r="187" spans="1:15" x14ac:dyDescent="0.3">
      <c r="A187" s="32" t="s">
        <v>54</v>
      </c>
      <c r="B187" s="32">
        <v>7</v>
      </c>
      <c r="C187" s="32" t="s">
        <v>40</v>
      </c>
      <c r="D187" s="32" t="s">
        <v>378</v>
      </c>
      <c r="E187" s="32" t="s">
        <v>378</v>
      </c>
      <c r="F187" s="32" t="s">
        <v>380</v>
      </c>
      <c r="G187" s="32" t="s">
        <v>28</v>
      </c>
      <c r="H187" s="32" t="s">
        <v>28</v>
      </c>
      <c r="I187" s="32" t="s">
        <v>28</v>
      </c>
      <c r="J187" s="32" t="s">
        <v>28</v>
      </c>
      <c r="K187" s="32" t="s">
        <v>28</v>
      </c>
      <c r="L187" s="32" t="s">
        <v>28</v>
      </c>
      <c r="M187" s="32" t="s">
        <v>28</v>
      </c>
      <c r="N187" s="32" t="s">
        <v>28</v>
      </c>
      <c r="O187" s="32" t="s">
        <v>28</v>
      </c>
    </row>
    <row r="188" spans="1:15" x14ac:dyDescent="0.3">
      <c r="A188" s="32" t="s">
        <v>250</v>
      </c>
      <c r="B188" s="32">
        <v>7</v>
      </c>
      <c r="C188" s="32" t="s">
        <v>40</v>
      </c>
      <c r="D188" s="32" t="s">
        <v>378</v>
      </c>
      <c r="E188" s="32" t="s">
        <v>378</v>
      </c>
      <c r="F188" s="32" t="s">
        <v>381</v>
      </c>
      <c r="G188" s="32" t="s">
        <v>444</v>
      </c>
      <c r="H188" s="32" t="s">
        <v>444</v>
      </c>
      <c r="I188" s="32" t="s">
        <v>444</v>
      </c>
      <c r="J188" s="32" t="s">
        <v>444</v>
      </c>
      <c r="K188" s="32" t="s">
        <v>444</v>
      </c>
      <c r="L188" s="32" t="s">
        <v>444</v>
      </c>
    </row>
    <row r="189" spans="1:15" x14ac:dyDescent="0.3">
      <c r="A189" s="32" t="s">
        <v>251</v>
      </c>
      <c r="B189" s="32">
        <v>7</v>
      </c>
      <c r="C189" s="32" t="s">
        <v>40</v>
      </c>
      <c r="D189" s="32" t="s">
        <v>376</v>
      </c>
      <c r="E189" s="32" t="s">
        <v>376</v>
      </c>
      <c r="F189" s="32" t="s">
        <v>377</v>
      </c>
      <c r="G189" s="32" t="s">
        <v>26</v>
      </c>
      <c r="H189" s="32" t="s">
        <v>26</v>
      </c>
      <c r="I189" s="32" t="s">
        <v>26</v>
      </c>
      <c r="J189" s="32" t="s">
        <v>26</v>
      </c>
      <c r="K189" s="32" t="s">
        <v>26</v>
      </c>
      <c r="L189" s="32" t="s">
        <v>26</v>
      </c>
      <c r="M189" s="32" t="s">
        <v>26</v>
      </c>
      <c r="N189" s="32" t="s">
        <v>26</v>
      </c>
    </row>
    <row r="190" spans="1:15" x14ac:dyDescent="0.3">
      <c r="A190" s="32" t="s">
        <v>252</v>
      </c>
      <c r="B190" s="32">
        <v>7</v>
      </c>
      <c r="C190" s="32" t="s">
        <v>40</v>
      </c>
      <c r="D190" s="32" t="s">
        <v>376</v>
      </c>
      <c r="E190" s="32" t="s">
        <v>376</v>
      </c>
      <c r="F190" s="32" t="s">
        <v>379</v>
      </c>
      <c r="G190" s="32" t="s">
        <v>443</v>
      </c>
      <c r="H190" s="32" t="s">
        <v>443</v>
      </c>
      <c r="I190" s="32" t="s">
        <v>443</v>
      </c>
      <c r="J190" s="32" t="s">
        <v>443</v>
      </c>
      <c r="K190" s="32" t="s">
        <v>443</v>
      </c>
      <c r="L190" s="32" t="s">
        <v>443</v>
      </c>
    </row>
    <row r="191" spans="1:15" x14ac:dyDescent="0.3">
      <c r="A191" s="32" t="s">
        <v>253</v>
      </c>
      <c r="B191" s="32">
        <v>7</v>
      </c>
      <c r="C191" s="32" t="s">
        <v>40</v>
      </c>
      <c r="D191" s="32" t="s">
        <v>376</v>
      </c>
      <c r="E191" s="32" t="s">
        <v>376</v>
      </c>
      <c r="F191" s="32" t="s">
        <v>380</v>
      </c>
      <c r="G191" s="32" t="s">
        <v>28</v>
      </c>
      <c r="H191" s="32" t="s">
        <v>28</v>
      </c>
      <c r="I191" s="32" t="s">
        <v>28</v>
      </c>
      <c r="J191" s="32" t="s">
        <v>28</v>
      </c>
      <c r="K191" s="32" t="s">
        <v>28</v>
      </c>
      <c r="L191" s="32" t="s">
        <v>28</v>
      </c>
      <c r="M191" s="32" t="s">
        <v>28</v>
      </c>
      <c r="N191" s="32" t="s">
        <v>28</v>
      </c>
    </row>
    <row r="192" spans="1:15" x14ac:dyDescent="0.3">
      <c r="A192" s="32" t="s">
        <v>254</v>
      </c>
      <c r="B192" s="32">
        <v>7</v>
      </c>
      <c r="C192" s="32" t="s">
        <v>40</v>
      </c>
      <c r="D192" s="32" t="s">
        <v>376</v>
      </c>
      <c r="E192" s="32" t="s">
        <v>376</v>
      </c>
      <c r="F192" s="32" t="s">
        <v>381</v>
      </c>
      <c r="G192" s="32" t="s">
        <v>444</v>
      </c>
      <c r="H192" s="32" t="s">
        <v>444</v>
      </c>
      <c r="I192" s="32" t="s">
        <v>444</v>
      </c>
      <c r="J192" s="32" t="s">
        <v>444</v>
      </c>
      <c r="K192" s="32" t="s">
        <v>444</v>
      </c>
    </row>
    <row r="193" spans="1:15" x14ac:dyDescent="0.3">
      <c r="A193" s="32" t="s">
        <v>255</v>
      </c>
      <c r="B193" s="32">
        <v>7</v>
      </c>
      <c r="C193" s="32" t="s">
        <v>40</v>
      </c>
      <c r="D193" s="32" t="s">
        <v>378</v>
      </c>
      <c r="E193" s="32" t="s">
        <v>376</v>
      </c>
      <c r="F193" s="32" t="s">
        <v>377</v>
      </c>
      <c r="G193" s="32" t="s">
        <v>26</v>
      </c>
      <c r="H193" s="32" t="s">
        <v>26</v>
      </c>
      <c r="I193" s="32" t="s">
        <v>26</v>
      </c>
      <c r="J193" s="32" t="s">
        <v>26</v>
      </c>
      <c r="K193" s="32" t="s">
        <v>26</v>
      </c>
      <c r="L193" s="32" t="s">
        <v>26</v>
      </c>
      <c r="M193" s="32" t="s">
        <v>26</v>
      </c>
      <c r="N193" s="32" t="s">
        <v>26</v>
      </c>
    </row>
    <row r="194" spans="1:15" x14ac:dyDescent="0.3">
      <c r="A194" s="32" t="s">
        <v>256</v>
      </c>
      <c r="B194" s="32">
        <v>7</v>
      </c>
      <c r="C194" s="32" t="s">
        <v>40</v>
      </c>
      <c r="D194" s="32" t="s">
        <v>378</v>
      </c>
      <c r="E194" s="32" t="s">
        <v>376</v>
      </c>
      <c r="F194" s="32" t="s">
        <v>379</v>
      </c>
      <c r="G194" s="32" t="s">
        <v>443</v>
      </c>
      <c r="H194" s="32" t="s">
        <v>443</v>
      </c>
      <c r="I194" s="32" t="s">
        <v>443</v>
      </c>
      <c r="J194" s="32" t="s">
        <v>443</v>
      </c>
      <c r="K194" s="32" t="s">
        <v>443</v>
      </c>
      <c r="L194" s="32" t="s">
        <v>443</v>
      </c>
      <c r="M194" s="32" t="s">
        <v>443</v>
      </c>
    </row>
    <row r="195" spans="1:15" x14ac:dyDescent="0.3">
      <c r="A195" s="32" t="s">
        <v>257</v>
      </c>
      <c r="B195" s="32">
        <v>7</v>
      </c>
      <c r="C195" s="32" t="s">
        <v>40</v>
      </c>
      <c r="D195" s="32" t="s">
        <v>378</v>
      </c>
      <c r="E195" s="32" t="s">
        <v>376</v>
      </c>
      <c r="F195" s="32" t="s">
        <v>380</v>
      </c>
      <c r="G195" s="32" t="s">
        <v>28</v>
      </c>
      <c r="H195" s="32" t="s">
        <v>28</v>
      </c>
      <c r="I195" s="32" t="s">
        <v>28</v>
      </c>
      <c r="J195" s="32" t="s">
        <v>28</v>
      </c>
      <c r="K195" s="32" t="s">
        <v>28</v>
      </c>
      <c r="L195" s="32" t="s">
        <v>28</v>
      </c>
      <c r="M195" s="32" t="s">
        <v>28</v>
      </c>
      <c r="N195" s="32" t="s">
        <v>28</v>
      </c>
      <c r="O195" s="32" t="s">
        <v>28</v>
      </c>
    </row>
    <row r="196" spans="1:15" x14ac:dyDescent="0.3">
      <c r="A196" s="32" t="s">
        <v>258</v>
      </c>
      <c r="B196" s="32">
        <v>7</v>
      </c>
      <c r="C196" s="32" t="s">
        <v>40</v>
      </c>
      <c r="D196" s="32" t="s">
        <v>378</v>
      </c>
      <c r="E196" s="32" t="s">
        <v>376</v>
      </c>
      <c r="F196" s="32" t="s">
        <v>381</v>
      </c>
      <c r="G196" s="32" t="s">
        <v>444</v>
      </c>
      <c r="H196" s="32" t="s">
        <v>444</v>
      </c>
      <c r="I196" s="32" t="s">
        <v>444</v>
      </c>
      <c r="J196" s="32" t="s">
        <v>444</v>
      </c>
      <c r="K196" s="32" t="s">
        <v>444</v>
      </c>
    </row>
    <row r="197" spans="1:15" x14ac:dyDescent="0.3">
      <c r="A197" s="32" t="s">
        <v>522</v>
      </c>
      <c r="B197" s="32">
        <v>7</v>
      </c>
      <c r="C197" s="32" t="s">
        <v>40</v>
      </c>
      <c r="D197" s="32" t="s">
        <v>600</v>
      </c>
      <c r="E197" s="32" t="s">
        <v>600</v>
      </c>
      <c r="F197" s="32" t="s">
        <v>601</v>
      </c>
      <c r="G197" s="32" t="s">
        <v>26</v>
      </c>
      <c r="H197" s="32" t="s">
        <v>26</v>
      </c>
    </row>
    <row r="198" spans="1:15" x14ac:dyDescent="0.3">
      <c r="A198" s="32" t="s">
        <v>523</v>
      </c>
      <c r="B198" s="32">
        <v>7</v>
      </c>
      <c r="C198" s="32" t="s">
        <v>40</v>
      </c>
      <c r="D198" s="32" t="s">
        <v>600</v>
      </c>
      <c r="E198" s="32" t="s">
        <v>600</v>
      </c>
      <c r="F198" s="32" t="s">
        <v>602</v>
      </c>
      <c r="G198" s="32" t="s">
        <v>443</v>
      </c>
      <c r="H198" s="32" t="s">
        <v>443</v>
      </c>
      <c r="I198" s="32" t="s">
        <v>443</v>
      </c>
      <c r="J198" s="32" t="s">
        <v>443</v>
      </c>
    </row>
    <row r="199" spans="1:15" x14ac:dyDescent="0.3">
      <c r="A199" s="32" t="s">
        <v>524</v>
      </c>
      <c r="B199" s="32">
        <v>7</v>
      </c>
      <c r="C199" s="32" t="s">
        <v>40</v>
      </c>
      <c r="D199" s="32" t="s">
        <v>600</v>
      </c>
      <c r="E199" s="32" t="s">
        <v>600</v>
      </c>
      <c r="F199" s="32" t="s">
        <v>598</v>
      </c>
      <c r="G199" s="32" t="s">
        <v>28</v>
      </c>
      <c r="H199" s="32" t="s">
        <v>28</v>
      </c>
      <c r="I199" s="32" t="s">
        <v>28</v>
      </c>
      <c r="J199" s="32" t="s">
        <v>28</v>
      </c>
    </row>
    <row r="200" spans="1:15" x14ac:dyDescent="0.3">
      <c r="A200" s="32" t="s">
        <v>525</v>
      </c>
      <c r="B200" s="32">
        <v>7</v>
      </c>
      <c r="C200" s="32" t="s">
        <v>40</v>
      </c>
      <c r="D200" s="32" t="s">
        <v>600</v>
      </c>
      <c r="E200" s="32" t="s">
        <v>600</v>
      </c>
      <c r="F200" s="32" t="s">
        <v>599</v>
      </c>
      <c r="G200" s="32" t="s">
        <v>444</v>
      </c>
      <c r="H200" s="32" t="s">
        <v>444</v>
      </c>
    </row>
    <row r="201" spans="1:15" x14ac:dyDescent="0.3">
      <c r="A201" s="32" t="s">
        <v>526</v>
      </c>
      <c r="B201" s="32">
        <v>7</v>
      </c>
      <c r="C201" s="32" t="s">
        <v>40</v>
      </c>
      <c r="D201" s="32" t="s">
        <v>597</v>
      </c>
      <c r="E201" s="32" t="s">
        <v>597</v>
      </c>
      <c r="F201" s="32" t="s">
        <v>601</v>
      </c>
      <c r="G201" s="32" t="s">
        <v>26</v>
      </c>
      <c r="H201" s="32" t="s">
        <v>26</v>
      </c>
    </row>
    <row r="202" spans="1:15" x14ac:dyDescent="0.3">
      <c r="A202" s="32" t="s">
        <v>527</v>
      </c>
      <c r="B202" s="32">
        <v>7</v>
      </c>
      <c r="C202" s="32" t="s">
        <v>40</v>
      </c>
      <c r="D202" s="32" t="s">
        <v>597</v>
      </c>
      <c r="E202" s="32" t="s">
        <v>597</v>
      </c>
      <c r="F202" s="32" t="s">
        <v>602</v>
      </c>
      <c r="G202" s="32" t="s">
        <v>443</v>
      </c>
      <c r="H202" s="32" t="s">
        <v>443</v>
      </c>
      <c r="I202" s="32" t="s">
        <v>443</v>
      </c>
      <c r="J202" s="32" t="s">
        <v>443</v>
      </c>
    </row>
    <row r="203" spans="1:15" x14ac:dyDescent="0.3">
      <c r="A203" s="32" t="s">
        <v>528</v>
      </c>
      <c r="B203" s="32">
        <v>7</v>
      </c>
      <c r="C203" s="32" t="s">
        <v>40</v>
      </c>
      <c r="D203" s="32" t="s">
        <v>597</v>
      </c>
      <c r="E203" s="32" t="s">
        <v>597</v>
      </c>
      <c r="F203" s="32" t="s">
        <v>598</v>
      </c>
      <c r="G203" s="32" t="s">
        <v>28</v>
      </c>
      <c r="H203" s="32" t="s">
        <v>28</v>
      </c>
      <c r="I203" s="32" t="s">
        <v>28</v>
      </c>
      <c r="J203" s="32" t="s">
        <v>28</v>
      </c>
    </row>
    <row r="204" spans="1:15" x14ac:dyDescent="0.3">
      <c r="A204" s="32" t="s">
        <v>529</v>
      </c>
      <c r="B204" s="32">
        <v>7</v>
      </c>
      <c r="C204" s="32" t="s">
        <v>40</v>
      </c>
      <c r="D204" s="32" t="s">
        <v>597</v>
      </c>
      <c r="E204" s="32" t="s">
        <v>597</v>
      </c>
      <c r="F204" s="32" t="s">
        <v>599</v>
      </c>
      <c r="G204" s="32" t="s">
        <v>444</v>
      </c>
      <c r="H204" s="32" t="s">
        <v>444</v>
      </c>
    </row>
    <row r="205" spans="1:15" x14ac:dyDescent="0.3">
      <c r="A205" s="32" t="s">
        <v>530</v>
      </c>
      <c r="B205" s="32">
        <v>7</v>
      </c>
      <c r="C205" s="32" t="s">
        <v>40</v>
      </c>
      <c r="D205" s="32" t="s">
        <v>600</v>
      </c>
      <c r="E205" s="32" t="s">
        <v>597</v>
      </c>
      <c r="F205" s="32" t="s">
        <v>601</v>
      </c>
      <c r="G205" s="32" t="s">
        <v>26</v>
      </c>
      <c r="H205" s="32" t="s">
        <v>26</v>
      </c>
    </row>
    <row r="206" spans="1:15" x14ac:dyDescent="0.3">
      <c r="A206" s="32" t="s">
        <v>531</v>
      </c>
      <c r="B206" s="32">
        <v>7</v>
      </c>
      <c r="C206" s="32" t="s">
        <v>40</v>
      </c>
      <c r="D206" s="32" t="s">
        <v>600</v>
      </c>
      <c r="E206" s="32" t="s">
        <v>597</v>
      </c>
      <c r="F206" s="32" t="s">
        <v>602</v>
      </c>
      <c r="G206" s="32" t="s">
        <v>443</v>
      </c>
      <c r="H206" s="32" t="s">
        <v>443</v>
      </c>
      <c r="I206" s="32" t="s">
        <v>443</v>
      </c>
      <c r="J206" s="32" t="s">
        <v>443</v>
      </c>
    </row>
    <row r="207" spans="1:15" x14ac:dyDescent="0.3">
      <c r="A207" s="32" t="s">
        <v>532</v>
      </c>
      <c r="B207" s="32">
        <v>7</v>
      </c>
      <c r="C207" s="32" t="s">
        <v>40</v>
      </c>
      <c r="D207" s="32" t="s">
        <v>600</v>
      </c>
      <c r="E207" s="32" t="s">
        <v>597</v>
      </c>
      <c r="F207" s="32" t="s">
        <v>598</v>
      </c>
      <c r="G207" s="32" t="s">
        <v>28</v>
      </c>
      <c r="H207" s="32" t="s">
        <v>28</v>
      </c>
      <c r="I207" s="32" t="s">
        <v>28</v>
      </c>
      <c r="J207" s="32" t="s">
        <v>28</v>
      </c>
    </row>
    <row r="208" spans="1:15" x14ac:dyDescent="0.3">
      <c r="A208" s="32" t="s">
        <v>533</v>
      </c>
      <c r="B208" s="32">
        <v>7</v>
      </c>
      <c r="C208" s="32" t="s">
        <v>40</v>
      </c>
      <c r="D208" s="32" t="s">
        <v>600</v>
      </c>
      <c r="E208" s="32" t="s">
        <v>597</v>
      </c>
      <c r="F208" s="32" t="s">
        <v>599</v>
      </c>
      <c r="G208" s="32" t="s">
        <v>444</v>
      </c>
      <c r="H208" s="32" t="s">
        <v>444</v>
      </c>
    </row>
    <row r="209" spans="1:15" x14ac:dyDescent="0.3">
      <c r="A209" s="32" t="s">
        <v>259</v>
      </c>
      <c r="B209" s="32">
        <v>7</v>
      </c>
      <c r="C209" s="32" t="s">
        <v>40</v>
      </c>
      <c r="D209" s="32" t="s">
        <v>378</v>
      </c>
      <c r="E209" s="32" t="s">
        <v>377</v>
      </c>
      <c r="F209" s="32" t="s">
        <v>26</v>
      </c>
      <c r="G209" s="32" t="s">
        <v>26</v>
      </c>
      <c r="H209" s="32" t="s">
        <v>26</v>
      </c>
      <c r="I209" s="32" t="s">
        <v>377</v>
      </c>
      <c r="J209" s="32" t="s">
        <v>26</v>
      </c>
      <c r="K209" s="32" t="s">
        <v>26</v>
      </c>
      <c r="L209" s="32" t="s">
        <v>26</v>
      </c>
      <c r="M209" s="32" t="s">
        <v>26</v>
      </c>
      <c r="N209" s="32" t="s">
        <v>26</v>
      </c>
      <c r="O209" s="32" t="s">
        <v>26</v>
      </c>
    </row>
    <row r="210" spans="1:15" x14ac:dyDescent="0.3">
      <c r="A210" s="32" t="s">
        <v>53</v>
      </c>
      <c r="B210" s="32">
        <v>7</v>
      </c>
      <c r="C210" s="32" t="s">
        <v>40</v>
      </c>
      <c r="D210" s="32" t="s">
        <v>378</v>
      </c>
      <c r="E210" s="32" t="s">
        <v>379</v>
      </c>
      <c r="F210" s="32" t="s">
        <v>443</v>
      </c>
      <c r="G210" s="32" t="s">
        <v>443</v>
      </c>
      <c r="H210" s="32" t="s">
        <v>443</v>
      </c>
      <c r="I210" s="32" t="s">
        <v>379</v>
      </c>
      <c r="J210" s="32" t="s">
        <v>443</v>
      </c>
      <c r="K210" s="32" t="s">
        <v>443</v>
      </c>
      <c r="L210" s="32" t="s">
        <v>443</v>
      </c>
    </row>
    <row r="211" spans="1:15" x14ac:dyDescent="0.3">
      <c r="A211" s="32" t="s">
        <v>52</v>
      </c>
      <c r="B211" s="32">
        <v>7</v>
      </c>
      <c r="C211" s="32" t="s">
        <v>40</v>
      </c>
      <c r="D211" s="32" t="s">
        <v>378</v>
      </c>
      <c r="E211" s="32" t="s">
        <v>380</v>
      </c>
      <c r="F211" s="32" t="s">
        <v>28</v>
      </c>
      <c r="G211" s="32" t="s">
        <v>28</v>
      </c>
      <c r="H211" s="32" t="s">
        <v>28</v>
      </c>
      <c r="I211" s="32" t="s">
        <v>380</v>
      </c>
      <c r="J211" s="32" t="s">
        <v>28</v>
      </c>
      <c r="K211" s="32" t="s">
        <v>28</v>
      </c>
      <c r="L211" s="32" t="s">
        <v>28</v>
      </c>
      <c r="M211" s="32" t="s">
        <v>28</v>
      </c>
      <c r="N211" s="32" t="s">
        <v>28</v>
      </c>
      <c r="O211" s="32" t="s">
        <v>28</v>
      </c>
    </row>
    <row r="212" spans="1:15" x14ac:dyDescent="0.3">
      <c r="A212" s="32" t="s">
        <v>260</v>
      </c>
      <c r="B212" s="32">
        <v>7</v>
      </c>
      <c r="C212" s="32" t="s">
        <v>40</v>
      </c>
      <c r="D212" s="32" t="s">
        <v>378</v>
      </c>
      <c r="E212" s="32" t="s">
        <v>25</v>
      </c>
      <c r="F212" s="32" t="s">
        <v>25</v>
      </c>
      <c r="G212" s="32" t="s">
        <v>381</v>
      </c>
      <c r="H212" s="32" t="s">
        <v>444</v>
      </c>
      <c r="I212" s="32" t="s">
        <v>444</v>
      </c>
      <c r="J212" s="32" t="s">
        <v>381</v>
      </c>
      <c r="K212" s="32" t="s">
        <v>444</v>
      </c>
      <c r="L212" s="32" t="s">
        <v>444</v>
      </c>
    </row>
    <row r="213" spans="1:15" x14ac:dyDescent="0.3">
      <c r="A213" s="32" t="s">
        <v>261</v>
      </c>
      <c r="B213" s="32">
        <v>7</v>
      </c>
      <c r="C213" s="32" t="s">
        <v>40</v>
      </c>
      <c r="D213" s="32" t="s">
        <v>378</v>
      </c>
      <c r="E213" s="32" t="s">
        <v>377</v>
      </c>
      <c r="F213" s="32" t="s">
        <v>26</v>
      </c>
      <c r="G213" s="32" t="s">
        <v>26</v>
      </c>
      <c r="H213" s="32" t="s">
        <v>26</v>
      </c>
      <c r="I213" s="32" t="s">
        <v>379</v>
      </c>
      <c r="J213" s="32" t="s">
        <v>443</v>
      </c>
      <c r="K213" s="32" t="s">
        <v>443</v>
      </c>
      <c r="L213" s="32" t="s">
        <v>443</v>
      </c>
    </row>
    <row r="214" spans="1:15" x14ac:dyDescent="0.3">
      <c r="A214" s="32" t="s">
        <v>262</v>
      </c>
      <c r="B214" s="32">
        <v>7</v>
      </c>
      <c r="C214" s="32" t="s">
        <v>40</v>
      </c>
      <c r="D214" s="32" t="s">
        <v>378</v>
      </c>
      <c r="E214" s="32" t="s">
        <v>377</v>
      </c>
      <c r="F214" s="32" t="s">
        <v>26</v>
      </c>
      <c r="G214" s="32" t="s">
        <v>26</v>
      </c>
      <c r="H214" s="32" t="s">
        <v>26</v>
      </c>
      <c r="I214" s="32" t="s">
        <v>380</v>
      </c>
      <c r="J214" s="32" t="s">
        <v>28</v>
      </c>
      <c r="K214" s="32" t="s">
        <v>28</v>
      </c>
      <c r="L214" s="32" t="s">
        <v>28</v>
      </c>
      <c r="M214" s="32" t="s">
        <v>28</v>
      </c>
      <c r="N214" s="32" t="s">
        <v>28</v>
      </c>
      <c r="O214" s="32" t="s">
        <v>28</v>
      </c>
    </row>
    <row r="215" spans="1:15" x14ac:dyDescent="0.3">
      <c r="A215" s="32" t="s">
        <v>263</v>
      </c>
      <c r="B215" s="32">
        <v>7</v>
      </c>
      <c r="C215" s="32" t="s">
        <v>40</v>
      </c>
      <c r="D215" s="32" t="s">
        <v>378</v>
      </c>
      <c r="E215" s="32" t="s">
        <v>379</v>
      </c>
      <c r="F215" s="32" t="s">
        <v>443</v>
      </c>
      <c r="G215" s="32" t="s">
        <v>443</v>
      </c>
      <c r="H215" s="32" t="s">
        <v>443</v>
      </c>
      <c r="I215" s="32" t="s">
        <v>380</v>
      </c>
      <c r="J215" s="32" t="s">
        <v>28</v>
      </c>
      <c r="K215" s="32" t="s">
        <v>28</v>
      </c>
      <c r="L215" s="32" t="s">
        <v>28</v>
      </c>
      <c r="M215" s="32" t="s">
        <v>28</v>
      </c>
    </row>
    <row r="216" spans="1:15" x14ac:dyDescent="0.3">
      <c r="A216" s="32" t="s">
        <v>264</v>
      </c>
      <c r="B216" s="32">
        <v>7</v>
      </c>
      <c r="C216" s="32" t="s">
        <v>40</v>
      </c>
      <c r="D216" s="32" t="s">
        <v>378</v>
      </c>
      <c r="E216" s="32" t="s">
        <v>379</v>
      </c>
      <c r="F216" s="32" t="s">
        <v>443</v>
      </c>
      <c r="G216" s="32" t="s">
        <v>443</v>
      </c>
      <c r="H216" s="32" t="s">
        <v>443</v>
      </c>
      <c r="I216" s="32" t="s">
        <v>381</v>
      </c>
      <c r="J216" s="32" t="s">
        <v>444</v>
      </c>
      <c r="K216" s="32" t="s">
        <v>444</v>
      </c>
      <c r="L216" s="32" t="s">
        <v>444</v>
      </c>
    </row>
    <row r="217" spans="1:15" x14ac:dyDescent="0.3">
      <c r="A217" s="32" t="s">
        <v>265</v>
      </c>
      <c r="B217" s="32">
        <v>7</v>
      </c>
      <c r="C217" s="32" t="s">
        <v>40</v>
      </c>
      <c r="D217" s="32" t="s">
        <v>378</v>
      </c>
      <c r="E217" s="32" t="s">
        <v>380</v>
      </c>
      <c r="F217" s="32" t="s">
        <v>28</v>
      </c>
      <c r="G217" s="32" t="s">
        <v>28</v>
      </c>
      <c r="H217" s="32" t="s">
        <v>28</v>
      </c>
      <c r="I217" s="32" t="s">
        <v>381</v>
      </c>
      <c r="J217" s="32" t="s">
        <v>444</v>
      </c>
      <c r="K217" s="32" t="s">
        <v>444</v>
      </c>
      <c r="L217" s="32" t="s">
        <v>444</v>
      </c>
    </row>
    <row r="218" spans="1:15" x14ac:dyDescent="0.3">
      <c r="A218" s="32" t="s">
        <v>266</v>
      </c>
      <c r="B218" s="32">
        <v>7</v>
      </c>
      <c r="C218" s="32" t="s">
        <v>40</v>
      </c>
      <c r="D218" s="32" t="s">
        <v>376</v>
      </c>
      <c r="E218" s="32" t="s">
        <v>379</v>
      </c>
      <c r="F218" s="32" t="s">
        <v>443</v>
      </c>
      <c r="G218" s="32" t="s">
        <v>443</v>
      </c>
      <c r="H218" s="32" t="s">
        <v>443</v>
      </c>
      <c r="I218" s="32" t="s">
        <v>379</v>
      </c>
      <c r="J218" s="32" t="s">
        <v>443</v>
      </c>
      <c r="K218" s="32" t="s">
        <v>443</v>
      </c>
      <c r="L218" s="32" t="s">
        <v>443</v>
      </c>
    </row>
    <row r="219" spans="1:15" x14ac:dyDescent="0.3">
      <c r="A219" s="32" t="s">
        <v>267</v>
      </c>
      <c r="B219" s="32">
        <v>7</v>
      </c>
      <c r="C219" s="32" t="s">
        <v>40</v>
      </c>
      <c r="D219" s="32" t="s">
        <v>376</v>
      </c>
      <c r="E219" s="32" t="s">
        <v>380</v>
      </c>
      <c r="F219" s="32" t="s">
        <v>28</v>
      </c>
      <c r="G219" s="32" t="s">
        <v>28</v>
      </c>
      <c r="H219" s="32" t="s">
        <v>28</v>
      </c>
      <c r="I219" s="32" t="s">
        <v>380</v>
      </c>
      <c r="J219" s="32" t="s">
        <v>28</v>
      </c>
      <c r="K219" s="32" t="s">
        <v>28</v>
      </c>
      <c r="L219" s="32" t="s">
        <v>28</v>
      </c>
      <c r="M219" s="32" t="s">
        <v>28</v>
      </c>
      <c r="N219" s="32" t="s">
        <v>28</v>
      </c>
    </row>
    <row r="220" spans="1:15" x14ac:dyDescent="0.3">
      <c r="A220" s="32" t="s">
        <v>268</v>
      </c>
      <c r="B220" s="32">
        <v>7</v>
      </c>
      <c r="C220" s="32" t="s">
        <v>40</v>
      </c>
      <c r="D220" s="32" t="s">
        <v>376</v>
      </c>
      <c r="E220" s="32" t="s">
        <v>381</v>
      </c>
      <c r="F220" s="32" t="s">
        <v>444</v>
      </c>
      <c r="G220" s="32" t="s">
        <v>444</v>
      </c>
      <c r="H220" s="32" t="s">
        <v>381</v>
      </c>
      <c r="I220" s="32" t="s">
        <v>444</v>
      </c>
      <c r="J220" s="32" t="s">
        <v>444</v>
      </c>
    </row>
    <row r="221" spans="1:15" x14ac:dyDescent="0.3">
      <c r="A221" s="32" t="s">
        <v>269</v>
      </c>
      <c r="B221" s="32">
        <v>7</v>
      </c>
      <c r="C221" s="32" t="s">
        <v>40</v>
      </c>
      <c r="D221" s="32" t="s">
        <v>376</v>
      </c>
      <c r="E221" s="32" t="s">
        <v>377</v>
      </c>
      <c r="F221" s="32" t="s">
        <v>26</v>
      </c>
      <c r="G221" s="32" t="s">
        <v>26</v>
      </c>
      <c r="H221" s="32" t="s">
        <v>26</v>
      </c>
      <c r="I221" s="32" t="s">
        <v>379</v>
      </c>
      <c r="J221" s="32" t="s">
        <v>443</v>
      </c>
      <c r="K221" s="32" t="s">
        <v>443</v>
      </c>
      <c r="L221" s="32" t="s">
        <v>443</v>
      </c>
    </row>
    <row r="222" spans="1:15" x14ac:dyDescent="0.3">
      <c r="A222" s="32" t="s">
        <v>270</v>
      </c>
      <c r="B222" s="32">
        <v>7</v>
      </c>
      <c r="C222" s="32" t="s">
        <v>40</v>
      </c>
      <c r="D222" s="32" t="s">
        <v>376</v>
      </c>
      <c r="E222" s="32" t="s">
        <v>377</v>
      </c>
      <c r="F222" s="32" t="s">
        <v>26</v>
      </c>
      <c r="G222" s="32" t="s">
        <v>26</v>
      </c>
      <c r="H222" s="32" t="s">
        <v>26</v>
      </c>
      <c r="I222" s="32" t="s">
        <v>380</v>
      </c>
      <c r="J222" s="32" t="s">
        <v>28</v>
      </c>
      <c r="K222" s="32" t="s">
        <v>28</v>
      </c>
      <c r="L222" s="32" t="s">
        <v>28</v>
      </c>
      <c r="M222" s="32" t="s">
        <v>28</v>
      </c>
      <c r="N222" s="32" t="s">
        <v>28</v>
      </c>
      <c r="O222" s="32" t="s">
        <v>28</v>
      </c>
    </row>
    <row r="223" spans="1:15" x14ac:dyDescent="0.3">
      <c r="A223" s="32" t="s">
        <v>271</v>
      </c>
      <c r="B223" s="32">
        <v>7</v>
      </c>
      <c r="C223" s="32" t="s">
        <v>40</v>
      </c>
      <c r="D223" s="32" t="s">
        <v>376</v>
      </c>
      <c r="E223" s="32" t="s">
        <v>379</v>
      </c>
      <c r="F223" s="32" t="s">
        <v>443</v>
      </c>
      <c r="G223" s="32" t="s">
        <v>443</v>
      </c>
      <c r="H223" s="32" t="s">
        <v>443</v>
      </c>
      <c r="I223" s="32" t="s">
        <v>380</v>
      </c>
      <c r="J223" s="32" t="s">
        <v>28</v>
      </c>
      <c r="K223" s="32" t="s">
        <v>28</v>
      </c>
      <c r="L223" s="32" t="s">
        <v>28</v>
      </c>
    </row>
    <row r="224" spans="1:15" x14ac:dyDescent="0.3">
      <c r="A224" s="32" t="s">
        <v>272</v>
      </c>
      <c r="B224" s="32">
        <v>7</v>
      </c>
      <c r="C224" s="32" t="s">
        <v>40</v>
      </c>
      <c r="D224" s="32" t="s">
        <v>376</v>
      </c>
      <c r="E224" s="32" t="s">
        <v>34</v>
      </c>
      <c r="F224" s="32" t="s">
        <v>34</v>
      </c>
      <c r="G224" s="32" t="s">
        <v>379</v>
      </c>
      <c r="H224" s="32" t="s">
        <v>443</v>
      </c>
      <c r="I224" s="32" t="s">
        <v>443</v>
      </c>
      <c r="J224" s="32" t="s">
        <v>381</v>
      </c>
      <c r="K224" s="32" t="s">
        <v>444</v>
      </c>
      <c r="L224" s="32" t="s">
        <v>444</v>
      </c>
    </row>
    <row r="225" spans="1:12" x14ac:dyDescent="0.3">
      <c r="A225" s="32" t="s">
        <v>273</v>
      </c>
      <c r="B225" s="32">
        <v>7</v>
      </c>
      <c r="C225" s="32" t="s">
        <v>40</v>
      </c>
      <c r="D225" s="32" t="s">
        <v>376</v>
      </c>
      <c r="E225" s="32" t="s">
        <v>380</v>
      </c>
      <c r="F225" s="32" t="s">
        <v>28</v>
      </c>
      <c r="G225" s="32" t="s">
        <v>28</v>
      </c>
      <c r="H225" s="32" t="s">
        <v>28</v>
      </c>
      <c r="I225" s="32" t="s">
        <v>381</v>
      </c>
      <c r="J225" s="32" t="s">
        <v>444</v>
      </c>
      <c r="K225" s="32" t="s">
        <v>444</v>
      </c>
      <c r="L225" s="32" t="s">
        <v>444</v>
      </c>
    </row>
    <row r="226" spans="1:12" x14ac:dyDescent="0.3">
      <c r="A226" s="32" t="s">
        <v>534</v>
      </c>
      <c r="B226" s="32">
        <v>7</v>
      </c>
      <c r="C226" s="32" t="s">
        <v>40</v>
      </c>
      <c r="D226" s="32" t="s">
        <v>600</v>
      </c>
      <c r="E226" s="32" t="s">
        <v>601</v>
      </c>
      <c r="F226" s="32" t="s">
        <v>26</v>
      </c>
      <c r="G226" s="32" t="s">
        <v>601</v>
      </c>
      <c r="H226" s="32" t="s">
        <v>26</v>
      </c>
    </row>
    <row r="227" spans="1:12" x14ac:dyDescent="0.3">
      <c r="A227" s="32" t="s">
        <v>535</v>
      </c>
      <c r="B227" s="32">
        <v>7</v>
      </c>
      <c r="C227" s="32" t="s">
        <v>40</v>
      </c>
      <c r="D227" s="32" t="s">
        <v>600</v>
      </c>
      <c r="E227" s="32" t="s">
        <v>602</v>
      </c>
      <c r="F227" s="32" t="s">
        <v>443</v>
      </c>
      <c r="G227" s="32" t="s">
        <v>602</v>
      </c>
      <c r="H227" s="32" t="s">
        <v>443</v>
      </c>
    </row>
    <row r="228" spans="1:12" x14ac:dyDescent="0.3">
      <c r="A228" s="32" t="s">
        <v>536</v>
      </c>
      <c r="B228" s="32">
        <v>7</v>
      </c>
      <c r="C228" s="32" t="s">
        <v>40</v>
      </c>
      <c r="D228" s="32" t="s">
        <v>600</v>
      </c>
      <c r="E228" s="32" t="s">
        <v>598</v>
      </c>
      <c r="F228" s="32" t="s">
        <v>28</v>
      </c>
      <c r="G228" s="32" t="s">
        <v>598</v>
      </c>
      <c r="H228" s="32" t="s">
        <v>28</v>
      </c>
    </row>
    <row r="229" spans="1:12" x14ac:dyDescent="0.3">
      <c r="A229" s="32" t="s">
        <v>537</v>
      </c>
      <c r="B229" s="32">
        <v>7</v>
      </c>
      <c r="C229" s="32" t="s">
        <v>40</v>
      </c>
      <c r="D229" s="32" t="s">
        <v>600</v>
      </c>
      <c r="E229" s="32" t="s">
        <v>599</v>
      </c>
      <c r="F229" s="32" t="s">
        <v>444</v>
      </c>
      <c r="G229" s="32" t="s">
        <v>599</v>
      </c>
      <c r="H229" s="32" t="s">
        <v>444</v>
      </c>
    </row>
    <row r="230" spans="1:12" x14ac:dyDescent="0.3">
      <c r="A230" s="32" t="s">
        <v>538</v>
      </c>
      <c r="B230" s="32">
        <v>7</v>
      </c>
      <c r="C230" s="32" t="s">
        <v>40</v>
      </c>
      <c r="D230" s="32" t="s">
        <v>600</v>
      </c>
      <c r="E230" s="32" t="s">
        <v>601</v>
      </c>
      <c r="F230" s="32" t="s">
        <v>26</v>
      </c>
      <c r="G230" s="32" t="s">
        <v>602</v>
      </c>
      <c r="H230" s="32" t="s">
        <v>443</v>
      </c>
    </row>
    <row r="231" spans="1:12" x14ac:dyDescent="0.3">
      <c r="A231" s="32" t="s">
        <v>539</v>
      </c>
      <c r="B231" s="32">
        <v>7</v>
      </c>
      <c r="C231" s="32" t="s">
        <v>40</v>
      </c>
      <c r="D231" s="32" t="s">
        <v>600</v>
      </c>
      <c r="E231" s="32" t="s">
        <v>25</v>
      </c>
      <c r="F231" s="32" t="s">
        <v>25</v>
      </c>
      <c r="G231" s="32" t="s">
        <v>601</v>
      </c>
      <c r="H231" s="32" t="s">
        <v>598</v>
      </c>
    </row>
    <row r="232" spans="1:12" x14ac:dyDescent="0.3">
      <c r="A232" s="32" t="s">
        <v>540</v>
      </c>
      <c r="B232" s="32">
        <v>7</v>
      </c>
      <c r="C232" s="32" t="s">
        <v>40</v>
      </c>
      <c r="D232" s="32" t="s">
        <v>600</v>
      </c>
      <c r="E232" s="32" t="s">
        <v>602</v>
      </c>
      <c r="F232" s="32" t="s">
        <v>443</v>
      </c>
      <c r="G232" s="32" t="s">
        <v>598</v>
      </c>
      <c r="H232" s="32" t="s">
        <v>28</v>
      </c>
    </row>
    <row r="233" spans="1:12" x14ac:dyDescent="0.3">
      <c r="A233" s="32" t="s">
        <v>541</v>
      </c>
      <c r="B233" s="32">
        <v>7</v>
      </c>
      <c r="C233" s="32" t="s">
        <v>40</v>
      </c>
      <c r="D233" s="32" t="s">
        <v>600</v>
      </c>
      <c r="E233" s="32" t="s">
        <v>25</v>
      </c>
      <c r="F233" s="32" t="s">
        <v>25</v>
      </c>
      <c r="G233" s="32" t="s">
        <v>25</v>
      </c>
      <c r="H233" s="32" t="s">
        <v>25</v>
      </c>
      <c r="I233" s="32" t="s">
        <v>602</v>
      </c>
      <c r="J233" s="32" t="s">
        <v>443</v>
      </c>
      <c r="K233" s="32" t="s">
        <v>599</v>
      </c>
      <c r="L233" s="32" t="s">
        <v>444</v>
      </c>
    </row>
    <row r="234" spans="1:12" x14ac:dyDescent="0.3">
      <c r="A234" s="32" t="s">
        <v>542</v>
      </c>
      <c r="B234" s="32">
        <v>7</v>
      </c>
      <c r="C234" s="32" t="s">
        <v>40</v>
      </c>
      <c r="D234" s="32" t="s">
        <v>600</v>
      </c>
      <c r="E234" s="32" t="s">
        <v>25</v>
      </c>
      <c r="F234" s="32" t="s">
        <v>25</v>
      </c>
      <c r="G234" s="32" t="s">
        <v>598</v>
      </c>
      <c r="H234" s="32" t="s">
        <v>28</v>
      </c>
      <c r="I234" s="32" t="s">
        <v>599</v>
      </c>
      <c r="J234" s="32" t="s">
        <v>444</v>
      </c>
    </row>
    <row r="235" spans="1:12" x14ac:dyDescent="0.3">
      <c r="A235" s="32" t="s">
        <v>543</v>
      </c>
      <c r="B235" s="32">
        <v>7</v>
      </c>
      <c r="C235" s="32" t="s">
        <v>40</v>
      </c>
      <c r="D235" s="32" t="s">
        <v>597</v>
      </c>
      <c r="E235" s="32" t="s">
        <v>602</v>
      </c>
      <c r="F235" s="32" t="s">
        <v>443</v>
      </c>
      <c r="G235" s="32" t="s">
        <v>602</v>
      </c>
      <c r="H235" s="32" t="s">
        <v>443</v>
      </c>
    </row>
    <row r="236" spans="1:12" x14ac:dyDescent="0.3">
      <c r="A236" s="32" t="s">
        <v>544</v>
      </c>
      <c r="B236" s="32">
        <v>7</v>
      </c>
      <c r="C236" s="32" t="s">
        <v>40</v>
      </c>
      <c r="D236" s="32" t="s">
        <v>597</v>
      </c>
      <c r="E236" s="32" t="s">
        <v>598</v>
      </c>
      <c r="F236" s="32" t="s">
        <v>28</v>
      </c>
      <c r="G236" s="32" t="s">
        <v>28</v>
      </c>
      <c r="H236" s="32" t="s">
        <v>598</v>
      </c>
      <c r="I236" s="32" t="s">
        <v>28</v>
      </c>
      <c r="J236" s="32" t="s">
        <v>28</v>
      </c>
    </row>
    <row r="237" spans="1:12" x14ac:dyDescent="0.3">
      <c r="A237" s="32" t="s">
        <v>545</v>
      </c>
      <c r="B237" s="32">
        <v>7</v>
      </c>
      <c r="C237" s="32" t="s">
        <v>40</v>
      </c>
      <c r="D237" s="32" t="s">
        <v>597</v>
      </c>
      <c r="E237" s="32" t="s">
        <v>599</v>
      </c>
      <c r="F237" s="32" t="s">
        <v>444</v>
      </c>
      <c r="G237" s="32" t="s">
        <v>599</v>
      </c>
      <c r="H237" s="32" t="s">
        <v>444</v>
      </c>
    </row>
    <row r="238" spans="1:12" x14ac:dyDescent="0.3">
      <c r="A238" s="32" t="s">
        <v>546</v>
      </c>
      <c r="B238" s="32">
        <v>7</v>
      </c>
      <c r="C238" s="32" t="s">
        <v>40</v>
      </c>
      <c r="D238" s="32" t="s">
        <v>597</v>
      </c>
      <c r="E238" s="32" t="s">
        <v>601</v>
      </c>
      <c r="F238" s="32" t="s">
        <v>26</v>
      </c>
      <c r="G238" s="32" t="s">
        <v>26</v>
      </c>
      <c r="H238" s="32" t="s">
        <v>602</v>
      </c>
      <c r="I238" s="32" t="s">
        <v>443</v>
      </c>
      <c r="J238" s="32" t="s">
        <v>443</v>
      </c>
    </row>
    <row r="239" spans="1:12" x14ac:dyDescent="0.3">
      <c r="A239" s="32" t="s">
        <v>547</v>
      </c>
      <c r="B239" s="32">
        <v>7</v>
      </c>
      <c r="C239" s="32" t="s">
        <v>40</v>
      </c>
      <c r="D239" s="32" t="s">
        <v>597</v>
      </c>
      <c r="E239" s="32" t="s">
        <v>34</v>
      </c>
      <c r="F239" s="32" t="s">
        <v>34</v>
      </c>
      <c r="G239" s="32" t="s">
        <v>601</v>
      </c>
      <c r="H239" s="32" t="s">
        <v>598</v>
      </c>
    </row>
    <row r="240" spans="1:12" x14ac:dyDescent="0.3">
      <c r="A240" s="32" t="s">
        <v>548</v>
      </c>
      <c r="B240" s="32">
        <v>7</v>
      </c>
      <c r="C240" s="32" t="s">
        <v>40</v>
      </c>
      <c r="D240" s="32" t="s">
        <v>597</v>
      </c>
      <c r="E240" s="32" t="s">
        <v>602</v>
      </c>
      <c r="F240" s="32" t="s">
        <v>443</v>
      </c>
      <c r="G240" s="32" t="s">
        <v>598</v>
      </c>
      <c r="H240" s="32" t="s">
        <v>28</v>
      </c>
    </row>
    <row r="241" spans="1:18" x14ac:dyDescent="0.3">
      <c r="A241" s="32" t="s">
        <v>549</v>
      </c>
      <c r="B241" s="32">
        <v>7</v>
      </c>
      <c r="C241" s="32" t="s">
        <v>40</v>
      </c>
      <c r="D241" s="32" t="s">
        <v>597</v>
      </c>
      <c r="E241" s="32" t="s">
        <v>602</v>
      </c>
      <c r="F241" s="32" t="s">
        <v>443</v>
      </c>
      <c r="G241" s="32" t="s">
        <v>599</v>
      </c>
      <c r="H241" s="32" t="s">
        <v>444</v>
      </c>
    </row>
    <row r="242" spans="1:18" x14ac:dyDescent="0.3">
      <c r="A242" s="32" t="s">
        <v>550</v>
      </c>
      <c r="B242" s="32">
        <v>7</v>
      </c>
      <c r="C242" s="32" t="s">
        <v>40</v>
      </c>
      <c r="D242" s="32" t="s">
        <v>597</v>
      </c>
      <c r="E242" s="32" t="s">
        <v>598</v>
      </c>
      <c r="F242" s="32" t="s">
        <v>28</v>
      </c>
      <c r="G242" s="32" t="s">
        <v>599</v>
      </c>
      <c r="H242" s="32" t="s">
        <v>444</v>
      </c>
    </row>
    <row r="243" spans="1:18" x14ac:dyDescent="0.3">
      <c r="A243" s="32" t="s">
        <v>274</v>
      </c>
      <c r="B243" s="32">
        <v>10</v>
      </c>
      <c r="C243" s="32" t="s">
        <v>40</v>
      </c>
      <c r="D243" s="32" t="s">
        <v>378</v>
      </c>
      <c r="E243" s="32" t="s">
        <v>25</v>
      </c>
      <c r="F243" s="32" t="s">
        <v>25</v>
      </c>
      <c r="G243" s="32" t="s">
        <v>25</v>
      </c>
      <c r="H243" s="32" t="s">
        <v>378</v>
      </c>
      <c r="I243" s="32" t="s">
        <v>25</v>
      </c>
      <c r="J243" s="32" t="s">
        <v>25</v>
      </c>
      <c r="K243" s="32" t="s">
        <v>25</v>
      </c>
      <c r="L243" s="32" t="s">
        <v>377</v>
      </c>
      <c r="M243" s="32" t="s">
        <v>26</v>
      </c>
      <c r="N243" s="32" t="s">
        <v>26</v>
      </c>
      <c r="O243" s="32" t="s">
        <v>26</v>
      </c>
      <c r="P243" s="32" t="s">
        <v>26</v>
      </c>
    </row>
    <row r="244" spans="1:18" x14ac:dyDescent="0.3">
      <c r="A244" s="32" t="s">
        <v>275</v>
      </c>
      <c r="B244" s="32">
        <v>9</v>
      </c>
      <c r="C244" s="32" t="s">
        <v>40</v>
      </c>
      <c r="D244" s="32" t="s">
        <v>378</v>
      </c>
      <c r="E244" s="32" t="s">
        <v>25</v>
      </c>
      <c r="F244" s="32" t="s">
        <v>25</v>
      </c>
      <c r="G244" s="32" t="s">
        <v>25</v>
      </c>
      <c r="H244" s="32" t="s">
        <v>25</v>
      </c>
      <c r="I244" s="32" t="s">
        <v>378</v>
      </c>
      <c r="J244" s="32" t="s">
        <v>25</v>
      </c>
      <c r="K244" s="32" t="s">
        <v>25</v>
      </c>
      <c r="L244" s="32" t="s">
        <v>25</v>
      </c>
      <c r="M244" s="32" t="s">
        <v>25</v>
      </c>
      <c r="N244" s="32" t="s">
        <v>379</v>
      </c>
      <c r="O244" s="32" t="s">
        <v>443</v>
      </c>
      <c r="P244" s="32" t="s">
        <v>443</v>
      </c>
      <c r="Q244" s="32" t="s">
        <v>443</v>
      </c>
      <c r="R244" s="32" t="s">
        <v>443</v>
      </c>
    </row>
    <row r="245" spans="1:18" x14ac:dyDescent="0.3">
      <c r="A245" s="32" t="s">
        <v>276</v>
      </c>
      <c r="B245" s="32">
        <v>9</v>
      </c>
      <c r="C245" s="32" t="s">
        <v>40</v>
      </c>
      <c r="D245" s="32" t="s">
        <v>378</v>
      </c>
      <c r="E245" s="32" t="s">
        <v>25</v>
      </c>
      <c r="F245" s="32" t="s">
        <v>25</v>
      </c>
      <c r="G245" s="32" t="s">
        <v>378</v>
      </c>
      <c r="H245" s="32" t="s">
        <v>25</v>
      </c>
      <c r="I245" s="32" t="s">
        <v>25</v>
      </c>
      <c r="J245" s="32" t="s">
        <v>380</v>
      </c>
      <c r="K245" s="32" t="s">
        <v>28</v>
      </c>
      <c r="L245" s="32" t="s">
        <v>28</v>
      </c>
      <c r="M245" s="32" t="s">
        <v>28</v>
      </c>
      <c r="N245" s="32" t="s">
        <v>28</v>
      </c>
      <c r="O245" s="32" t="s">
        <v>28</v>
      </c>
      <c r="P245" s="32" t="s">
        <v>28</v>
      </c>
      <c r="Q245" s="32" t="s">
        <v>28</v>
      </c>
    </row>
    <row r="246" spans="1:18" x14ac:dyDescent="0.3">
      <c r="A246" s="32" t="s">
        <v>277</v>
      </c>
      <c r="B246" s="32">
        <v>9</v>
      </c>
      <c r="C246" s="32" t="s">
        <v>40</v>
      </c>
      <c r="D246" s="32" t="s">
        <v>378</v>
      </c>
      <c r="E246" s="32" t="s">
        <v>378</v>
      </c>
      <c r="F246" s="32" t="s">
        <v>381</v>
      </c>
      <c r="G246" s="32" t="s">
        <v>444</v>
      </c>
      <c r="H246" s="32" t="s">
        <v>444</v>
      </c>
      <c r="I246" s="32" t="s">
        <v>444</v>
      </c>
      <c r="J246" s="32" t="s">
        <v>444</v>
      </c>
      <c r="K246" s="32" t="s">
        <v>444</v>
      </c>
      <c r="L246" s="32" t="s">
        <v>444</v>
      </c>
      <c r="M246" s="32" t="s">
        <v>444</v>
      </c>
      <c r="N246" s="32" t="s">
        <v>444</v>
      </c>
      <c r="O246" s="32" t="s">
        <v>444</v>
      </c>
    </row>
    <row r="247" spans="1:18" x14ac:dyDescent="0.3">
      <c r="A247" s="32" t="s">
        <v>278</v>
      </c>
      <c r="B247" s="32">
        <v>9</v>
      </c>
      <c r="C247" s="32" t="s">
        <v>40</v>
      </c>
      <c r="D247" s="32" t="s">
        <v>376</v>
      </c>
      <c r="E247" s="32" t="s">
        <v>34</v>
      </c>
      <c r="F247" s="32" t="s">
        <v>34</v>
      </c>
      <c r="G247" s="32" t="s">
        <v>376</v>
      </c>
      <c r="H247" s="32" t="s">
        <v>34</v>
      </c>
      <c r="I247" s="32" t="s">
        <v>34</v>
      </c>
      <c r="J247" s="32" t="s">
        <v>377</v>
      </c>
      <c r="K247" s="32" t="s">
        <v>26</v>
      </c>
      <c r="L247" s="32" t="s">
        <v>26</v>
      </c>
      <c r="M247" s="32" t="s">
        <v>26</v>
      </c>
      <c r="N247" s="32" t="s">
        <v>26</v>
      </c>
    </row>
    <row r="248" spans="1:18" x14ac:dyDescent="0.3">
      <c r="A248" s="32" t="s">
        <v>279</v>
      </c>
      <c r="B248" s="32">
        <v>9</v>
      </c>
      <c r="C248" s="32" t="s">
        <v>40</v>
      </c>
      <c r="D248" s="32" t="s">
        <v>376</v>
      </c>
      <c r="E248" s="32" t="s">
        <v>34</v>
      </c>
      <c r="F248" s="32" t="s">
        <v>34</v>
      </c>
      <c r="G248" s="32" t="s">
        <v>376</v>
      </c>
      <c r="H248" s="32" t="s">
        <v>34</v>
      </c>
      <c r="I248" s="32" t="s">
        <v>34</v>
      </c>
      <c r="J248" s="32" t="s">
        <v>379</v>
      </c>
      <c r="K248" s="32" t="s">
        <v>443</v>
      </c>
      <c r="L248" s="32" t="s">
        <v>443</v>
      </c>
      <c r="M248" s="32" t="s">
        <v>443</v>
      </c>
      <c r="N248" s="32" t="s">
        <v>443</v>
      </c>
      <c r="O248" s="32" t="s">
        <v>443</v>
      </c>
      <c r="P248" s="32" t="s">
        <v>443</v>
      </c>
    </row>
    <row r="249" spans="1:18" x14ac:dyDescent="0.3">
      <c r="A249" s="32" t="s">
        <v>280</v>
      </c>
      <c r="B249" s="32">
        <v>9</v>
      </c>
      <c r="C249" s="32" t="s">
        <v>40</v>
      </c>
      <c r="D249" s="32" t="s">
        <v>376</v>
      </c>
      <c r="E249" s="32" t="s">
        <v>376</v>
      </c>
      <c r="F249" s="32" t="s">
        <v>380</v>
      </c>
      <c r="G249" s="32" t="s">
        <v>28</v>
      </c>
      <c r="H249" s="32" t="s">
        <v>28</v>
      </c>
      <c r="I249" s="32" t="s">
        <v>28</v>
      </c>
      <c r="J249" s="32" t="s">
        <v>28</v>
      </c>
      <c r="K249" s="32" t="s">
        <v>28</v>
      </c>
      <c r="L249" s="32" t="s">
        <v>28</v>
      </c>
      <c r="M249" s="32" t="s">
        <v>28</v>
      </c>
      <c r="N249" s="32" t="s">
        <v>28</v>
      </c>
      <c r="O249" s="32" t="s">
        <v>28</v>
      </c>
      <c r="P249" s="32" t="s">
        <v>28</v>
      </c>
      <c r="Q249" s="32" t="s">
        <v>28</v>
      </c>
      <c r="R249" s="32" t="s">
        <v>28</v>
      </c>
    </row>
    <row r="250" spans="1:18" x14ac:dyDescent="0.3">
      <c r="A250" s="32" t="s">
        <v>281</v>
      </c>
      <c r="B250" s="32">
        <v>9</v>
      </c>
      <c r="C250" s="32" t="s">
        <v>40</v>
      </c>
      <c r="D250" s="32" t="s">
        <v>376</v>
      </c>
      <c r="E250" s="32" t="s">
        <v>34</v>
      </c>
      <c r="F250" s="32" t="s">
        <v>34</v>
      </c>
      <c r="G250" s="32" t="s">
        <v>376</v>
      </c>
      <c r="H250" s="32" t="s">
        <v>34</v>
      </c>
      <c r="I250" s="32" t="s">
        <v>34</v>
      </c>
      <c r="J250" s="32" t="s">
        <v>381</v>
      </c>
      <c r="K250" s="32" t="s">
        <v>444</v>
      </c>
      <c r="L250" s="32" t="s">
        <v>444</v>
      </c>
      <c r="M250" s="32" t="s">
        <v>444</v>
      </c>
      <c r="N250" s="32" t="s">
        <v>444</v>
      </c>
    </row>
    <row r="251" spans="1:18" x14ac:dyDescent="0.3">
      <c r="A251" s="32" t="s">
        <v>282</v>
      </c>
      <c r="B251" s="32">
        <v>9</v>
      </c>
      <c r="C251" s="32" t="s">
        <v>40</v>
      </c>
      <c r="D251" s="32" t="s">
        <v>378</v>
      </c>
      <c r="E251" s="32" t="s">
        <v>25</v>
      </c>
      <c r="F251" s="32" t="s">
        <v>376</v>
      </c>
      <c r="G251" s="32" t="s">
        <v>34</v>
      </c>
      <c r="H251" s="32" t="s">
        <v>377</v>
      </c>
      <c r="I251" s="32" t="s">
        <v>26</v>
      </c>
      <c r="J251" s="32" t="s">
        <v>26</v>
      </c>
      <c r="K251" s="32" t="s">
        <v>26</v>
      </c>
      <c r="L251" s="32" t="s">
        <v>26</v>
      </c>
      <c r="M251" s="32" t="s">
        <v>26</v>
      </c>
      <c r="N251" s="32" t="s">
        <v>26</v>
      </c>
      <c r="O251" s="32" t="s">
        <v>26</v>
      </c>
    </row>
    <row r="252" spans="1:18" x14ac:dyDescent="0.3">
      <c r="A252" s="32" t="s">
        <v>283</v>
      </c>
      <c r="B252" s="32">
        <v>9</v>
      </c>
      <c r="C252" s="32" t="s">
        <v>40</v>
      </c>
      <c r="D252" s="32" t="s">
        <v>378</v>
      </c>
      <c r="E252" s="32" t="s">
        <v>25</v>
      </c>
      <c r="F252" s="32" t="s">
        <v>376</v>
      </c>
      <c r="G252" s="32" t="s">
        <v>34</v>
      </c>
      <c r="H252" s="32" t="s">
        <v>379</v>
      </c>
      <c r="I252" s="32" t="s">
        <v>443</v>
      </c>
      <c r="J252" s="32" t="s">
        <v>443</v>
      </c>
      <c r="K252" s="32" t="s">
        <v>443</v>
      </c>
      <c r="L252" s="32" t="s">
        <v>443</v>
      </c>
      <c r="M252" s="32" t="s">
        <v>443</v>
      </c>
      <c r="N252" s="32" t="s">
        <v>443</v>
      </c>
      <c r="O252" s="32" t="s">
        <v>443</v>
      </c>
      <c r="P252" s="32" t="s">
        <v>443</v>
      </c>
    </row>
    <row r="253" spans="1:18" x14ac:dyDescent="0.3">
      <c r="A253" s="32" t="s">
        <v>284</v>
      </c>
      <c r="B253" s="32">
        <v>9</v>
      </c>
      <c r="C253" s="32" t="s">
        <v>40</v>
      </c>
      <c r="D253" s="32" t="s">
        <v>378</v>
      </c>
      <c r="E253" s="32" t="s">
        <v>25</v>
      </c>
      <c r="F253" s="32" t="s">
        <v>25</v>
      </c>
      <c r="G253" s="32" t="s">
        <v>25</v>
      </c>
      <c r="H253" s="32" t="s">
        <v>376</v>
      </c>
      <c r="I253" s="32" t="s">
        <v>34</v>
      </c>
      <c r="J253" s="32" t="s">
        <v>34</v>
      </c>
      <c r="K253" s="32" t="s">
        <v>34</v>
      </c>
      <c r="L253" s="32" t="s">
        <v>380</v>
      </c>
      <c r="M253" s="32" t="s">
        <v>28</v>
      </c>
      <c r="N253" s="32" t="s">
        <v>28</v>
      </c>
      <c r="O253" s="32" t="s">
        <v>28</v>
      </c>
      <c r="P253" s="32" t="s">
        <v>28</v>
      </c>
    </row>
    <row r="254" spans="1:18" x14ac:dyDescent="0.3">
      <c r="A254" s="32" t="s">
        <v>285</v>
      </c>
      <c r="B254" s="32">
        <v>9</v>
      </c>
      <c r="C254" s="32" t="s">
        <v>40</v>
      </c>
      <c r="D254" s="32" t="s">
        <v>378</v>
      </c>
      <c r="E254" s="32" t="s">
        <v>25</v>
      </c>
      <c r="F254" s="32" t="s">
        <v>25</v>
      </c>
      <c r="G254" s="32" t="s">
        <v>25</v>
      </c>
      <c r="H254" s="32" t="s">
        <v>25</v>
      </c>
      <c r="I254" s="32" t="s">
        <v>376</v>
      </c>
      <c r="J254" s="32" t="s">
        <v>34</v>
      </c>
      <c r="K254" s="32" t="s">
        <v>34</v>
      </c>
      <c r="L254" s="32" t="s">
        <v>34</v>
      </c>
      <c r="M254" s="32" t="s">
        <v>34</v>
      </c>
      <c r="N254" s="32" t="s">
        <v>381</v>
      </c>
      <c r="O254" s="32" t="s">
        <v>444</v>
      </c>
      <c r="P254" s="32" t="s">
        <v>444</v>
      </c>
    </row>
    <row r="255" spans="1:18" x14ac:dyDescent="0.3">
      <c r="A255" s="32" t="s">
        <v>551</v>
      </c>
      <c r="B255" s="32">
        <v>9</v>
      </c>
      <c r="C255" s="32" t="s">
        <v>40</v>
      </c>
      <c r="D255" s="32" t="s">
        <v>600</v>
      </c>
      <c r="E255" s="32" t="s">
        <v>25</v>
      </c>
      <c r="F255" s="32" t="s">
        <v>25</v>
      </c>
      <c r="G255" s="32" t="s">
        <v>600</v>
      </c>
      <c r="H255" s="32" t="s">
        <v>25</v>
      </c>
      <c r="I255" s="32" t="s">
        <v>25</v>
      </c>
      <c r="J255" s="32" t="s">
        <v>601</v>
      </c>
      <c r="K255" s="32" t="s">
        <v>26</v>
      </c>
      <c r="L255" s="32" t="s">
        <v>26</v>
      </c>
    </row>
    <row r="256" spans="1:18" x14ac:dyDescent="0.3">
      <c r="A256" s="32" t="s">
        <v>552</v>
      </c>
      <c r="B256" s="32">
        <v>9</v>
      </c>
      <c r="C256" s="32" t="s">
        <v>40</v>
      </c>
      <c r="D256" s="32" t="s">
        <v>600</v>
      </c>
      <c r="E256" s="32" t="s">
        <v>25</v>
      </c>
      <c r="F256" s="32" t="s">
        <v>600</v>
      </c>
      <c r="G256" s="32" t="s">
        <v>25</v>
      </c>
      <c r="H256" s="32" t="s">
        <v>602</v>
      </c>
      <c r="I256" s="32" t="s">
        <v>443</v>
      </c>
      <c r="J256" s="32" t="s">
        <v>443</v>
      </c>
      <c r="K256" s="32" t="s">
        <v>443</v>
      </c>
      <c r="L256" s="32" t="s">
        <v>443</v>
      </c>
      <c r="M256" s="32" t="s">
        <v>443</v>
      </c>
    </row>
    <row r="257" spans="1:19" x14ac:dyDescent="0.3">
      <c r="A257" s="32" t="s">
        <v>553</v>
      </c>
      <c r="B257" s="32">
        <v>9</v>
      </c>
      <c r="C257" s="32" t="s">
        <v>40</v>
      </c>
      <c r="D257" s="32" t="s">
        <v>600</v>
      </c>
      <c r="E257" s="32" t="s">
        <v>600</v>
      </c>
      <c r="F257" s="32" t="s">
        <v>598</v>
      </c>
      <c r="G257" s="32" t="s">
        <v>28</v>
      </c>
      <c r="H257" s="32" t="s">
        <v>28</v>
      </c>
      <c r="I257" s="32" t="s">
        <v>28</v>
      </c>
      <c r="J257" s="32" t="s">
        <v>28</v>
      </c>
      <c r="K257" s="32" t="s">
        <v>28</v>
      </c>
      <c r="L257" s="32" t="s">
        <v>28</v>
      </c>
    </row>
    <row r="258" spans="1:19" x14ac:dyDescent="0.3">
      <c r="A258" s="32" t="s">
        <v>554</v>
      </c>
      <c r="B258" s="32">
        <v>9</v>
      </c>
      <c r="C258" s="32" t="s">
        <v>40</v>
      </c>
      <c r="D258" s="32" t="s">
        <v>600</v>
      </c>
      <c r="E258" s="32" t="s">
        <v>25</v>
      </c>
      <c r="F258" s="32" t="s">
        <v>600</v>
      </c>
      <c r="G258" s="32" t="s">
        <v>25</v>
      </c>
      <c r="H258" s="32" t="s">
        <v>599</v>
      </c>
      <c r="I258" s="32" t="s">
        <v>444</v>
      </c>
      <c r="J258" s="32" t="s">
        <v>444</v>
      </c>
    </row>
    <row r="259" spans="1:19" x14ac:dyDescent="0.3">
      <c r="A259" s="32" t="s">
        <v>555</v>
      </c>
      <c r="B259" s="32">
        <v>9</v>
      </c>
      <c r="C259" s="32" t="s">
        <v>40</v>
      </c>
      <c r="D259" s="32" t="s">
        <v>597</v>
      </c>
      <c r="E259" s="32" t="s">
        <v>34</v>
      </c>
      <c r="F259" s="32" t="s">
        <v>34</v>
      </c>
      <c r="G259" s="32" t="s">
        <v>34</v>
      </c>
      <c r="H259" s="32" t="s">
        <v>597</v>
      </c>
      <c r="I259" s="32" t="s">
        <v>34</v>
      </c>
      <c r="J259" s="32" t="s">
        <v>34</v>
      </c>
      <c r="K259" s="32" t="s">
        <v>34</v>
      </c>
      <c r="L259" s="32" t="s">
        <v>601</v>
      </c>
    </row>
    <row r="260" spans="1:19" x14ac:dyDescent="0.3">
      <c r="A260" s="32" t="s">
        <v>556</v>
      </c>
      <c r="B260" s="32">
        <v>9</v>
      </c>
      <c r="C260" s="32" t="s">
        <v>40</v>
      </c>
      <c r="D260" s="32" t="s">
        <v>597</v>
      </c>
      <c r="E260" s="32" t="s">
        <v>34</v>
      </c>
      <c r="F260" s="32" t="s">
        <v>34</v>
      </c>
      <c r="G260" s="32" t="s">
        <v>597</v>
      </c>
      <c r="H260" s="32" t="s">
        <v>34</v>
      </c>
      <c r="I260" s="32" t="s">
        <v>34</v>
      </c>
      <c r="J260" s="32" t="s">
        <v>602</v>
      </c>
      <c r="K260" s="32" t="s">
        <v>443</v>
      </c>
      <c r="L260" s="32" t="s">
        <v>443</v>
      </c>
      <c r="M260" s="32" t="s">
        <v>443</v>
      </c>
      <c r="N260" s="32" t="s">
        <v>443</v>
      </c>
    </row>
    <row r="261" spans="1:19" x14ac:dyDescent="0.3">
      <c r="A261" s="32" t="s">
        <v>557</v>
      </c>
      <c r="B261" s="32">
        <v>9</v>
      </c>
      <c r="C261" s="32" t="s">
        <v>40</v>
      </c>
      <c r="D261" s="32" t="s">
        <v>597</v>
      </c>
      <c r="E261" s="32" t="s">
        <v>597</v>
      </c>
      <c r="F261" s="32" t="s">
        <v>598</v>
      </c>
      <c r="G261" s="32" t="s">
        <v>28</v>
      </c>
      <c r="H261" s="32" t="s">
        <v>28</v>
      </c>
      <c r="I261" s="32" t="s">
        <v>28</v>
      </c>
      <c r="J261" s="32" t="s">
        <v>28</v>
      </c>
      <c r="K261" s="32" t="s">
        <v>28</v>
      </c>
    </row>
    <row r="262" spans="1:19" x14ac:dyDescent="0.3">
      <c r="A262" s="32" t="s">
        <v>558</v>
      </c>
      <c r="B262" s="32">
        <v>9</v>
      </c>
      <c r="C262" s="32" t="s">
        <v>40</v>
      </c>
      <c r="D262" s="32" t="s">
        <v>597</v>
      </c>
      <c r="E262" s="32" t="s">
        <v>597</v>
      </c>
      <c r="F262" s="32" t="s">
        <v>599</v>
      </c>
      <c r="G262" s="32" t="s">
        <v>444</v>
      </c>
      <c r="H262" s="32" t="s">
        <v>444</v>
      </c>
      <c r="I262" s="32" t="s">
        <v>444</v>
      </c>
      <c r="J262" s="32" t="s">
        <v>444</v>
      </c>
    </row>
    <row r="263" spans="1:19" x14ac:dyDescent="0.3">
      <c r="A263" s="32" t="s">
        <v>559</v>
      </c>
      <c r="B263" s="32">
        <v>9</v>
      </c>
      <c r="C263" s="32" t="s">
        <v>40</v>
      </c>
      <c r="D263" s="32" t="s">
        <v>600</v>
      </c>
      <c r="E263" s="32" t="s">
        <v>25</v>
      </c>
      <c r="F263" s="32" t="s">
        <v>25</v>
      </c>
      <c r="G263" s="32" t="s">
        <v>25</v>
      </c>
      <c r="H263" s="32" t="s">
        <v>597</v>
      </c>
      <c r="I263" s="32" t="s">
        <v>34</v>
      </c>
      <c r="J263" s="32" t="s">
        <v>34</v>
      </c>
      <c r="K263" s="32" t="s">
        <v>34</v>
      </c>
      <c r="L263" s="32" t="s">
        <v>601</v>
      </c>
    </row>
    <row r="264" spans="1:19" x14ac:dyDescent="0.3">
      <c r="A264" s="32" t="s">
        <v>560</v>
      </c>
      <c r="B264" s="32">
        <v>9</v>
      </c>
      <c r="C264" s="32" t="s">
        <v>40</v>
      </c>
      <c r="D264" s="32" t="s">
        <v>600</v>
      </c>
      <c r="E264" s="32" t="s">
        <v>25</v>
      </c>
      <c r="F264" s="32" t="s">
        <v>25</v>
      </c>
      <c r="G264" s="32" t="s">
        <v>25</v>
      </c>
      <c r="H264" s="32" t="s">
        <v>597</v>
      </c>
      <c r="I264" s="32" t="s">
        <v>34</v>
      </c>
      <c r="J264" s="32" t="s">
        <v>34</v>
      </c>
      <c r="K264" s="32" t="s">
        <v>34</v>
      </c>
      <c r="L264" s="32" t="s">
        <v>602</v>
      </c>
      <c r="M264" s="32" t="s">
        <v>443</v>
      </c>
      <c r="N264" s="32" t="s">
        <v>443</v>
      </c>
    </row>
    <row r="265" spans="1:19" x14ac:dyDescent="0.3">
      <c r="A265" s="32" t="s">
        <v>561</v>
      </c>
      <c r="B265" s="32">
        <v>9</v>
      </c>
      <c r="C265" s="32" t="s">
        <v>40</v>
      </c>
      <c r="D265" s="32" t="s">
        <v>600</v>
      </c>
      <c r="E265" s="32" t="s">
        <v>597</v>
      </c>
      <c r="F265" s="32" t="s">
        <v>598</v>
      </c>
      <c r="G265" s="32" t="s">
        <v>28</v>
      </c>
      <c r="H265" s="32" t="s">
        <v>28</v>
      </c>
      <c r="I265" s="32" t="s">
        <v>28</v>
      </c>
      <c r="J265" s="32" t="s">
        <v>28</v>
      </c>
      <c r="K265" s="32" t="s">
        <v>28</v>
      </c>
    </row>
    <row r="266" spans="1:19" x14ac:dyDescent="0.3">
      <c r="A266" s="32" t="s">
        <v>562</v>
      </c>
      <c r="B266" s="32">
        <v>9</v>
      </c>
      <c r="C266" s="32" t="s">
        <v>40</v>
      </c>
      <c r="D266" s="32" t="s">
        <v>600</v>
      </c>
      <c r="E266" s="32" t="s">
        <v>597</v>
      </c>
      <c r="F266" s="32" t="s">
        <v>599</v>
      </c>
      <c r="G266" s="32" t="s">
        <v>444</v>
      </c>
      <c r="H266" s="32" t="s">
        <v>444</v>
      </c>
      <c r="I266" s="32" t="s">
        <v>444</v>
      </c>
      <c r="J266" s="32" t="s">
        <v>444</v>
      </c>
    </row>
    <row r="267" spans="1:19" x14ac:dyDescent="0.3">
      <c r="A267" s="32" t="s">
        <v>286</v>
      </c>
      <c r="B267" s="32">
        <v>9</v>
      </c>
      <c r="C267" s="32" t="s">
        <v>40</v>
      </c>
      <c r="D267" s="32" t="s">
        <v>378</v>
      </c>
      <c r="E267" s="32" t="s">
        <v>25</v>
      </c>
      <c r="F267" s="32" t="s">
        <v>25</v>
      </c>
      <c r="G267" s="32" t="s">
        <v>377</v>
      </c>
      <c r="H267" s="32" t="s">
        <v>26</v>
      </c>
      <c r="I267" s="32" t="s">
        <v>26</v>
      </c>
      <c r="J267" s="32" t="s">
        <v>26</v>
      </c>
      <c r="K267" s="32" t="s">
        <v>377</v>
      </c>
      <c r="L267" s="32" t="s">
        <v>26</v>
      </c>
      <c r="M267" s="32" t="s">
        <v>26</v>
      </c>
      <c r="N267" s="32" t="s">
        <v>26</v>
      </c>
      <c r="O267" s="32" t="s">
        <v>26</v>
      </c>
      <c r="P267" s="32" t="s">
        <v>26</v>
      </c>
      <c r="Q267" s="32" t="s">
        <v>26</v>
      </c>
      <c r="R267" s="32" t="s">
        <v>26</v>
      </c>
    </row>
    <row r="268" spans="1:19" x14ac:dyDescent="0.3">
      <c r="A268" s="32" t="s">
        <v>287</v>
      </c>
      <c r="B268" s="32">
        <v>9</v>
      </c>
      <c r="C268" s="32" t="s">
        <v>40</v>
      </c>
      <c r="D268" s="32" t="s">
        <v>378</v>
      </c>
      <c r="E268" s="32" t="s">
        <v>25</v>
      </c>
      <c r="F268" s="32" t="s">
        <v>25</v>
      </c>
      <c r="G268" s="32" t="s">
        <v>25</v>
      </c>
      <c r="H268" s="32" t="s">
        <v>25</v>
      </c>
      <c r="I268" s="32" t="s">
        <v>379</v>
      </c>
      <c r="J268" s="32" t="s">
        <v>443</v>
      </c>
      <c r="K268" s="32" t="s">
        <v>443</v>
      </c>
      <c r="L268" s="32" t="s">
        <v>443</v>
      </c>
      <c r="M268" s="32" t="s">
        <v>379</v>
      </c>
      <c r="N268" s="32" t="s">
        <v>443</v>
      </c>
      <c r="O268" s="32" t="s">
        <v>443</v>
      </c>
      <c r="P268" s="32" t="s">
        <v>443</v>
      </c>
      <c r="Q268" s="32" t="s">
        <v>443</v>
      </c>
      <c r="R268" s="32" t="s">
        <v>443</v>
      </c>
      <c r="S268" s="32" t="s">
        <v>443</v>
      </c>
    </row>
    <row r="269" spans="1:19" x14ac:dyDescent="0.3">
      <c r="A269" s="32" t="s">
        <v>288</v>
      </c>
      <c r="B269" s="32">
        <v>9</v>
      </c>
      <c r="C269" s="32" t="s">
        <v>40</v>
      </c>
      <c r="D269" s="32" t="s">
        <v>378</v>
      </c>
      <c r="E269" s="32" t="s">
        <v>25</v>
      </c>
      <c r="F269" s="32" t="s">
        <v>25</v>
      </c>
      <c r="G269" s="32" t="s">
        <v>25</v>
      </c>
      <c r="H269" s="32" t="s">
        <v>25</v>
      </c>
      <c r="I269" s="32" t="s">
        <v>380</v>
      </c>
      <c r="J269" s="32" t="s">
        <v>28</v>
      </c>
      <c r="K269" s="32" t="s">
        <v>28</v>
      </c>
      <c r="L269" s="32" t="s">
        <v>28</v>
      </c>
      <c r="M269" s="32" t="s">
        <v>380</v>
      </c>
      <c r="N269" s="32" t="s">
        <v>28</v>
      </c>
      <c r="O269" s="32" t="s">
        <v>28</v>
      </c>
      <c r="P269" s="32" t="s">
        <v>28</v>
      </c>
    </row>
    <row r="270" spans="1:19" x14ac:dyDescent="0.3">
      <c r="A270" s="32" t="s">
        <v>289</v>
      </c>
      <c r="B270" s="32">
        <v>9</v>
      </c>
      <c r="C270" s="32" t="s">
        <v>40</v>
      </c>
      <c r="D270" s="32" t="s">
        <v>378</v>
      </c>
      <c r="E270" s="32" t="s">
        <v>381</v>
      </c>
      <c r="F270" s="32" t="s">
        <v>444</v>
      </c>
      <c r="G270" s="32" t="s">
        <v>444</v>
      </c>
      <c r="H270" s="32" t="s">
        <v>444</v>
      </c>
      <c r="I270" s="32" t="s">
        <v>381</v>
      </c>
      <c r="J270" s="32" t="s">
        <v>444</v>
      </c>
      <c r="K270" s="32" t="s">
        <v>444</v>
      </c>
      <c r="L270" s="32" t="s">
        <v>444</v>
      </c>
      <c r="M270" s="32" t="s">
        <v>444</v>
      </c>
      <c r="N270" s="32" t="s">
        <v>444</v>
      </c>
    </row>
    <row r="271" spans="1:19" x14ac:dyDescent="0.3">
      <c r="A271" s="32" t="s">
        <v>290</v>
      </c>
      <c r="B271" s="32">
        <v>9</v>
      </c>
      <c r="C271" s="32" t="s">
        <v>40</v>
      </c>
      <c r="D271" s="32" t="s">
        <v>378</v>
      </c>
      <c r="E271" s="32" t="s">
        <v>377</v>
      </c>
      <c r="F271" s="32" t="s">
        <v>26</v>
      </c>
      <c r="G271" s="32" t="s">
        <v>26</v>
      </c>
      <c r="H271" s="32" t="s">
        <v>26</v>
      </c>
      <c r="I271" s="32" t="s">
        <v>379</v>
      </c>
      <c r="J271" s="32" t="s">
        <v>443</v>
      </c>
      <c r="K271" s="32" t="s">
        <v>443</v>
      </c>
      <c r="L271" s="32" t="s">
        <v>443</v>
      </c>
      <c r="M271" s="32" t="s">
        <v>443</v>
      </c>
      <c r="N271" s="32" t="s">
        <v>443</v>
      </c>
      <c r="O271" s="32" t="s">
        <v>443</v>
      </c>
      <c r="P271" s="32" t="s">
        <v>443</v>
      </c>
      <c r="Q271" s="32" t="s">
        <v>443</v>
      </c>
      <c r="R271" s="32" t="s">
        <v>443</v>
      </c>
      <c r="S271" s="32" t="s">
        <v>443</v>
      </c>
    </row>
    <row r="272" spans="1:19" x14ac:dyDescent="0.3">
      <c r="A272" s="32" t="s">
        <v>291</v>
      </c>
      <c r="B272" s="32">
        <v>9</v>
      </c>
      <c r="C272" s="32" t="s">
        <v>40</v>
      </c>
      <c r="D272" s="32" t="s">
        <v>378</v>
      </c>
      <c r="E272" s="32" t="s">
        <v>377</v>
      </c>
      <c r="F272" s="32" t="s">
        <v>26</v>
      </c>
      <c r="G272" s="32" t="s">
        <v>26</v>
      </c>
      <c r="H272" s="32" t="s">
        <v>26</v>
      </c>
      <c r="I272" s="32" t="s">
        <v>380</v>
      </c>
      <c r="J272" s="32" t="s">
        <v>28</v>
      </c>
      <c r="K272" s="32" t="s">
        <v>28</v>
      </c>
      <c r="L272" s="32" t="s">
        <v>28</v>
      </c>
      <c r="M272" s="32" t="s">
        <v>28</v>
      </c>
      <c r="N272" s="32" t="s">
        <v>28</v>
      </c>
      <c r="O272" s="32" t="s">
        <v>28</v>
      </c>
      <c r="P272" s="32" t="s">
        <v>28</v>
      </c>
      <c r="Q272" s="32" t="s">
        <v>28</v>
      </c>
      <c r="R272" s="32" t="s">
        <v>28</v>
      </c>
    </row>
    <row r="273" spans="1:20" x14ac:dyDescent="0.3">
      <c r="A273" s="32" t="s">
        <v>292</v>
      </c>
      <c r="B273" s="32">
        <v>9</v>
      </c>
      <c r="C273" s="32" t="s">
        <v>40</v>
      </c>
      <c r="D273" s="32" t="s">
        <v>378</v>
      </c>
      <c r="E273" s="32" t="s">
        <v>379</v>
      </c>
      <c r="F273" s="32" t="s">
        <v>443</v>
      </c>
      <c r="G273" s="32" t="s">
        <v>443</v>
      </c>
      <c r="H273" s="32" t="s">
        <v>443</v>
      </c>
      <c r="I273" s="32" t="s">
        <v>380</v>
      </c>
      <c r="J273" s="32" t="s">
        <v>28</v>
      </c>
      <c r="K273" s="32" t="s">
        <v>28</v>
      </c>
      <c r="L273" s="32" t="s">
        <v>28</v>
      </c>
      <c r="M273" s="32" t="s">
        <v>28</v>
      </c>
      <c r="N273" s="32" t="s">
        <v>28</v>
      </c>
      <c r="O273" s="32" t="s">
        <v>28</v>
      </c>
      <c r="P273" s="32" t="s">
        <v>28</v>
      </c>
      <c r="Q273" s="32" t="s">
        <v>28</v>
      </c>
      <c r="R273" s="32" t="s">
        <v>28</v>
      </c>
      <c r="S273" s="32" t="s">
        <v>28</v>
      </c>
    </row>
    <row r="274" spans="1:20" x14ac:dyDescent="0.3">
      <c r="A274" s="32" t="s">
        <v>293</v>
      </c>
      <c r="B274" s="32">
        <v>9</v>
      </c>
      <c r="C274" s="32" t="s">
        <v>40</v>
      </c>
      <c r="D274" s="32" t="s">
        <v>378</v>
      </c>
      <c r="E274" s="32" t="s">
        <v>25</v>
      </c>
      <c r="F274" s="32" t="s">
        <v>25</v>
      </c>
      <c r="G274" s="32" t="s">
        <v>379</v>
      </c>
      <c r="H274" s="32" t="s">
        <v>443</v>
      </c>
      <c r="I274" s="32" t="s">
        <v>443</v>
      </c>
      <c r="J274" s="32" t="s">
        <v>443</v>
      </c>
      <c r="K274" s="32" t="s">
        <v>381</v>
      </c>
      <c r="L274" s="32" t="s">
        <v>444</v>
      </c>
      <c r="M274" s="32" t="s">
        <v>444</v>
      </c>
      <c r="N274" s="32" t="s">
        <v>444</v>
      </c>
      <c r="O274" s="32" t="s">
        <v>444</v>
      </c>
      <c r="P274" s="32" t="s">
        <v>444</v>
      </c>
    </row>
    <row r="275" spans="1:20" x14ac:dyDescent="0.3">
      <c r="A275" s="32" t="s">
        <v>294</v>
      </c>
      <c r="B275" s="32">
        <v>9</v>
      </c>
      <c r="C275" s="32" t="s">
        <v>40</v>
      </c>
      <c r="D275" s="32" t="s">
        <v>378</v>
      </c>
      <c r="E275" s="32" t="s">
        <v>380</v>
      </c>
      <c r="F275" s="32" t="s">
        <v>28</v>
      </c>
      <c r="G275" s="32" t="s">
        <v>28</v>
      </c>
      <c r="H275" s="32" t="s">
        <v>28</v>
      </c>
      <c r="I275" s="32" t="s">
        <v>381</v>
      </c>
      <c r="J275" s="32" t="s">
        <v>444</v>
      </c>
      <c r="K275" s="32" t="s">
        <v>444</v>
      </c>
      <c r="L275" s="32" t="s">
        <v>444</v>
      </c>
      <c r="M275" s="32" t="s">
        <v>444</v>
      </c>
      <c r="N275" s="32" t="s">
        <v>444</v>
      </c>
      <c r="O275" s="32" t="s">
        <v>444</v>
      </c>
    </row>
    <row r="276" spans="1:20" x14ac:dyDescent="0.3">
      <c r="A276" s="32" t="s">
        <v>295</v>
      </c>
      <c r="B276" s="32">
        <v>9</v>
      </c>
      <c r="C276" s="32" t="s">
        <v>40</v>
      </c>
      <c r="D276" s="32" t="s">
        <v>376</v>
      </c>
      <c r="E276" s="32" t="s">
        <v>379</v>
      </c>
      <c r="F276" s="32" t="s">
        <v>443</v>
      </c>
      <c r="G276" s="32" t="s">
        <v>443</v>
      </c>
      <c r="H276" s="32" t="s">
        <v>443</v>
      </c>
      <c r="I276" s="32" t="s">
        <v>379</v>
      </c>
      <c r="J276" s="32" t="s">
        <v>443</v>
      </c>
      <c r="K276" s="32" t="s">
        <v>443</v>
      </c>
      <c r="L276" s="32" t="s">
        <v>443</v>
      </c>
      <c r="M276" s="32" t="s">
        <v>443</v>
      </c>
      <c r="N276" s="32" t="s">
        <v>443</v>
      </c>
      <c r="O276" s="32" t="s">
        <v>443</v>
      </c>
      <c r="P276" s="32" t="s">
        <v>443</v>
      </c>
      <c r="Q276" s="32" t="s">
        <v>443</v>
      </c>
      <c r="R276" s="32" t="s">
        <v>443</v>
      </c>
      <c r="S276" s="32" t="s">
        <v>443</v>
      </c>
      <c r="T276" s="32" t="s">
        <v>443</v>
      </c>
    </row>
    <row r="277" spans="1:20" x14ac:dyDescent="0.3">
      <c r="A277" s="32" t="s">
        <v>296</v>
      </c>
      <c r="B277" s="32">
        <v>9</v>
      </c>
      <c r="C277" s="32" t="s">
        <v>40</v>
      </c>
      <c r="D277" s="32" t="s">
        <v>376</v>
      </c>
      <c r="E277" s="32" t="s">
        <v>34</v>
      </c>
      <c r="F277" s="32" t="s">
        <v>34</v>
      </c>
      <c r="G277" s="32" t="s">
        <v>380</v>
      </c>
      <c r="H277" s="32" t="s">
        <v>28</v>
      </c>
      <c r="I277" s="32" t="s">
        <v>28</v>
      </c>
      <c r="J277" s="32" t="s">
        <v>28</v>
      </c>
      <c r="K277" s="32" t="s">
        <v>380</v>
      </c>
      <c r="L277" s="32" t="s">
        <v>28</v>
      </c>
      <c r="M277" s="32" t="s">
        <v>28</v>
      </c>
      <c r="N277" s="32" t="s">
        <v>28</v>
      </c>
      <c r="O277" s="32" t="s">
        <v>28</v>
      </c>
      <c r="P277" s="32" t="s">
        <v>28</v>
      </c>
      <c r="Q277" s="32" t="s">
        <v>28</v>
      </c>
      <c r="R277" s="32" t="s">
        <v>28</v>
      </c>
    </row>
    <row r="278" spans="1:20" x14ac:dyDescent="0.3">
      <c r="A278" s="32" t="s">
        <v>297</v>
      </c>
      <c r="B278" s="32">
        <v>9</v>
      </c>
      <c r="C278" s="32" t="s">
        <v>40</v>
      </c>
      <c r="D278" s="32" t="s">
        <v>376</v>
      </c>
      <c r="E278" s="32" t="s">
        <v>34</v>
      </c>
      <c r="F278" s="32" t="s">
        <v>34</v>
      </c>
      <c r="G278" s="32" t="s">
        <v>381</v>
      </c>
      <c r="H278" s="32" t="s">
        <v>444</v>
      </c>
      <c r="I278" s="32" t="s">
        <v>444</v>
      </c>
      <c r="J278" s="32" t="s">
        <v>444</v>
      </c>
      <c r="K278" s="32" t="s">
        <v>381</v>
      </c>
      <c r="L278" s="32" t="s">
        <v>444</v>
      </c>
      <c r="M278" s="32" t="s">
        <v>444</v>
      </c>
      <c r="N278" s="32" t="s">
        <v>444</v>
      </c>
    </row>
    <row r="279" spans="1:20" x14ac:dyDescent="0.3">
      <c r="A279" s="32" t="s">
        <v>298</v>
      </c>
      <c r="B279" s="32">
        <v>9</v>
      </c>
      <c r="C279" s="32" t="s">
        <v>40</v>
      </c>
      <c r="D279" s="32" t="s">
        <v>376</v>
      </c>
      <c r="E279" s="32" t="s">
        <v>34</v>
      </c>
      <c r="F279" s="32" t="s">
        <v>34</v>
      </c>
      <c r="G279" s="32" t="s">
        <v>377</v>
      </c>
      <c r="H279" s="32" t="s">
        <v>26</v>
      </c>
      <c r="I279" s="32" t="s">
        <v>26</v>
      </c>
      <c r="J279" s="32" t="s">
        <v>26</v>
      </c>
      <c r="K279" s="32" t="s">
        <v>379</v>
      </c>
      <c r="L279" s="32" t="s">
        <v>443</v>
      </c>
      <c r="M279" s="32" t="s">
        <v>443</v>
      </c>
      <c r="N279" s="32" t="s">
        <v>443</v>
      </c>
      <c r="O279" s="32" t="s">
        <v>443</v>
      </c>
      <c r="P279" s="32" t="s">
        <v>443</v>
      </c>
      <c r="Q279" s="32" t="s">
        <v>443</v>
      </c>
      <c r="R279" s="32" t="s">
        <v>443</v>
      </c>
      <c r="S279" s="32" t="s">
        <v>443</v>
      </c>
    </row>
    <row r="280" spans="1:20" x14ac:dyDescent="0.3">
      <c r="A280" s="32" t="s">
        <v>299</v>
      </c>
      <c r="B280" s="32">
        <v>9</v>
      </c>
      <c r="C280" s="32" t="s">
        <v>40</v>
      </c>
      <c r="D280" s="32" t="s">
        <v>376</v>
      </c>
      <c r="E280" s="32" t="s">
        <v>377</v>
      </c>
      <c r="F280" s="32" t="s">
        <v>26</v>
      </c>
      <c r="G280" s="32" t="s">
        <v>26</v>
      </c>
      <c r="H280" s="32" t="s">
        <v>26</v>
      </c>
      <c r="I280" s="32" t="s">
        <v>380</v>
      </c>
      <c r="J280" s="32" t="s">
        <v>28</v>
      </c>
      <c r="K280" s="32" t="s">
        <v>28</v>
      </c>
      <c r="L280" s="32" t="s">
        <v>28</v>
      </c>
      <c r="M280" s="32" t="s">
        <v>28</v>
      </c>
      <c r="N280" s="32" t="s">
        <v>28</v>
      </c>
      <c r="O280" s="32" t="s">
        <v>28</v>
      </c>
      <c r="P280" s="32" t="s">
        <v>28</v>
      </c>
      <c r="Q280" s="32" t="s">
        <v>28</v>
      </c>
      <c r="R280" s="32" t="s">
        <v>28</v>
      </c>
    </row>
    <row r="281" spans="1:20" x14ac:dyDescent="0.3">
      <c r="A281" s="32" t="s">
        <v>300</v>
      </c>
      <c r="B281" s="32">
        <v>9</v>
      </c>
      <c r="C281" s="32" t="s">
        <v>40</v>
      </c>
      <c r="D281" s="32" t="s">
        <v>376</v>
      </c>
      <c r="E281" s="32" t="s">
        <v>379</v>
      </c>
      <c r="F281" s="32" t="s">
        <v>443</v>
      </c>
      <c r="G281" s="32" t="s">
        <v>443</v>
      </c>
      <c r="H281" s="32" t="s">
        <v>443</v>
      </c>
      <c r="I281" s="32" t="s">
        <v>380</v>
      </c>
      <c r="J281" s="32" t="s">
        <v>28</v>
      </c>
      <c r="K281" s="32" t="s">
        <v>28</v>
      </c>
      <c r="L281" s="32" t="s">
        <v>28</v>
      </c>
      <c r="M281" s="32" t="s">
        <v>28</v>
      </c>
      <c r="N281" s="32" t="s">
        <v>28</v>
      </c>
      <c r="O281" s="32" t="s">
        <v>28</v>
      </c>
      <c r="P281" s="32" t="s">
        <v>28</v>
      </c>
      <c r="Q281" s="32" t="s">
        <v>28</v>
      </c>
      <c r="R281" s="32" t="s">
        <v>28</v>
      </c>
      <c r="S281" s="32" t="s">
        <v>28</v>
      </c>
    </row>
    <row r="282" spans="1:20" x14ac:dyDescent="0.3">
      <c r="A282" s="32" t="s">
        <v>301</v>
      </c>
      <c r="B282" s="32">
        <v>9</v>
      </c>
      <c r="C282" s="32" t="s">
        <v>40</v>
      </c>
      <c r="D282" s="32" t="s">
        <v>376</v>
      </c>
      <c r="E282" s="32" t="s">
        <v>34</v>
      </c>
      <c r="F282" s="32" t="s">
        <v>34</v>
      </c>
      <c r="G282" s="32" t="s">
        <v>379</v>
      </c>
      <c r="H282" s="32" t="s">
        <v>443</v>
      </c>
      <c r="I282" s="32" t="s">
        <v>443</v>
      </c>
      <c r="J282" s="32" t="s">
        <v>443</v>
      </c>
      <c r="K282" s="32" t="s">
        <v>381</v>
      </c>
      <c r="L282" s="32" t="s">
        <v>444</v>
      </c>
      <c r="M282" s="32" t="s">
        <v>444</v>
      </c>
      <c r="N282" s="32" t="s">
        <v>444</v>
      </c>
      <c r="O282" s="32" t="s">
        <v>444</v>
      </c>
    </row>
    <row r="283" spans="1:20" x14ac:dyDescent="0.3">
      <c r="A283" s="32" t="s">
        <v>302</v>
      </c>
      <c r="B283" s="32">
        <v>9</v>
      </c>
      <c r="C283" s="32" t="s">
        <v>40</v>
      </c>
      <c r="D283" s="32" t="s">
        <v>376</v>
      </c>
      <c r="E283" s="32" t="s">
        <v>380</v>
      </c>
      <c r="F283" s="32" t="s">
        <v>28</v>
      </c>
      <c r="G283" s="32" t="s">
        <v>28</v>
      </c>
      <c r="H283" s="32" t="s">
        <v>28</v>
      </c>
      <c r="I283" s="32" t="s">
        <v>381</v>
      </c>
      <c r="J283" s="32" t="s">
        <v>444</v>
      </c>
      <c r="K283" s="32" t="s">
        <v>444</v>
      </c>
      <c r="L283" s="32" t="s">
        <v>444</v>
      </c>
      <c r="M283" s="32" t="s">
        <v>444</v>
      </c>
      <c r="N283" s="32" t="s">
        <v>444</v>
      </c>
    </row>
    <row r="284" spans="1:20" x14ac:dyDescent="0.3">
      <c r="A284" s="32" t="s">
        <v>563</v>
      </c>
      <c r="B284" s="32">
        <v>9</v>
      </c>
      <c r="C284" s="32" t="s">
        <v>40</v>
      </c>
      <c r="D284" s="32" t="s">
        <v>600</v>
      </c>
      <c r="E284" s="32" t="s">
        <v>25</v>
      </c>
      <c r="F284" s="32" t="s">
        <v>25</v>
      </c>
      <c r="G284" s="32" t="s">
        <v>601</v>
      </c>
      <c r="H284" s="32" t="s">
        <v>26</v>
      </c>
      <c r="I284" s="32" t="s">
        <v>601</v>
      </c>
      <c r="J284" s="32" t="s">
        <v>26</v>
      </c>
    </row>
    <row r="285" spans="1:20" x14ac:dyDescent="0.3">
      <c r="A285" s="32" t="s">
        <v>564</v>
      </c>
      <c r="B285" s="32">
        <v>9</v>
      </c>
      <c r="C285" s="32" t="s">
        <v>40</v>
      </c>
      <c r="D285" s="32" t="s">
        <v>600</v>
      </c>
      <c r="E285" s="32" t="s">
        <v>25</v>
      </c>
      <c r="F285" s="32" t="s">
        <v>25</v>
      </c>
      <c r="G285" s="32" t="s">
        <v>25</v>
      </c>
      <c r="H285" s="32" t="s">
        <v>25</v>
      </c>
      <c r="I285" s="32" t="s">
        <v>602</v>
      </c>
      <c r="J285" s="32" t="s">
        <v>443</v>
      </c>
      <c r="K285" s="32" t="s">
        <v>443</v>
      </c>
      <c r="L285" s="32" t="s">
        <v>602</v>
      </c>
      <c r="M285" s="32" t="s">
        <v>443</v>
      </c>
      <c r="N285" s="32" t="s">
        <v>443</v>
      </c>
    </row>
    <row r="286" spans="1:20" x14ac:dyDescent="0.3">
      <c r="A286" s="32" t="s">
        <v>565</v>
      </c>
      <c r="B286" s="32">
        <v>9</v>
      </c>
      <c r="C286" s="32" t="s">
        <v>40</v>
      </c>
      <c r="D286" s="32" t="s">
        <v>600</v>
      </c>
      <c r="E286" s="32" t="s">
        <v>25</v>
      </c>
      <c r="F286" s="32" t="s">
        <v>25</v>
      </c>
      <c r="G286" s="32" t="s">
        <v>25</v>
      </c>
      <c r="H286" s="32" t="s">
        <v>25</v>
      </c>
      <c r="I286" s="32" t="s">
        <v>598</v>
      </c>
      <c r="J286" s="32" t="s">
        <v>28</v>
      </c>
      <c r="K286" s="32" t="s">
        <v>28</v>
      </c>
      <c r="L286" s="32" t="s">
        <v>598</v>
      </c>
      <c r="M286" s="32" t="s">
        <v>28</v>
      </c>
      <c r="N286" s="32" t="s">
        <v>28</v>
      </c>
    </row>
    <row r="287" spans="1:20" x14ac:dyDescent="0.3">
      <c r="A287" s="32" t="s">
        <v>566</v>
      </c>
      <c r="B287" s="32">
        <v>9</v>
      </c>
      <c r="C287" s="32" t="s">
        <v>40</v>
      </c>
      <c r="D287" s="32" t="s">
        <v>600</v>
      </c>
      <c r="E287" s="32" t="s">
        <v>25</v>
      </c>
      <c r="F287" s="32" t="s">
        <v>25</v>
      </c>
      <c r="G287" s="32" t="s">
        <v>599</v>
      </c>
      <c r="H287" s="32" t="s">
        <v>444</v>
      </c>
      <c r="I287" s="32" t="s">
        <v>444</v>
      </c>
      <c r="J287" s="32" t="s">
        <v>599</v>
      </c>
      <c r="K287" s="32" t="s">
        <v>444</v>
      </c>
      <c r="L287" s="32" t="s">
        <v>444</v>
      </c>
    </row>
    <row r="288" spans="1:20" x14ac:dyDescent="0.3">
      <c r="A288" s="32" t="s">
        <v>567</v>
      </c>
      <c r="B288" s="32">
        <v>9</v>
      </c>
      <c r="C288" s="32" t="s">
        <v>40</v>
      </c>
      <c r="D288" s="32" t="s">
        <v>600</v>
      </c>
      <c r="E288" s="32" t="s">
        <v>25</v>
      </c>
      <c r="F288" s="32" t="s">
        <v>25</v>
      </c>
      <c r="G288" s="32" t="s">
        <v>601</v>
      </c>
      <c r="H288" s="32" t="s">
        <v>26</v>
      </c>
      <c r="I288" s="32" t="s">
        <v>26</v>
      </c>
      <c r="J288" s="32" t="s">
        <v>602</v>
      </c>
      <c r="K288" s="32" t="s">
        <v>443</v>
      </c>
      <c r="L288" s="32" t="s">
        <v>443</v>
      </c>
    </row>
    <row r="289" spans="1:14" x14ac:dyDescent="0.3">
      <c r="A289" s="32" t="s">
        <v>568</v>
      </c>
      <c r="B289" s="32">
        <v>9</v>
      </c>
      <c r="C289" s="32" t="s">
        <v>40</v>
      </c>
      <c r="D289" s="32" t="s">
        <v>600</v>
      </c>
      <c r="E289" s="32" t="s">
        <v>25</v>
      </c>
      <c r="F289" s="32" t="s">
        <v>25</v>
      </c>
      <c r="G289" s="32" t="s">
        <v>25</v>
      </c>
      <c r="H289" s="32" t="s">
        <v>25</v>
      </c>
      <c r="I289" s="32" t="s">
        <v>601</v>
      </c>
      <c r="J289" s="32" t="s">
        <v>26</v>
      </c>
      <c r="K289" s="32" t="s">
        <v>598</v>
      </c>
      <c r="L289" s="32" t="s">
        <v>28</v>
      </c>
    </row>
    <row r="290" spans="1:14" x14ac:dyDescent="0.3">
      <c r="A290" s="32" t="s">
        <v>569</v>
      </c>
      <c r="B290" s="32">
        <v>9</v>
      </c>
      <c r="C290" s="32" t="s">
        <v>40</v>
      </c>
      <c r="D290" s="32" t="s">
        <v>600</v>
      </c>
      <c r="E290" s="32" t="s">
        <v>602</v>
      </c>
      <c r="F290" s="32" t="s">
        <v>443</v>
      </c>
      <c r="G290" s="32" t="s">
        <v>443</v>
      </c>
      <c r="H290" s="32" t="s">
        <v>443</v>
      </c>
      <c r="I290" s="32" t="s">
        <v>598</v>
      </c>
      <c r="J290" s="32" t="s">
        <v>28</v>
      </c>
      <c r="K290" s="32" t="s">
        <v>28</v>
      </c>
      <c r="L290" s="32" t="s">
        <v>28</v>
      </c>
    </row>
    <row r="291" spans="1:14" x14ac:dyDescent="0.3">
      <c r="A291" s="32" t="s">
        <v>570</v>
      </c>
      <c r="B291" s="32">
        <v>9</v>
      </c>
      <c r="C291" s="32" t="s">
        <v>40</v>
      </c>
      <c r="D291" s="32" t="s">
        <v>600</v>
      </c>
      <c r="E291" s="32" t="s">
        <v>25</v>
      </c>
      <c r="F291" s="32" t="s">
        <v>25</v>
      </c>
      <c r="G291" s="32" t="s">
        <v>25</v>
      </c>
      <c r="H291" s="32" t="s">
        <v>25</v>
      </c>
      <c r="I291" s="32" t="s">
        <v>602</v>
      </c>
      <c r="J291" s="32" t="s">
        <v>443</v>
      </c>
      <c r="K291" s="32" t="s">
        <v>443</v>
      </c>
      <c r="L291" s="32" t="s">
        <v>599</v>
      </c>
      <c r="M291" s="32" t="s">
        <v>444</v>
      </c>
      <c r="N291" s="32" t="s">
        <v>444</v>
      </c>
    </row>
    <row r="292" spans="1:14" x14ac:dyDescent="0.3">
      <c r="A292" s="32" t="s">
        <v>571</v>
      </c>
      <c r="B292" s="32">
        <v>9</v>
      </c>
      <c r="C292" s="32" t="s">
        <v>40</v>
      </c>
      <c r="D292" s="32" t="s">
        <v>600</v>
      </c>
      <c r="E292" s="32" t="s">
        <v>25</v>
      </c>
      <c r="F292" s="32" t="s">
        <v>25</v>
      </c>
      <c r="G292" s="32" t="s">
        <v>25</v>
      </c>
      <c r="H292" s="32" t="s">
        <v>25</v>
      </c>
      <c r="I292" s="32" t="s">
        <v>598</v>
      </c>
      <c r="J292" s="32" t="s">
        <v>28</v>
      </c>
      <c r="K292" s="32" t="s">
        <v>28</v>
      </c>
      <c r="L292" s="32" t="s">
        <v>599</v>
      </c>
      <c r="M292" s="32" t="s">
        <v>444</v>
      </c>
      <c r="N292" s="32" t="s">
        <v>444</v>
      </c>
    </row>
    <row r="293" spans="1:14" x14ac:dyDescent="0.3">
      <c r="A293" s="32" t="s">
        <v>572</v>
      </c>
      <c r="B293" s="32">
        <v>9</v>
      </c>
      <c r="C293" s="32" t="s">
        <v>40</v>
      </c>
      <c r="D293" s="32" t="s">
        <v>597</v>
      </c>
      <c r="E293" s="32" t="s">
        <v>34</v>
      </c>
      <c r="F293" s="32" t="s">
        <v>34</v>
      </c>
      <c r="G293" s="32" t="s">
        <v>34</v>
      </c>
      <c r="H293" s="32" t="s">
        <v>34</v>
      </c>
      <c r="I293" s="32" t="s">
        <v>602</v>
      </c>
      <c r="J293" s="32" t="s">
        <v>443</v>
      </c>
      <c r="K293" s="32" t="s">
        <v>443</v>
      </c>
      <c r="L293" s="32" t="s">
        <v>602</v>
      </c>
      <c r="M293" s="32" t="s">
        <v>443</v>
      </c>
      <c r="N293" s="32" t="s">
        <v>443</v>
      </c>
    </row>
    <row r="294" spans="1:14" x14ac:dyDescent="0.3">
      <c r="A294" s="32" t="s">
        <v>573</v>
      </c>
      <c r="B294" s="32">
        <v>9</v>
      </c>
      <c r="C294" s="32" t="s">
        <v>40</v>
      </c>
      <c r="D294" s="32" t="s">
        <v>597</v>
      </c>
      <c r="E294" s="32" t="s">
        <v>34</v>
      </c>
      <c r="F294" s="32" t="s">
        <v>34</v>
      </c>
      <c r="G294" s="32" t="s">
        <v>34</v>
      </c>
      <c r="H294" s="32" t="s">
        <v>34</v>
      </c>
      <c r="I294" s="32" t="s">
        <v>598</v>
      </c>
      <c r="J294" s="32" t="s">
        <v>28</v>
      </c>
      <c r="K294" s="32" t="s">
        <v>28</v>
      </c>
      <c r="L294" s="32" t="s">
        <v>598</v>
      </c>
      <c r="M294" s="32" t="s">
        <v>28</v>
      </c>
      <c r="N294" s="32" t="s">
        <v>28</v>
      </c>
    </row>
    <row r="295" spans="1:14" x14ac:dyDescent="0.3">
      <c r="A295" s="32" t="s">
        <v>574</v>
      </c>
      <c r="B295" s="32">
        <v>9</v>
      </c>
      <c r="C295" s="32" t="s">
        <v>40</v>
      </c>
      <c r="D295" s="32" t="s">
        <v>597</v>
      </c>
      <c r="E295" s="32" t="s">
        <v>34</v>
      </c>
      <c r="F295" s="32" t="s">
        <v>34</v>
      </c>
      <c r="G295" s="32" t="s">
        <v>34</v>
      </c>
      <c r="H295" s="32" t="s">
        <v>34</v>
      </c>
      <c r="I295" s="32" t="s">
        <v>599</v>
      </c>
      <c r="J295" s="32" t="s">
        <v>444</v>
      </c>
      <c r="K295" s="32" t="s">
        <v>599</v>
      </c>
      <c r="L295" s="32" t="s">
        <v>444</v>
      </c>
    </row>
    <row r="296" spans="1:14" x14ac:dyDescent="0.3">
      <c r="A296" s="32" t="s">
        <v>575</v>
      </c>
      <c r="B296" s="32">
        <v>9</v>
      </c>
      <c r="C296" s="32" t="s">
        <v>40</v>
      </c>
      <c r="D296" s="32" t="s">
        <v>597</v>
      </c>
      <c r="E296" s="32" t="s">
        <v>601</v>
      </c>
      <c r="F296" s="32" t="s">
        <v>26</v>
      </c>
      <c r="G296" s="32" t="s">
        <v>26</v>
      </c>
      <c r="H296" s="32" t="s">
        <v>26</v>
      </c>
      <c r="I296" s="32" t="s">
        <v>602</v>
      </c>
      <c r="J296" s="32" t="s">
        <v>443</v>
      </c>
      <c r="K296" s="32" t="s">
        <v>443</v>
      </c>
      <c r="L296" s="32" t="s">
        <v>443</v>
      </c>
    </row>
    <row r="297" spans="1:14" x14ac:dyDescent="0.3">
      <c r="A297" s="32" t="s">
        <v>576</v>
      </c>
      <c r="B297" s="32">
        <v>9</v>
      </c>
      <c r="C297" s="32" t="s">
        <v>40</v>
      </c>
      <c r="D297" s="32" t="s">
        <v>597</v>
      </c>
      <c r="E297" s="32" t="s">
        <v>601</v>
      </c>
      <c r="F297" s="32" t="s">
        <v>26</v>
      </c>
      <c r="G297" s="32" t="s">
        <v>26</v>
      </c>
      <c r="H297" s="32" t="s">
        <v>26</v>
      </c>
      <c r="I297" s="32" t="s">
        <v>598</v>
      </c>
      <c r="J297" s="32" t="s">
        <v>28</v>
      </c>
      <c r="K297" s="32" t="s">
        <v>28</v>
      </c>
      <c r="L297" s="32" t="s">
        <v>28</v>
      </c>
    </row>
    <row r="298" spans="1:14" x14ac:dyDescent="0.3">
      <c r="A298" s="32" t="s">
        <v>577</v>
      </c>
      <c r="B298" s="32">
        <v>9</v>
      </c>
      <c r="C298" s="32" t="s">
        <v>40</v>
      </c>
      <c r="D298" s="32" t="s">
        <v>597</v>
      </c>
      <c r="E298" s="32" t="s">
        <v>34</v>
      </c>
      <c r="F298" s="32" t="s">
        <v>34</v>
      </c>
      <c r="G298" s="32" t="s">
        <v>34</v>
      </c>
      <c r="H298" s="32" t="s">
        <v>34</v>
      </c>
      <c r="I298" s="32" t="s">
        <v>602</v>
      </c>
      <c r="J298" s="32" t="s">
        <v>443</v>
      </c>
      <c r="K298" s="32" t="s">
        <v>443</v>
      </c>
      <c r="L298" s="32" t="s">
        <v>598</v>
      </c>
      <c r="M298" s="32" t="s">
        <v>28</v>
      </c>
      <c r="N298" s="32" t="s">
        <v>28</v>
      </c>
    </row>
    <row r="299" spans="1:14" x14ac:dyDescent="0.3">
      <c r="A299" s="32" t="s">
        <v>578</v>
      </c>
      <c r="B299" s="32">
        <v>9</v>
      </c>
      <c r="C299" s="32" t="s">
        <v>40</v>
      </c>
      <c r="D299" s="32" t="s">
        <v>597</v>
      </c>
      <c r="E299" s="32" t="s">
        <v>602</v>
      </c>
      <c r="F299" s="32" t="s">
        <v>443</v>
      </c>
      <c r="G299" s="32" t="s">
        <v>443</v>
      </c>
      <c r="H299" s="32" t="s">
        <v>443</v>
      </c>
      <c r="I299" s="32" t="s">
        <v>599</v>
      </c>
      <c r="J299" s="32" t="s">
        <v>444</v>
      </c>
      <c r="K299" s="32" t="s">
        <v>444</v>
      </c>
      <c r="L299" s="32" t="s">
        <v>444</v>
      </c>
    </row>
    <row r="300" spans="1:14" x14ac:dyDescent="0.3">
      <c r="A300" s="32" t="s">
        <v>579</v>
      </c>
      <c r="B300" s="32">
        <v>9</v>
      </c>
      <c r="C300" s="32" t="s">
        <v>40</v>
      </c>
      <c r="D300" s="32" t="s">
        <v>597</v>
      </c>
      <c r="E300" s="32" t="s">
        <v>34</v>
      </c>
      <c r="F300" s="32" t="s">
        <v>34</v>
      </c>
      <c r="G300" s="32" t="s">
        <v>598</v>
      </c>
      <c r="H300" s="32" t="s">
        <v>28</v>
      </c>
      <c r="I300" s="32" t="s">
        <v>28</v>
      </c>
      <c r="J300" s="32" t="s">
        <v>599</v>
      </c>
      <c r="K300" s="32" t="s">
        <v>444</v>
      </c>
      <c r="L300" s="32" t="s">
        <v>444</v>
      </c>
    </row>
    <row r="301" spans="1:14" x14ac:dyDescent="0.3">
      <c r="A301" s="32" t="s">
        <v>624</v>
      </c>
      <c r="B301" s="32">
        <v>7</v>
      </c>
      <c r="C301" s="32" t="s">
        <v>40</v>
      </c>
      <c r="D301" s="32" t="s">
        <v>444</v>
      </c>
      <c r="E301" s="32" t="s">
        <v>444</v>
      </c>
      <c r="F301" s="32" t="s">
        <v>444</v>
      </c>
      <c r="G301" s="32" t="s">
        <v>444</v>
      </c>
      <c r="H301" s="32" t="s">
        <v>444</v>
      </c>
      <c r="I301" s="32" t="s">
        <v>444</v>
      </c>
    </row>
    <row r="302" spans="1:14" x14ac:dyDescent="0.3">
      <c r="A302" s="32" t="s">
        <v>632</v>
      </c>
      <c r="B302" s="32">
        <v>7</v>
      </c>
      <c r="C302" s="32" t="s">
        <v>40</v>
      </c>
      <c r="D302" s="32" t="s">
        <v>25</v>
      </c>
      <c r="E302" s="32" t="s">
        <v>25</v>
      </c>
      <c r="F302" s="32" t="s">
        <v>444</v>
      </c>
      <c r="G302" s="32" t="s">
        <v>444</v>
      </c>
    </row>
    <row r="303" spans="1:14" x14ac:dyDescent="0.3">
      <c r="A303" s="32" t="s">
        <v>633</v>
      </c>
      <c r="B303" s="32">
        <v>7</v>
      </c>
      <c r="C303" s="32" t="s">
        <v>40</v>
      </c>
      <c r="D303" s="32" t="s">
        <v>25</v>
      </c>
      <c r="E303" s="32" t="s">
        <v>25</v>
      </c>
      <c r="F303" s="32" t="s">
        <v>444</v>
      </c>
      <c r="G303" s="32" t="s">
        <v>444</v>
      </c>
      <c r="H303" s="32" t="s">
        <v>444</v>
      </c>
      <c r="I303" s="32" t="s">
        <v>444</v>
      </c>
    </row>
    <row r="304" spans="1:14" x14ac:dyDescent="0.3">
      <c r="A304" s="32" t="s">
        <v>634</v>
      </c>
      <c r="B304" s="32">
        <v>7</v>
      </c>
      <c r="C304" s="32" t="s">
        <v>40</v>
      </c>
      <c r="D304" s="32" t="s">
        <v>34</v>
      </c>
      <c r="E304" s="32" t="s">
        <v>34</v>
      </c>
      <c r="F304" s="32" t="s">
        <v>34</v>
      </c>
      <c r="G304" s="32" t="s">
        <v>34</v>
      </c>
      <c r="H304" s="32" t="s">
        <v>444</v>
      </c>
      <c r="I304" s="32" t="s">
        <v>444</v>
      </c>
      <c r="J304" s="32" t="s">
        <v>444</v>
      </c>
    </row>
    <row r="305" spans="1:9" x14ac:dyDescent="0.3">
      <c r="A305" s="32" t="s">
        <v>635</v>
      </c>
      <c r="B305" s="32">
        <v>7</v>
      </c>
      <c r="C305" s="32" t="s">
        <v>40</v>
      </c>
      <c r="D305" s="32" t="s">
        <v>25</v>
      </c>
      <c r="E305" s="32" t="s">
        <v>34</v>
      </c>
      <c r="F305" s="32" t="s">
        <v>444</v>
      </c>
      <c r="G305" s="32" t="s">
        <v>444</v>
      </c>
      <c r="H305" s="32" t="s">
        <v>444</v>
      </c>
      <c r="I305" s="32" t="s">
        <v>444</v>
      </c>
    </row>
    <row r="306" spans="1:9" x14ac:dyDescent="0.3">
      <c r="A306" s="32" t="s">
        <v>636</v>
      </c>
      <c r="B306" s="32">
        <v>7</v>
      </c>
      <c r="C306" s="32" t="s">
        <v>40</v>
      </c>
      <c r="D306" s="32" t="s">
        <v>34</v>
      </c>
      <c r="E306" s="32" t="s">
        <v>26</v>
      </c>
      <c r="F306" s="32" t="s">
        <v>444</v>
      </c>
      <c r="G306" s="32" t="s">
        <v>444</v>
      </c>
      <c r="H306" s="32" t="s">
        <v>444</v>
      </c>
      <c r="I306" s="32" t="s">
        <v>444</v>
      </c>
    </row>
    <row r="307" spans="1:9" x14ac:dyDescent="0.3">
      <c r="A307" s="32" t="s">
        <v>637</v>
      </c>
      <c r="B307" s="32">
        <v>7</v>
      </c>
      <c r="C307" s="32" t="s">
        <v>40</v>
      </c>
      <c r="D307" s="32" t="s">
        <v>34</v>
      </c>
      <c r="E307" s="32" t="s">
        <v>443</v>
      </c>
      <c r="F307" s="32" t="s">
        <v>443</v>
      </c>
      <c r="G307" s="32" t="s">
        <v>444</v>
      </c>
      <c r="H307" s="32" t="s">
        <v>444</v>
      </c>
      <c r="I307" s="32" t="s">
        <v>444</v>
      </c>
    </row>
    <row r="308" spans="1:9" x14ac:dyDescent="0.3">
      <c r="A308" s="32" t="s">
        <v>638</v>
      </c>
      <c r="B308" s="32">
        <v>7</v>
      </c>
      <c r="C308" s="32" t="s">
        <v>40</v>
      </c>
      <c r="D308" s="32" t="s">
        <v>34</v>
      </c>
      <c r="E308" s="32" t="s">
        <v>28</v>
      </c>
      <c r="F308" s="32" t="s">
        <v>444</v>
      </c>
      <c r="G308" s="32" t="s">
        <v>444</v>
      </c>
      <c r="H308" s="32" t="s">
        <v>444</v>
      </c>
      <c r="I308" s="32" t="s">
        <v>444</v>
      </c>
    </row>
    <row r="309" spans="1:9" x14ac:dyDescent="0.3">
      <c r="A309" s="32" t="s">
        <v>639</v>
      </c>
      <c r="B309" s="32">
        <v>7</v>
      </c>
      <c r="C309" s="32" t="s">
        <v>40</v>
      </c>
      <c r="D309" s="32" t="s">
        <v>25</v>
      </c>
      <c r="E309" s="32" t="s">
        <v>26</v>
      </c>
      <c r="F309" s="32" t="s">
        <v>444</v>
      </c>
      <c r="G309" s="32" t="s">
        <v>444</v>
      </c>
      <c r="H309" s="32" t="s">
        <v>444</v>
      </c>
      <c r="I309" s="32" t="s">
        <v>444</v>
      </c>
    </row>
    <row r="310" spans="1:9" x14ac:dyDescent="0.3">
      <c r="A310" s="32" t="s">
        <v>640</v>
      </c>
      <c r="B310" s="32">
        <v>7</v>
      </c>
      <c r="C310" s="32" t="s">
        <v>40</v>
      </c>
      <c r="D310" s="32" t="s">
        <v>25</v>
      </c>
      <c r="E310" s="32" t="s">
        <v>443</v>
      </c>
      <c r="F310" s="32" t="s">
        <v>444</v>
      </c>
      <c r="G310" s="32" t="s">
        <v>444</v>
      </c>
      <c r="H310" s="32" t="s">
        <v>444</v>
      </c>
      <c r="I310" s="32" t="s">
        <v>444</v>
      </c>
    </row>
    <row r="311" spans="1:9" x14ac:dyDescent="0.3">
      <c r="A311" s="32" t="s">
        <v>641</v>
      </c>
      <c r="B311" s="32">
        <v>7</v>
      </c>
      <c r="C311" s="32" t="s">
        <v>40</v>
      </c>
      <c r="D311" s="32" t="s">
        <v>25</v>
      </c>
      <c r="E311" s="32" t="s">
        <v>28</v>
      </c>
      <c r="F311" s="32" t="s">
        <v>444</v>
      </c>
      <c r="G311" s="32" t="s">
        <v>444</v>
      </c>
      <c r="H311" s="32" t="s">
        <v>444</v>
      </c>
      <c r="I311" s="32" t="s">
        <v>444</v>
      </c>
    </row>
    <row r="312" spans="1:9" x14ac:dyDescent="0.3">
      <c r="A312" s="32" t="s">
        <v>642</v>
      </c>
      <c r="B312" s="32">
        <v>7</v>
      </c>
      <c r="C312" s="32" t="s">
        <v>40</v>
      </c>
      <c r="D312" s="32" t="s">
        <v>34</v>
      </c>
      <c r="E312" s="32" t="s">
        <v>34</v>
      </c>
      <c r="F312" s="32" t="s">
        <v>444</v>
      </c>
      <c r="G312" s="32" t="s">
        <v>444</v>
      </c>
    </row>
    <row r="313" spans="1:9" x14ac:dyDescent="0.3">
      <c r="A313" s="32" t="s">
        <v>643</v>
      </c>
      <c r="B313" s="32">
        <v>7</v>
      </c>
      <c r="C313" s="32" t="s">
        <v>40</v>
      </c>
      <c r="D313" s="32" t="s">
        <v>378</v>
      </c>
      <c r="E313" s="32" t="s">
        <v>444</v>
      </c>
      <c r="F313" s="32" t="s">
        <v>444</v>
      </c>
    </row>
    <row r="314" spans="1:9" x14ac:dyDescent="0.3">
      <c r="A314" s="32" t="s">
        <v>644</v>
      </c>
      <c r="B314" s="32">
        <v>7</v>
      </c>
      <c r="C314" s="32" t="s">
        <v>40</v>
      </c>
      <c r="D314" s="32" t="s">
        <v>376</v>
      </c>
      <c r="E314" s="32" t="s">
        <v>444</v>
      </c>
      <c r="F314" s="32" t="s">
        <v>444</v>
      </c>
    </row>
    <row r="315" spans="1:9" x14ac:dyDescent="0.3">
      <c r="A315" s="32" t="s">
        <v>645</v>
      </c>
      <c r="B315" s="32">
        <v>7</v>
      </c>
      <c r="C315" s="32" t="s">
        <v>40</v>
      </c>
      <c r="D315" s="32" t="s">
        <v>377</v>
      </c>
      <c r="E315" s="32" t="s">
        <v>26</v>
      </c>
      <c r="F315" s="32" t="s">
        <v>26</v>
      </c>
      <c r="G315" s="32" t="s">
        <v>49</v>
      </c>
      <c r="H315" s="32" t="s">
        <v>49</v>
      </c>
    </row>
    <row r="316" spans="1:9" x14ac:dyDescent="0.3">
      <c r="A316" s="32" t="s">
        <v>646</v>
      </c>
      <c r="B316" s="32">
        <v>7</v>
      </c>
      <c r="C316" s="32" t="s">
        <v>40</v>
      </c>
      <c r="D316" s="32" t="s">
        <v>380</v>
      </c>
      <c r="E316" s="32" t="s">
        <v>28</v>
      </c>
      <c r="F316" s="32" t="s">
        <v>28</v>
      </c>
      <c r="G316" s="32" t="s">
        <v>49</v>
      </c>
      <c r="H316" s="32" t="s">
        <v>49</v>
      </c>
    </row>
    <row r="317" spans="1:9" x14ac:dyDescent="0.3">
      <c r="A317" s="32" t="s">
        <v>647</v>
      </c>
      <c r="B317" s="32">
        <v>7</v>
      </c>
      <c r="C317" s="32" t="s">
        <v>40</v>
      </c>
      <c r="D317" s="32" t="s">
        <v>379</v>
      </c>
      <c r="E317" s="32" t="s">
        <v>443</v>
      </c>
      <c r="F317" s="32" t="s">
        <v>443</v>
      </c>
      <c r="G317" s="32" t="s">
        <v>49</v>
      </c>
    </row>
    <row r="318" spans="1:9" x14ac:dyDescent="0.3">
      <c r="A318" s="32" t="s">
        <v>648</v>
      </c>
      <c r="B318" s="32">
        <v>7</v>
      </c>
      <c r="C318" s="32" t="s">
        <v>40</v>
      </c>
      <c r="D318" s="32" t="s">
        <v>381</v>
      </c>
      <c r="E318" s="32" t="s">
        <v>444</v>
      </c>
      <c r="F318" s="32" t="s">
        <v>444</v>
      </c>
      <c r="G318" s="32" t="s">
        <v>25</v>
      </c>
    </row>
    <row r="319" spans="1:9" x14ac:dyDescent="0.3">
      <c r="A319" s="32" t="s">
        <v>649</v>
      </c>
      <c r="B319" s="32">
        <v>7</v>
      </c>
      <c r="C319" s="32" t="s">
        <v>40</v>
      </c>
      <c r="D319" s="32" t="s">
        <v>381</v>
      </c>
      <c r="E319" s="32" t="s">
        <v>444</v>
      </c>
      <c r="F319" s="32" t="s">
        <v>444</v>
      </c>
      <c r="G319" s="32" t="s">
        <v>34</v>
      </c>
    </row>
    <row r="320" spans="1:9" x14ac:dyDescent="0.3">
      <c r="A320" s="32" t="s">
        <v>650</v>
      </c>
      <c r="B320" s="32">
        <v>7</v>
      </c>
      <c r="C320" s="32" t="s">
        <v>40</v>
      </c>
      <c r="D320" s="32" t="s">
        <v>381</v>
      </c>
      <c r="E320" s="32" t="s">
        <v>444</v>
      </c>
      <c r="F320" s="32" t="s">
        <v>444</v>
      </c>
      <c r="G320" s="32" t="s">
        <v>49</v>
      </c>
    </row>
    <row r="321" spans="1:12" x14ac:dyDescent="0.3">
      <c r="A321" s="32" t="s">
        <v>651</v>
      </c>
      <c r="B321" s="32">
        <v>7</v>
      </c>
      <c r="C321" s="32" t="s">
        <v>40</v>
      </c>
      <c r="D321" s="32" t="s">
        <v>378</v>
      </c>
      <c r="E321" s="32" t="s">
        <v>444</v>
      </c>
      <c r="F321" s="32" t="s">
        <v>444</v>
      </c>
      <c r="G321" s="32" t="s">
        <v>444</v>
      </c>
      <c r="H321" s="32" t="s">
        <v>444</v>
      </c>
      <c r="I321" s="32" t="s">
        <v>444</v>
      </c>
    </row>
    <row r="322" spans="1:12" x14ac:dyDescent="0.3">
      <c r="A322" s="32" t="s">
        <v>652</v>
      </c>
      <c r="B322" s="32">
        <v>7</v>
      </c>
      <c r="C322" s="32" t="s">
        <v>40</v>
      </c>
      <c r="D322" s="32" t="s">
        <v>376</v>
      </c>
      <c r="E322" s="32" t="s">
        <v>34</v>
      </c>
      <c r="F322" s="32" t="s">
        <v>34</v>
      </c>
      <c r="G322" s="32" t="s">
        <v>34</v>
      </c>
      <c r="H322" s="32" t="s">
        <v>34</v>
      </c>
      <c r="I322" s="32" t="s">
        <v>444</v>
      </c>
      <c r="J322" s="32" t="s">
        <v>444</v>
      </c>
    </row>
    <row r="323" spans="1:12" x14ac:dyDescent="0.3">
      <c r="A323" s="32" t="s">
        <v>653</v>
      </c>
      <c r="B323" s="32">
        <v>7</v>
      </c>
      <c r="C323" s="32" t="s">
        <v>40</v>
      </c>
      <c r="D323" s="32" t="s">
        <v>600</v>
      </c>
      <c r="E323" s="32" t="s">
        <v>444</v>
      </c>
      <c r="F323" s="32" t="s">
        <v>444</v>
      </c>
      <c r="G323" s="32" t="s">
        <v>444</v>
      </c>
    </row>
    <row r="324" spans="1:12" x14ac:dyDescent="0.3">
      <c r="A324" s="32" t="s">
        <v>654</v>
      </c>
      <c r="B324" s="32">
        <v>7</v>
      </c>
      <c r="C324" s="32" t="s">
        <v>40</v>
      </c>
      <c r="D324" s="32" t="s">
        <v>597</v>
      </c>
      <c r="E324" s="32" t="s">
        <v>444</v>
      </c>
      <c r="F324" s="32" t="s">
        <v>444</v>
      </c>
      <c r="G324" s="32" t="s">
        <v>444</v>
      </c>
    </row>
    <row r="325" spans="1:12" x14ac:dyDescent="0.3">
      <c r="A325" s="32" t="s">
        <v>655</v>
      </c>
      <c r="B325" s="32">
        <v>7</v>
      </c>
      <c r="C325" s="32" t="s">
        <v>40</v>
      </c>
      <c r="D325" s="32" t="s">
        <v>377</v>
      </c>
      <c r="E325" s="32" t="s">
        <v>26</v>
      </c>
      <c r="F325" s="32" t="s">
        <v>26</v>
      </c>
      <c r="G325" s="32" t="s">
        <v>26</v>
      </c>
      <c r="H325" s="32" t="s">
        <v>26</v>
      </c>
      <c r="I325" s="32" t="s">
        <v>49</v>
      </c>
      <c r="J325" s="32" t="s">
        <v>49</v>
      </c>
      <c r="K325" s="32" t="s">
        <v>49</v>
      </c>
      <c r="L325" s="32" t="s">
        <v>49</v>
      </c>
    </row>
    <row r="326" spans="1:12" x14ac:dyDescent="0.3">
      <c r="A326" s="32" t="s">
        <v>656</v>
      </c>
      <c r="B326" s="32">
        <v>7</v>
      </c>
      <c r="C326" s="32" t="s">
        <v>40</v>
      </c>
      <c r="D326" s="32" t="s">
        <v>380</v>
      </c>
      <c r="E326" s="32" t="s">
        <v>28</v>
      </c>
      <c r="F326" s="32" t="s">
        <v>28</v>
      </c>
      <c r="G326" s="32" t="s">
        <v>28</v>
      </c>
      <c r="H326" s="32" t="s">
        <v>28</v>
      </c>
      <c r="I326" s="32" t="s">
        <v>49</v>
      </c>
      <c r="J326" s="32" t="s">
        <v>49</v>
      </c>
      <c r="K326" s="32" t="s">
        <v>49</v>
      </c>
      <c r="L326" s="32" t="s">
        <v>49</v>
      </c>
    </row>
    <row r="327" spans="1:12" x14ac:dyDescent="0.3">
      <c r="A327" s="32" t="s">
        <v>657</v>
      </c>
      <c r="B327" s="32">
        <v>7</v>
      </c>
      <c r="C327" s="32" t="s">
        <v>40</v>
      </c>
      <c r="D327" s="32" t="s">
        <v>379</v>
      </c>
      <c r="E327" s="32" t="s">
        <v>443</v>
      </c>
      <c r="F327" s="32" t="s">
        <v>443</v>
      </c>
      <c r="G327" s="32" t="s">
        <v>49</v>
      </c>
      <c r="H327" s="32" t="s">
        <v>49</v>
      </c>
      <c r="I327" s="32" t="s">
        <v>49</v>
      </c>
      <c r="J327" s="32" t="s">
        <v>49</v>
      </c>
    </row>
    <row r="328" spans="1:12" x14ac:dyDescent="0.3">
      <c r="A328" s="32" t="s">
        <v>658</v>
      </c>
      <c r="B328" s="32">
        <v>7</v>
      </c>
      <c r="C328" s="32" t="s">
        <v>40</v>
      </c>
      <c r="D328" s="32" t="s">
        <v>381</v>
      </c>
      <c r="E328" s="32" t="s">
        <v>444</v>
      </c>
      <c r="F328" s="32" t="s">
        <v>444</v>
      </c>
      <c r="G328" s="32" t="s">
        <v>25</v>
      </c>
      <c r="H328" s="32" t="s">
        <v>25</v>
      </c>
      <c r="I328" s="32" t="s">
        <v>25</v>
      </c>
      <c r="J328" s="32" t="s">
        <v>25</v>
      </c>
    </row>
    <row r="329" spans="1:12" x14ac:dyDescent="0.3">
      <c r="A329" s="32" t="s">
        <v>659</v>
      </c>
      <c r="B329" s="32">
        <v>7</v>
      </c>
      <c r="C329" s="32" t="s">
        <v>40</v>
      </c>
      <c r="D329" s="32" t="s">
        <v>381</v>
      </c>
      <c r="E329" s="32" t="s">
        <v>444</v>
      </c>
      <c r="F329" s="32" t="s">
        <v>444</v>
      </c>
      <c r="G329" s="32" t="s">
        <v>34</v>
      </c>
      <c r="H329" s="32" t="s">
        <v>34</v>
      </c>
      <c r="I329" s="32" t="s">
        <v>34</v>
      </c>
      <c r="J329" s="32" t="s">
        <v>34</v>
      </c>
    </row>
    <row r="330" spans="1:12" x14ac:dyDescent="0.3">
      <c r="A330" s="32" t="s">
        <v>660</v>
      </c>
      <c r="B330" s="32">
        <v>7</v>
      </c>
      <c r="C330" s="32" t="s">
        <v>40</v>
      </c>
      <c r="D330" s="32" t="s">
        <v>381</v>
      </c>
      <c r="E330" s="32" t="s">
        <v>444</v>
      </c>
      <c r="F330" s="32" t="s">
        <v>444</v>
      </c>
      <c r="G330" s="32" t="s">
        <v>444</v>
      </c>
      <c r="H330" s="32" t="s">
        <v>444</v>
      </c>
      <c r="I330" s="32" t="s">
        <v>49</v>
      </c>
      <c r="J330" s="32" t="s">
        <v>49</v>
      </c>
      <c r="K330" s="32" t="s">
        <v>49</v>
      </c>
      <c r="L330" s="32" t="s">
        <v>49</v>
      </c>
    </row>
    <row r="331" spans="1:12" x14ac:dyDescent="0.3">
      <c r="A331" s="32" t="s">
        <v>661</v>
      </c>
      <c r="B331" s="32">
        <v>7</v>
      </c>
      <c r="C331" s="32" t="s">
        <v>40</v>
      </c>
      <c r="D331" s="32" t="s">
        <v>601</v>
      </c>
      <c r="E331" s="32" t="s">
        <v>26</v>
      </c>
      <c r="F331" s="32" t="s">
        <v>26</v>
      </c>
      <c r="G331" s="32" t="s">
        <v>26</v>
      </c>
      <c r="H331" s="32" t="s">
        <v>26</v>
      </c>
      <c r="I331" s="32" t="s">
        <v>49</v>
      </c>
      <c r="J331" s="32" t="s">
        <v>49</v>
      </c>
      <c r="K331" s="32" t="s">
        <v>49</v>
      </c>
      <c r="L331" s="32" t="s">
        <v>49</v>
      </c>
    </row>
    <row r="332" spans="1:12" x14ac:dyDescent="0.3">
      <c r="A332" s="32" t="s">
        <v>662</v>
      </c>
      <c r="B332" s="32">
        <v>7</v>
      </c>
      <c r="C332" s="32" t="s">
        <v>40</v>
      </c>
      <c r="D332" s="32" t="s">
        <v>598</v>
      </c>
      <c r="E332" s="32" t="s">
        <v>28</v>
      </c>
      <c r="F332" s="32" t="s">
        <v>28</v>
      </c>
      <c r="G332" s="32" t="s">
        <v>28</v>
      </c>
      <c r="H332" s="32" t="s">
        <v>28</v>
      </c>
      <c r="I332" s="32" t="s">
        <v>49</v>
      </c>
      <c r="J332" s="32" t="s">
        <v>49</v>
      </c>
      <c r="K332" s="32" t="s">
        <v>49</v>
      </c>
      <c r="L332" s="32" t="s">
        <v>49</v>
      </c>
    </row>
    <row r="333" spans="1:12" x14ac:dyDescent="0.3">
      <c r="A333" s="32" t="s">
        <v>663</v>
      </c>
      <c r="B333" s="32">
        <v>7</v>
      </c>
      <c r="C333" s="32" t="s">
        <v>40</v>
      </c>
      <c r="D333" s="32" t="s">
        <v>602</v>
      </c>
      <c r="E333" s="32" t="s">
        <v>443</v>
      </c>
      <c r="F333" s="32" t="s">
        <v>443</v>
      </c>
      <c r="G333" s="32" t="s">
        <v>49</v>
      </c>
      <c r="H333" s="32" t="s">
        <v>49</v>
      </c>
      <c r="I333" s="32" t="s">
        <v>49</v>
      </c>
      <c r="J333" s="32" t="s">
        <v>49</v>
      </c>
    </row>
    <row r="334" spans="1:12" x14ac:dyDescent="0.3">
      <c r="A334" s="32" t="s">
        <v>664</v>
      </c>
      <c r="B334" s="32">
        <v>7</v>
      </c>
      <c r="C334" s="32" t="s">
        <v>40</v>
      </c>
      <c r="D334" s="32" t="s">
        <v>599</v>
      </c>
      <c r="E334" s="32" t="s">
        <v>444</v>
      </c>
      <c r="F334" s="32" t="s">
        <v>444</v>
      </c>
      <c r="G334" s="32" t="s">
        <v>34</v>
      </c>
      <c r="H334" s="32" t="s">
        <v>34</v>
      </c>
      <c r="I334" s="32" t="s">
        <v>34</v>
      </c>
      <c r="J334" s="32" t="s">
        <v>34</v>
      </c>
    </row>
    <row r="335" spans="1:12" x14ac:dyDescent="0.3">
      <c r="A335" s="32" t="s">
        <v>665</v>
      </c>
      <c r="B335" s="32">
        <v>7</v>
      </c>
      <c r="C335" s="32" t="s">
        <v>40</v>
      </c>
      <c r="D335" s="32" t="s">
        <v>599</v>
      </c>
      <c r="E335" s="32" t="s">
        <v>444</v>
      </c>
      <c r="F335" s="32" t="s">
        <v>444</v>
      </c>
      <c r="G335" s="32" t="s">
        <v>49</v>
      </c>
      <c r="H335" s="32" t="s">
        <v>49</v>
      </c>
      <c r="I335" s="32" t="s">
        <v>49</v>
      </c>
      <c r="J335" s="32" t="s">
        <v>49</v>
      </c>
    </row>
    <row r="336" spans="1:12" x14ac:dyDescent="0.3">
      <c r="A336" s="32" t="s">
        <v>666</v>
      </c>
      <c r="B336" s="32">
        <v>7</v>
      </c>
      <c r="C336" s="32" t="s">
        <v>40</v>
      </c>
      <c r="D336" s="32" t="s">
        <v>599</v>
      </c>
      <c r="E336" s="32" t="s">
        <v>444</v>
      </c>
      <c r="F336" s="32" t="s">
        <v>444</v>
      </c>
      <c r="G336" s="32" t="s">
        <v>25</v>
      </c>
      <c r="H336" s="32" t="s">
        <v>25</v>
      </c>
      <c r="I336" s="32" t="s">
        <v>25</v>
      </c>
      <c r="J336" s="32" t="s">
        <v>25</v>
      </c>
    </row>
    <row r="337" spans="1:17" x14ac:dyDescent="0.3">
      <c r="A337" s="32" t="s">
        <v>690</v>
      </c>
      <c r="B337" s="32">
        <v>7</v>
      </c>
      <c r="C337" s="32" t="s">
        <v>40</v>
      </c>
      <c r="D337" s="32" t="s">
        <v>451</v>
      </c>
      <c r="E337" s="32" t="s">
        <v>446</v>
      </c>
      <c r="F337" s="32" t="s">
        <v>446</v>
      </c>
      <c r="G337" s="32" t="s">
        <v>446</v>
      </c>
      <c r="H337" s="32" t="s">
        <v>446</v>
      </c>
      <c r="I337" s="32" t="s">
        <v>446</v>
      </c>
      <c r="J337" s="32" t="s">
        <v>446</v>
      </c>
    </row>
    <row r="338" spans="1:17" x14ac:dyDescent="0.3">
      <c r="A338" s="32" t="s">
        <v>691</v>
      </c>
      <c r="B338" s="32">
        <v>7</v>
      </c>
      <c r="C338" s="32" t="s">
        <v>40</v>
      </c>
      <c r="D338" s="32" t="s">
        <v>692</v>
      </c>
      <c r="E338" s="32" t="s">
        <v>446</v>
      </c>
      <c r="F338" s="32" t="s">
        <v>446</v>
      </c>
      <c r="G338" s="32" t="s">
        <v>446</v>
      </c>
      <c r="H338" s="32" t="s">
        <v>446</v>
      </c>
      <c r="I338" s="32" t="s">
        <v>446</v>
      </c>
      <c r="J338" s="32" t="s">
        <v>446</v>
      </c>
      <c r="K338" s="32" t="s">
        <v>446</v>
      </c>
      <c r="L338" s="32" t="s">
        <v>446</v>
      </c>
      <c r="M338" s="32" t="s">
        <v>446</v>
      </c>
      <c r="N338" s="32" t="s">
        <v>446</v>
      </c>
    </row>
    <row r="339" spans="1:17" x14ac:dyDescent="0.3">
      <c r="A339" s="32" t="s">
        <v>693</v>
      </c>
      <c r="B339" s="32">
        <v>7</v>
      </c>
      <c r="C339" s="32" t="s">
        <v>40</v>
      </c>
      <c r="D339" s="32" t="s">
        <v>694</v>
      </c>
      <c r="E339" s="32" t="s">
        <v>303</v>
      </c>
      <c r="F339" s="32" t="s">
        <v>303</v>
      </c>
      <c r="G339" s="32" t="s">
        <v>303</v>
      </c>
      <c r="H339" s="32" t="s">
        <v>303</v>
      </c>
      <c r="I339" s="32" t="s">
        <v>303</v>
      </c>
      <c r="J339" s="32" t="s">
        <v>303</v>
      </c>
      <c r="K339" s="32" t="s">
        <v>303</v>
      </c>
      <c r="L339" s="32" t="s">
        <v>303</v>
      </c>
      <c r="M339" s="32" t="s">
        <v>303</v>
      </c>
    </row>
    <row r="340" spans="1:17" x14ac:dyDescent="0.3">
      <c r="A340" s="32" t="s">
        <v>697</v>
      </c>
      <c r="B340" s="32">
        <v>7</v>
      </c>
      <c r="C340" s="32" t="s">
        <v>38</v>
      </c>
      <c r="D340" s="32" t="s">
        <v>30</v>
      </c>
      <c r="E340" s="32" t="s">
        <v>30</v>
      </c>
      <c r="F340" s="32" t="s">
        <v>30</v>
      </c>
      <c r="G340" s="32" t="s">
        <v>30</v>
      </c>
      <c r="H340" s="32" t="s">
        <v>30</v>
      </c>
      <c r="I340" s="32" t="s">
        <v>30</v>
      </c>
    </row>
    <row r="341" spans="1:17" x14ac:dyDescent="0.3">
      <c r="A341" s="32" t="s">
        <v>698</v>
      </c>
      <c r="B341" s="32">
        <v>7</v>
      </c>
      <c r="C341" s="32" t="s">
        <v>38</v>
      </c>
      <c r="D341" s="32" t="s">
        <v>30</v>
      </c>
      <c r="E341" s="32" t="s">
        <v>30</v>
      </c>
      <c r="F341" s="32" t="s">
        <v>30</v>
      </c>
      <c r="G341" s="32" t="s">
        <v>30</v>
      </c>
    </row>
    <row r="342" spans="1:17" x14ac:dyDescent="0.3">
      <c r="A342" s="32" t="s">
        <v>699</v>
      </c>
      <c r="B342" s="32">
        <v>7</v>
      </c>
      <c r="C342" s="32" t="s">
        <v>38</v>
      </c>
      <c r="D342" s="32" t="s">
        <v>30</v>
      </c>
      <c r="E342" s="32" t="s">
        <v>30</v>
      </c>
      <c r="F342" s="32" t="s">
        <v>30</v>
      </c>
      <c r="G342" s="32" t="s">
        <v>30</v>
      </c>
      <c r="H342" s="32" t="s">
        <v>30</v>
      </c>
      <c r="I342" s="32" t="s">
        <v>30</v>
      </c>
      <c r="J342" s="32" t="s">
        <v>30</v>
      </c>
      <c r="K342" s="32" t="s">
        <v>30</v>
      </c>
    </row>
    <row r="343" spans="1:17" x14ac:dyDescent="0.3">
      <c r="A343" s="32" t="s">
        <v>700</v>
      </c>
      <c r="B343" s="32">
        <v>7</v>
      </c>
      <c r="C343" s="32" t="s">
        <v>38</v>
      </c>
      <c r="D343" s="32" t="s">
        <v>30</v>
      </c>
      <c r="E343" s="32" t="s">
        <v>30</v>
      </c>
      <c r="F343" s="32" t="s">
        <v>30</v>
      </c>
      <c r="G343" s="32" t="s">
        <v>30</v>
      </c>
      <c r="H343" s="32" t="s">
        <v>30</v>
      </c>
      <c r="I343" s="32" t="s">
        <v>30</v>
      </c>
      <c r="J343" s="32" t="s">
        <v>30</v>
      </c>
      <c r="K343" s="32" t="s">
        <v>30</v>
      </c>
    </row>
    <row r="344" spans="1:17" x14ac:dyDescent="0.3">
      <c r="A344" s="32" t="s">
        <v>703</v>
      </c>
      <c r="B344" s="32">
        <v>7</v>
      </c>
      <c r="C344" s="32" t="s">
        <v>623</v>
      </c>
      <c r="D344" s="32" t="s">
        <v>447</v>
      </c>
      <c r="E344" s="32" t="s">
        <v>447</v>
      </c>
      <c r="F344" s="32" t="s">
        <v>447</v>
      </c>
      <c r="G344" s="32" t="s">
        <v>447</v>
      </c>
    </row>
    <row r="345" spans="1:17" x14ac:dyDescent="0.3">
      <c r="A345" s="32" t="s">
        <v>704</v>
      </c>
      <c r="B345" s="32">
        <v>7</v>
      </c>
      <c r="C345" s="32" t="s">
        <v>623</v>
      </c>
      <c r="D345" s="32" t="s">
        <v>448</v>
      </c>
      <c r="E345" s="32" t="s">
        <v>448</v>
      </c>
      <c r="F345" s="32" t="s">
        <v>448</v>
      </c>
      <c r="G345" s="32" t="s">
        <v>448</v>
      </c>
    </row>
    <row r="346" spans="1:17" x14ac:dyDescent="0.3">
      <c r="A346" s="32" t="s">
        <v>705</v>
      </c>
      <c r="B346" s="32">
        <v>7</v>
      </c>
      <c r="C346" s="32" t="s">
        <v>702</v>
      </c>
      <c r="D346" s="32" t="s">
        <v>447</v>
      </c>
      <c r="E346" s="32" t="s">
        <v>447</v>
      </c>
      <c r="F346" s="32" t="s">
        <v>447</v>
      </c>
      <c r="G346" s="32" t="s">
        <v>447</v>
      </c>
      <c r="H346" s="32" t="s">
        <v>447</v>
      </c>
      <c r="I346" s="32" t="s">
        <v>447</v>
      </c>
    </row>
    <row r="347" spans="1:17" x14ac:dyDescent="0.3">
      <c r="A347" s="32" t="s">
        <v>706</v>
      </c>
      <c r="B347" s="32">
        <v>7</v>
      </c>
      <c r="C347" s="32" t="s">
        <v>702</v>
      </c>
      <c r="D347" s="32" t="s">
        <v>448</v>
      </c>
      <c r="E347" s="32" t="s">
        <v>448</v>
      </c>
      <c r="F347" s="32" t="s">
        <v>448</v>
      </c>
      <c r="G347" s="32" t="s">
        <v>448</v>
      </c>
      <c r="H347" s="32" t="s">
        <v>448</v>
      </c>
    </row>
    <row r="348" spans="1:17" x14ac:dyDescent="0.3">
      <c r="A348" s="32" t="s">
        <v>710</v>
      </c>
      <c r="B348" s="32">
        <v>7</v>
      </c>
      <c r="C348" s="32" t="s">
        <v>40</v>
      </c>
      <c r="D348" s="32" t="s">
        <v>375</v>
      </c>
      <c r="E348" s="32" t="s">
        <v>32</v>
      </c>
      <c r="F348" s="32" t="s">
        <v>32</v>
      </c>
      <c r="G348" s="32" t="s">
        <v>32</v>
      </c>
      <c r="H348" s="32" t="s">
        <v>32</v>
      </c>
      <c r="I348" s="32" t="s">
        <v>32</v>
      </c>
      <c r="J348" s="32" t="s">
        <v>32</v>
      </c>
      <c r="K348" s="32" t="s">
        <v>32</v>
      </c>
      <c r="L348" s="32" t="s">
        <v>32</v>
      </c>
      <c r="M348" s="32" t="s">
        <v>32</v>
      </c>
      <c r="N348" s="32" t="s">
        <v>30</v>
      </c>
      <c r="O348" s="32" t="s">
        <v>30</v>
      </c>
      <c r="P348" s="32" t="s">
        <v>30</v>
      </c>
      <c r="Q348" s="32" t="s">
        <v>30</v>
      </c>
    </row>
    <row r="349" spans="1:17" x14ac:dyDescent="0.3">
      <c r="A349" s="32" t="s">
        <v>716</v>
      </c>
      <c r="B349" s="32">
        <v>7</v>
      </c>
      <c r="C349" s="32" t="s">
        <v>38</v>
      </c>
      <c r="D349" s="32" t="s">
        <v>30</v>
      </c>
      <c r="E349" s="32" t="s">
        <v>30</v>
      </c>
      <c r="F349" s="32" t="s">
        <v>30</v>
      </c>
      <c r="G349" s="32" t="s">
        <v>30</v>
      </c>
      <c r="H349" s="32" t="s">
        <v>30</v>
      </c>
      <c r="I349" s="32" t="s">
        <v>30</v>
      </c>
      <c r="J349" s="32" t="s">
        <v>30</v>
      </c>
      <c r="K349" s="32" t="s">
        <v>30</v>
      </c>
      <c r="L349" s="32" t="s">
        <v>30</v>
      </c>
      <c r="M349" s="32" t="s">
        <v>30</v>
      </c>
    </row>
    <row r="350" spans="1:17" x14ac:dyDescent="0.3">
      <c r="A350" s="32" t="s">
        <v>717</v>
      </c>
      <c r="B350" s="32">
        <v>7</v>
      </c>
      <c r="C350" s="32" t="s">
        <v>40</v>
      </c>
      <c r="D350" s="32" t="s">
        <v>451</v>
      </c>
      <c r="E350" s="32" t="s">
        <v>446</v>
      </c>
      <c r="F350" s="32" t="s">
        <v>446</v>
      </c>
      <c r="G350" s="32" t="s">
        <v>446</v>
      </c>
      <c r="H350" s="32" t="s">
        <v>446</v>
      </c>
      <c r="I350" s="32" t="s">
        <v>446</v>
      </c>
      <c r="J350" s="32" t="s">
        <v>446</v>
      </c>
      <c r="K350" s="32" t="s">
        <v>446</v>
      </c>
      <c r="L350" s="32" t="s">
        <v>446</v>
      </c>
      <c r="M350" s="32" t="s">
        <v>446</v>
      </c>
      <c r="N350" s="32" t="s">
        <v>446</v>
      </c>
      <c r="O350" s="32" t="s">
        <v>446</v>
      </c>
    </row>
    <row r="351" spans="1:17" x14ac:dyDescent="0.3">
      <c r="A351" s="32" t="s">
        <v>718</v>
      </c>
      <c r="B351" s="32">
        <v>7</v>
      </c>
      <c r="C351" s="32" t="s">
        <v>40</v>
      </c>
      <c r="D351" s="32" t="s">
        <v>49</v>
      </c>
      <c r="E351" s="32" t="s">
        <v>49</v>
      </c>
      <c r="F351" s="32" t="s">
        <v>49</v>
      </c>
      <c r="G351" s="32" t="s">
        <v>49</v>
      </c>
      <c r="H351" s="32" t="s">
        <v>49</v>
      </c>
      <c r="I351" s="32" t="s">
        <v>49</v>
      </c>
      <c r="J351" s="32" t="s">
        <v>49</v>
      </c>
      <c r="K351" s="32" t="s">
        <v>49</v>
      </c>
    </row>
    <row r="352" spans="1:17" x14ac:dyDescent="0.3">
      <c r="A352" s="32" t="s">
        <v>721</v>
      </c>
      <c r="B352" s="32">
        <v>7</v>
      </c>
      <c r="C352" s="32" t="s">
        <v>40</v>
      </c>
      <c r="D352" s="32" t="s">
        <v>375</v>
      </c>
      <c r="E352" s="32" t="s">
        <v>32</v>
      </c>
      <c r="F352" s="32" t="s">
        <v>32</v>
      </c>
      <c r="G352" s="32" t="s">
        <v>32</v>
      </c>
      <c r="H352" s="32" t="s">
        <v>32</v>
      </c>
      <c r="I352" s="32" t="s">
        <v>32</v>
      </c>
      <c r="J352" s="32" t="s">
        <v>32</v>
      </c>
      <c r="K352" s="32" t="s">
        <v>32</v>
      </c>
      <c r="L352" s="32" t="s">
        <v>32</v>
      </c>
    </row>
    <row r="353" spans="1:16" x14ac:dyDescent="0.3">
      <c r="A353" s="32" t="s">
        <v>722</v>
      </c>
      <c r="B353" s="32">
        <v>7</v>
      </c>
      <c r="C353" s="32" t="s">
        <v>702</v>
      </c>
      <c r="D353" s="32" t="s">
        <v>30</v>
      </c>
      <c r="E353" s="32" t="s">
        <v>30</v>
      </c>
      <c r="F353" s="32" t="s">
        <v>30</v>
      </c>
      <c r="G353" s="32" t="s">
        <v>30</v>
      </c>
      <c r="H353" s="32" t="s">
        <v>30</v>
      </c>
      <c r="I353" s="32" t="s">
        <v>30</v>
      </c>
      <c r="J353" s="32" t="s">
        <v>30</v>
      </c>
      <c r="K353" s="32" t="s">
        <v>30</v>
      </c>
    </row>
    <row r="354" spans="1:16" x14ac:dyDescent="0.3">
      <c r="A354" s="32" t="s">
        <v>731</v>
      </c>
      <c r="B354" s="32">
        <v>7</v>
      </c>
      <c r="C354" s="32" t="s">
        <v>40</v>
      </c>
      <c r="D354" s="32" t="s">
        <v>692</v>
      </c>
      <c r="E354" s="32" t="s">
        <v>595</v>
      </c>
      <c r="F354" s="32" t="s">
        <v>32</v>
      </c>
      <c r="G354" s="32" t="s">
        <v>32</v>
      </c>
      <c r="H354" s="32" t="s">
        <v>32</v>
      </c>
      <c r="I354" s="32" t="s">
        <v>595</v>
      </c>
      <c r="J354" s="32" t="s">
        <v>32</v>
      </c>
      <c r="K354" s="32" t="s">
        <v>32</v>
      </c>
      <c r="L354" s="32" t="s">
        <v>32</v>
      </c>
      <c r="M354" s="32" t="s">
        <v>32</v>
      </c>
      <c r="N354" s="32" t="s">
        <v>32</v>
      </c>
      <c r="O354" s="32" t="s">
        <v>32</v>
      </c>
      <c r="P354" s="32" t="s">
        <v>32</v>
      </c>
    </row>
    <row r="355" spans="1:16" x14ac:dyDescent="0.3">
      <c r="A355" s="32" t="s">
        <v>751</v>
      </c>
      <c r="B355" s="32">
        <v>7</v>
      </c>
      <c r="C355" s="32" t="s">
        <v>40</v>
      </c>
      <c r="D355" s="32" t="s">
        <v>30</v>
      </c>
      <c r="E355" s="32" t="s">
        <v>30</v>
      </c>
      <c r="F355" s="32" t="s">
        <v>32</v>
      </c>
      <c r="G355" s="32" t="s">
        <v>32</v>
      </c>
      <c r="H355" s="32" t="s">
        <v>32</v>
      </c>
      <c r="I355" s="32" t="s">
        <v>32</v>
      </c>
      <c r="J355" s="32" t="s">
        <v>32</v>
      </c>
    </row>
    <row r="356" spans="1:16" x14ac:dyDescent="0.3">
      <c r="A356" s="32" t="s">
        <v>753</v>
      </c>
      <c r="B356" s="32">
        <v>7</v>
      </c>
      <c r="C356" s="32" t="s">
        <v>40</v>
      </c>
      <c r="D356" s="32" t="s">
        <v>375</v>
      </c>
      <c r="E356" s="32" t="s">
        <v>32</v>
      </c>
      <c r="F356" s="32" t="s">
        <v>32</v>
      </c>
      <c r="G356" s="32" t="s">
        <v>32</v>
      </c>
      <c r="H356" s="32" t="s">
        <v>32</v>
      </c>
      <c r="I356" s="32" t="s">
        <v>30</v>
      </c>
    </row>
    <row r="357" spans="1:16" x14ac:dyDescent="0.3">
      <c r="A357" s="32" t="s">
        <v>754</v>
      </c>
      <c r="B357" s="32">
        <v>7</v>
      </c>
      <c r="C357" s="32" t="s">
        <v>40</v>
      </c>
      <c r="D357" s="32" t="s">
        <v>692</v>
      </c>
      <c r="E357" s="32" t="s">
        <v>32</v>
      </c>
      <c r="F357" s="32" t="s">
        <v>32</v>
      </c>
      <c r="G357" s="32" t="s">
        <v>32</v>
      </c>
      <c r="H357" s="32" t="s">
        <v>32</v>
      </c>
      <c r="I357" s="32" t="s">
        <v>32</v>
      </c>
      <c r="J357" s="32" t="s">
        <v>32</v>
      </c>
      <c r="K357" s="32" t="s">
        <v>32</v>
      </c>
      <c r="L357" s="32" t="s">
        <v>32</v>
      </c>
    </row>
    <row r="358" spans="1:16" x14ac:dyDescent="0.3">
      <c r="A358" s="32" t="s">
        <v>755</v>
      </c>
      <c r="B358" s="32">
        <v>7</v>
      </c>
      <c r="C358" s="32" t="s">
        <v>40</v>
      </c>
      <c r="D358" s="32" t="s">
        <v>595</v>
      </c>
      <c r="E358" s="32" t="s">
        <v>32</v>
      </c>
      <c r="F358" s="32" t="s">
        <v>32</v>
      </c>
      <c r="G358" s="32" t="s">
        <v>32</v>
      </c>
      <c r="H358" s="32" t="s">
        <v>32</v>
      </c>
      <c r="I358" s="32" t="s">
        <v>32</v>
      </c>
      <c r="J358" s="32" t="s">
        <v>32</v>
      </c>
      <c r="K358" s="32" t="s">
        <v>32</v>
      </c>
      <c r="L358" s="32" t="s">
        <v>32</v>
      </c>
      <c r="M358" s="32" t="s">
        <v>30</v>
      </c>
      <c r="N358" s="32" t="s">
        <v>30</v>
      </c>
      <c r="O358" s="32" t="s">
        <v>30</v>
      </c>
      <c r="P358" s="32" t="s">
        <v>30</v>
      </c>
    </row>
    <row r="359" spans="1:16" x14ac:dyDescent="0.3">
      <c r="A359" s="32" t="s">
        <v>932</v>
      </c>
      <c r="B359" s="32">
        <v>0</v>
      </c>
      <c r="C359" s="32" t="s">
        <v>40</v>
      </c>
      <c r="D359" s="32" t="s">
        <v>450</v>
      </c>
      <c r="E359" s="32" t="s">
        <v>303</v>
      </c>
      <c r="F359" s="32" t="s">
        <v>303</v>
      </c>
      <c r="G359" s="32" t="s">
        <v>303</v>
      </c>
      <c r="H359" s="32" t="s">
        <v>303</v>
      </c>
      <c r="I359" s="32" t="s">
        <v>30</v>
      </c>
    </row>
    <row r="360" spans="1:16" x14ac:dyDescent="0.3">
      <c r="A360" s="32" t="s">
        <v>933</v>
      </c>
      <c r="B360" s="32">
        <v>0</v>
      </c>
      <c r="C360" s="32" t="s">
        <v>40</v>
      </c>
      <c r="D360" s="32" t="s">
        <v>451</v>
      </c>
      <c r="E360" s="32" t="s">
        <v>446</v>
      </c>
      <c r="F360" s="32" t="s">
        <v>446</v>
      </c>
      <c r="G360" s="32" t="s">
        <v>375</v>
      </c>
      <c r="H360" s="32" t="s">
        <v>32</v>
      </c>
      <c r="I360" s="32" t="s">
        <v>32</v>
      </c>
    </row>
    <row r="361" spans="1:16" x14ac:dyDescent="0.3">
      <c r="A361" s="32" t="s">
        <v>934</v>
      </c>
      <c r="B361" s="32">
        <v>0</v>
      </c>
      <c r="C361" s="32" t="s">
        <v>40</v>
      </c>
      <c r="D361" s="32" t="s">
        <v>450</v>
      </c>
      <c r="E361" s="32" t="s">
        <v>303</v>
      </c>
      <c r="F361" s="32" t="s">
        <v>303</v>
      </c>
      <c r="G361" s="32" t="s">
        <v>303</v>
      </c>
      <c r="H361" s="32" t="s">
        <v>303</v>
      </c>
      <c r="I361" s="32" t="s">
        <v>303</v>
      </c>
      <c r="J361" s="32" t="s">
        <v>303</v>
      </c>
      <c r="K361" s="32" t="s">
        <v>303</v>
      </c>
      <c r="L361" s="32" t="s">
        <v>303</v>
      </c>
      <c r="M361" s="32" t="s">
        <v>30</v>
      </c>
      <c r="N361" s="32" t="s">
        <v>30</v>
      </c>
      <c r="O361" s="32" t="s">
        <v>30</v>
      </c>
      <c r="P361" s="32" t="s">
        <v>30</v>
      </c>
    </row>
    <row r="362" spans="1:16" x14ac:dyDescent="0.3">
      <c r="A362" s="32" t="s">
        <v>935</v>
      </c>
      <c r="B362" s="32">
        <v>0</v>
      </c>
      <c r="C362" s="32" t="s">
        <v>40</v>
      </c>
      <c r="D362" s="32" t="s">
        <v>451</v>
      </c>
      <c r="E362" s="32" t="s">
        <v>375</v>
      </c>
      <c r="F362" s="32" t="s">
        <v>375</v>
      </c>
      <c r="G362" s="32" t="s">
        <v>32</v>
      </c>
      <c r="H362" s="32" t="s">
        <v>32</v>
      </c>
      <c r="I362" s="32" t="s">
        <v>32</v>
      </c>
      <c r="J362" s="32" t="s">
        <v>32</v>
      </c>
      <c r="K362" s="32" t="s">
        <v>32</v>
      </c>
      <c r="L362" s="32" t="s">
        <v>32</v>
      </c>
    </row>
    <row r="363" spans="1:16" x14ac:dyDescent="0.3">
      <c r="A363" s="32" t="s">
        <v>936</v>
      </c>
      <c r="B363" s="32">
        <v>0</v>
      </c>
      <c r="C363" s="32" t="s">
        <v>40</v>
      </c>
      <c r="D363" s="32" t="s">
        <v>692</v>
      </c>
      <c r="E363" s="32" t="s">
        <v>595</v>
      </c>
      <c r="F363" s="32" t="s">
        <v>32</v>
      </c>
      <c r="G363" s="32" t="s">
        <v>32</v>
      </c>
      <c r="H363" s="32" t="s">
        <v>32</v>
      </c>
      <c r="I363" s="32" t="s">
        <v>937</v>
      </c>
      <c r="J363" s="32" t="s">
        <v>448</v>
      </c>
      <c r="K363" s="32" t="s">
        <v>448</v>
      </c>
      <c r="L363" s="32" t="s">
        <v>448</v>
      </c>
    </row>
    <row r="364" spans="1:16" x14ac:dyDescent="0.3">
      <c r="A364" s="32" t="s">
        <v>938</v>
      </c>
      <c r="B364" s="32">
        <v>0</v>
      </c>
      <c r="C364" s="32" t="s">
        <v>40</v>
      </c>
      <c r="D364" s="32" t="s">
        <v>378</v>
      </c>
      <c r="E364" s="32" t="s">
        <v>25</v>
      </c>
      <c r="F364" s="32" t="s">
        <v>378</v>
      </c>
      <c r="G364" s="32" t="s">
        <v>25</v>
      </c>
      <c r="H364" s="32" t="s">
        <v>377</v>
      </c>
    </row>
    <row r="365" spans="1:16" x14ac:dyDescent="0.3">
      <c r="A365" s="32" t="s">
        <v>939</v>
      </c>
      <c r="B365" s="32">
        <v>0</v>
      </c>
      <c r="C365" s="32" t="s">
        <v>40</v>
      </c>
      <c r="D365" s="32" t="s">
        <v>378</v>
      </c>
      <c r="E365" s="32" t="s">
        <v>25</v>
      </c>
      <c r="F365" s="32" t="s">
        <v>378</v>
      </c>
      <c r="G365" s="32" t="s">
        <v>25</v>
      </c>
      <c r="H365" s="32" t="s">
        <v>379</v>
      </c>
      <c r="I365" s="32" t="s">
        <v>443</v>
      </c>
      <c r="J365" s="32" t="s">
        <v>443</v>
      </c>
    </row>
    <row r="366" spans="1:16" x14ac:dyDescent="0.3">
      <c r="A366" s="32" t="s">
        <v>940</v>
      </c>
      <c r="B366" s="32">
        <v>0</v>
      </c>
      <c r="C366" s="32" t="s">
        <v>40</v>
      </c>
      <c r="D366" s="32" t="s">
        <v>378</v>
      </c>
      <c r="E366" s="32" t="s">
        <v>378</v>
      </c>
      <c r="F366" s="32" t="s">
        <v>380</v>
      </c>
      <c r="G366" s="32" t="s">
        <v>28</v>
      </c>
      <c r="H366" s="32" t="s">
        <v>28</v>
      </c>
      <c r="I366" s="32" t="s">
        <v>28</v>
      </c>
      <c r="J366" s="32" t="s">
        <v>28</v>
      </c>
    </row>
    <row r="367" spans="1:16" x14ac:dyDescent="0.3">
      <c r="A367" s="32" t="s">
        <v>941</v>
      </c>
      <c r="B367" s="32">
        <v>0</v>
      </c>
      <c r="C367" s="32" t="s">
        <v>40</v>
      </c>
      <c r="D367" s="32" t="s">
        <v>378</v>
      </c>
      <c r="E367" s="32" t="s">
        <v>25</v>
      </c>
      <c r="F367" s="32" t="s">
        <v>378</v>
      </c>
      <c r="G367" s="32" t="s">
        <v>25</v>
      </c>
      <c r="H367" s="32" t="s">
        <v>381</v>
      </c>
      <c r="I367" s="32" t="s">
        <v>444</v>
      </c>
      <c r="J367" s="32" t="s">
        <v>444</v>
      </c>
    </row>
    <row r="368" spans="1:16" x14ac:dyDescent="0.3">
      <c r="A368" s="32" t="s">
        <v>942</v>
      </c>
      <c r="B368" s="32">
        <v>0</v>
      </c>
      <c r="C368" s="32" t="s">
        <v>40</v>
      </c>
      <c r="D368" s="32" t="s">
        <v>376</v>
      </c>
      <c r="E368" s="32" t="s">
        <v>376</v>
      </c>
      <c r="F368" s="32" t="s">
        <v>377</v>
      </c>
      <c r="G368" s="32" t="s">
        <v>26</v>
      </c>
      <c r="H368" s="32" t="s">
        <v>26</v>
      </c>
    </row>
    <row r="369" spans="1:10" x14ac:dyDescent="0.3">
      <c r="A369" s="32" t="s">
        <v>943</v>
      </c>
      <c r="B369" s="32">
        <v>0</v>
      </c>
      <c r="C369" s="32" t="s">
        <v>40</v>
      </c>
      <c r="D369" s="32" t="s">
        <v>376</v>
      </c>
      <c r="E369" s="32" t="s">
        <v>376</v>
      </c>
      <c r="F369" s="32" t="s">
        <v>379</v>
      </c>
      <c r="G369" s="32" t="s">
        <v>443</v>
      </c>
      <c r="H369" s="32" t="s">
        <v>443</v>
      </c>
    </row>
    <row r="370" spans="1:10" x14ac:dyDescent="0.3">
      <c r="A370" s="32" t="s">
        <v>944</v>
      </c>
      <c r="B370" s="32">
        <v>0</v>
      </c>
      <c r="C370" s="32" t="s">
        <v>40</v>
      </c>
      <c r="D370" s="32" t="s">
        <v>376</v>
      </c>
      <c r="E370" s="32" t="s">
        <v>376</v>
      </c>
      <c r="F370" s="32" t="s">
        <v>380</v>
      </c>
      <c r="G370" s="32" t="s">
        <v>28</v>
      </c>
      <c r="H370" s="32" t="s">
        <v>28</v>
      </c>
    </row>
    <row r="371" spans="1:10" x14ac:dyDescent="0.3">
      <c r="A371" s="32" t="s">
        <v>945</v>
      </c>
      <c r="B371" s="32">
        <v>0</v>
      </c>
      <c r="C371" s="32" t="s">
        <v>40</v>
      </c>
      <c r="D371" s="32" t="s">
        <v>376</v>
      </c>
      <c r="E371" s="32" t="s">
        <v>34</v>
      </c>
      <c r="F371" s="32" t="s">
        <v>376</v>
      </c>
      <c r="G371" s="32" t="s">
        <v>34</v>
      </c>
      <c r="H371" s="32" t="s">
        <v>381</v>
      </c>
    </row>
    <row r="372" spans="1:10" x14ac:dyDescent="0.3">
      <c r="A372" s="32" t="s">
        <v>946</v>
      </c>
      <c r="B372" s="32">
        <v>0</v>
      </c>
      <c r="C372" s="32" t="s">
        <v>40</v>
      </c>
      <c r="D372" s="32" t="s">
        <v>378</v>
      </c>
      <c r="E372" s="32" t="s">
        <v>25</v>
      </c>
      <c r="F372" s="32" t="s">
        <v>376</v>
      </c>
      <c r="G372" s="32" t="s">
        <v>34</v>
      </c>
      <c r="H372" s="32" t="s">
        <v>377</v>
      </c>
    </row>
    <row r="373" spans="1:10" x14ac:dyDescent="0.3">
      <c r="A373" s="32" t="s">
        <v>947</v>
      </c>
      <c r="B373" s="32">
        <v>0</v>
      </c>
      <c r="C373" s="32" t="s">
        <v>40</v>
      </c>
      <c r="D373" s="32" t="s">
        <v>378</v>
      </c>
      <c r="E373" s="32" t="s">
        <v>376</v>
      </c>
      <c r="F373" s="32" t="s">
        <v>379</v>
      </c>
      <c r="G373" s="32" t="s">
        <v>443</v>
      </c>
      <c r="H373" s="32" t="s">
        <v>443</v>
      </c>
    </row>
    <row r="374" spans="1:10" x14ac:dyDescent="0.3">
      <c r="A374" s="32" t="s">
        <v>948</v>
      </c>
      <c r="B374" s="32">
        <v>0</v>
      </c>
      <c r="C374" s="32" t="s">
        <v>40</v>
      </c>
      <c r="D374" s="32" t="s">
        <v>378</v>
      </c>
      <c r="E374" s="32" t="s">
        <v>376</v>
      </c>
      <c r="F374" s="32" t="s">
        <v>380</v>
      </c>
      <c r="G374" s="32" t="s">
        <v>28</v>
      </c>
      <c r="H374" s="32" t="s">
        <v>28</v>
      </c>
      <c r="I374" s="32" t="s">
        <v>28</v>
      </c>
      <c r="J374" s="32" t="s">
        <v>28</v>
      </c>
    </row>
    <row r="375" spans="1:10" x14ac:dyDescent="0.3">
      <c r="A375" s="32" t="s">
        <v>949</v>
      </c>
      <c r="B375" s="32">
        <v>0</v>
      </c>
      <c r="C375" s="32" t="s">
        <v>40</v>
      </c>
      <c r="D375" s="32" t="s">
        <v>378</v>
      </c>
      <c r="E375" s="32" t="s">
        <v>25</v>
      </c>
      <c r="F375" s="32" t="s">
        <v>25</v>
      </c>
      <c r="G375" s="32" t="s">
        <v>376</v>
      </c>
      <c r="H375" s="32" t="s">
        <v>34</v>
      </c>
      <c r="I375" s="32" t="s">
        <v>34</v>
      </c>
      <c r="J375" s="32" t="s">
        <v>381</v>
      </c>
    </row>
    <row r="376" spans="1:10" x14ac:dyDescent="0.3">
      <c r="A376" s="32" t="s">
        <v>950</v>
      </c>
      <c r="B376" s="32">
        <v>0</v>
      </c>
      <c r="C376" s="32" t="s">
        <v>40</v>
      </c>
      <c r="D376" s="32" t="s">
        <v>378</v>
      </c>
      <c r="E376" s="32" t="s">
        <v>377</v>
      </c>
      <c r="F376" s="32" t="s">
        <v>26</v>
      </c>
      <c r="G376" s="32" t="s">
        <v>26</v>
      </c>
      <c r="H376" s="32" t="s">
        <v>377</v>
      </c>
      <c r="I376" s="32" t="s">
        <v>26</v>
      </c>
      <c r="J376" s="32" t="s">
        <v>26</v>
      </c>
    </row>
    <row r="377" spans="1:10" x14ac:dyDescent="0.3">
      <c r="A377" s="32" t="s">
        <v>951</v>
      </c>
      <c r="B377" s="32">
        <v>0</v>
      </c>
      <c r="C377" s="32" t="s">
        <v>40</v>
      </c>
      <c r="D377" s="32" t="s">
        <v>378</v>
      </c>
      <c r="E377" s="32" t="s">
        <v>25</v>
      </c>
      <c r="F377" s="32" t="s">
        <v>25</v>
      </c>
      <c r="G377" s="32" t="s">
        <v>379</v>
      </c>
      <c r="H377" s="32" t="s">
        <v>379</v>
      </c>
    </row>
    <row r="378" spans="1:10" x14ac:dyDescent="0.3">
      <c r="A378" s="32" t="s">
        <v>952</v>
      </c>
      <c r="B378" s="32">
        <v>0</v>
      </c>
      <c r="C378" s="32" t="s">
        <v>40</v>
      </c>
      <c r="D378" s="32" t="s">
        <v>378</v>
      </c>
      <c r="E378" s="32" t="s">
        <v>380</v>
      </c>
      <c r="F378" s="32" t="s">
        <v>380</v>
      </c>
      <c r="G378" s="32" t="s">
        <v>28</v>
      </c>
      <c r="H378" s="32" t="s">
        <v>28</v>
      </c>
      <c r="I378" s="32" t="s">
        <v>28</v>
      </c>
      <c r="J378" s="32" t="s">
        <v>28</v>
      </c>
    </row>
    <row r="379" spans="1:10" x14ac:dyDescent="0.3">
      <c r="A379" s="32" t="s">
        <v>953</v>
      </c>
      <c r="B379" s="32">
        <v>0</v>
      </c>
      <c r="C379" s="32" t="s">
        <v>40</v>
      </c>
      <c r="D379" s="32" t="s">
        <v>378</v>
      </c>
      <c r="E379" s="32" t="s">
        <v>25</v>
      </c>
      <c r="F379" s="32" t="s">
        <v>25</v>
      </c>
      <c r="G379" s="32" t="s">
        <v>25</v>
      </c>
      <c r="H379" s="32" t="s">
        <v>25</v>
      </c>
      <c r="I379" s="32" t="s">
        <v>381</v>
      </c>
      <c r="J379" s="32" t="s">
        <v>381</v>
      </c>
    </row>
    <row r="380" spans="1:10" x14ac:dyDescent="0.3">
      <c r="A380" s="32" t="s">
        <v>954</v>
      </c>
      <c r="B380" s="32">
        <v>0</v>
      </c>
      <c r="C380" s="32" t="s">
        <v>40</v>
      </c>
      <c r="D380" s="32" t="s">
        <v>378</v>
      </c>
      <c r="E380" s="32" t="s">
        <v>25</v>
      </c>
      <c r="F380" s="32" t="s">
        <v>25</v>
      </c>
      <c r="G380" s="32" t="s">
        <v>377</v>
      </c>
      <c r="H380" s="32" t="s">
        <v>379</v>
      </c>
    </row>
    <row r="381" spans="1:10" x14ac:dyDescent="0.3">
      <c r="A381" s="32" t="s">
        <v>955</v>
      </c>
      <c r="B381" s="32">
        <v>0</v>
      </c>
      <c r="C381" s="32" t="s">
        <v>40</v>
      </c>
      <c r="D381" s="32" t="s">
        <v>378</v>
      </c>
      <c r="E381" s="32" t="s">
        <v>377</v>
      </c>
      <c r="F381" s="32" t="s">
        <v>26</v>
      </c>
      <c r="G381" s="32" t="s">
        <v>26</v>
      </c>
      <c r="H381" s="32" t="s">
        <v>380</v>
      </c>
      <c r="I381" s="32" t="s">
        <v>28</v>
      </c>
      <c r="J381" s="32" t="s">
        <v>28</v>
      </c>
    </row>
    <row r="382" spans="1:10" x14ac:dyDescent="0.3">
      <c r="A382" s="32" t="s">
        <v>956</v>
      </c>
      <c r="B382" s="32">
        <v>0</v>
      </c>
      <c r="C382" s="32" t="s">
        <v>40</v>
      </c>
      <c r="D382" s="32" t="s">
        <v>378</v>
      </c>
      <c r="E382" s="32" t="s">
        <v>379</v>
      </c>
      <c r="F382" s="32" t="s">
        <v>443</v>
      </c>
      <c r="G382" s="32" t="s">
        <v>380</v>
      </c>
      <c r="H382" s="32" t="s">
        <v>28</v>
      </c>
    </row>
    <row r="383" spans="1:10" x14ac:dyDescent="0.3">
      <c r="A383" s="32" t="s">
        <v>957</v>
      </c>
      <c r="B383" s="32">
        <v>0</v>
      </c>
      <c r="C383" s="32" t="s">
        <v>40</v>
      </c>
      <c r="D383" s="32" t="s">
        <v>378</v>
      </c>
      <c r="E383" s="32" t="s">
        <v>25</v>
      </c>
      <c r="F383" s="32" t="s">
        <v>25</v>
      </c>
      <c r="G383" s="32" t="s">
        <v>379</v>
      </c>
      <c r="H383" s="32" t="s">
        <v>381</v>
      </c>
    </row>
    <row r="384" spans="1:10" x14ac:dyDescent="0.3">
      <c r="A384" s="32" t="s">
        <v>958</v>
      </c>
      <c r="B384" s="32">
        <v>0</v>
      </c>
      <c r="C384" s="32" t="s">
        <v>40</v>
      </c>
      <c r="D384" s="32" t="s">
        <v>378</v>
      </c>
      <c r="E384" s="32" t="s">
        <v>25</v>
      </c>
      <c r="F384" s="32" t="s">
        <v>25</v>
      </c>
      <c r="G384" s="32" t="s">
        <v>380</v>
      </c>
      <c r="H384" s="32" t="s">
        <v>381</v>
      </c>
    </row>
    <row r="385" spans="1:14" x14ac:dyDescent="0.3">
      <c r="A385" s="32" t="s">
        <v>959</v>
      </c>
      <c r="B385" s="32">
        <v>0</v>
      </c>
      <c r="C385" s="32" t="s">
        <v>40</v>
      </c>
      <c r="D385" s="32" t="s">
        <v>376</v>
      </c>
      <c r="E385" s="32" t="s">
        <v>377</v>
      </c>
      <c r="F385" s="32" t="s">
        <v>26</v>
      </c>
      <c r="G385" s="32" t="s">
        <v>377</v>
      </c>
      <c r="H385" s="32" t="s">
        <v>26</v>
      </c>
    </row>
    <row r="386" spans="1:14" x14ac:dyDescent="0.3">
      <c r="A386" s="32" t="s">
        <v>960</v>
      </c>
      <c r="B386" s="32">
        <v>0</v>
      </c>
      <c r="C386" s="32" t="s">
        <v>40</v>
      </c>
      <c r="D386" s="32" t="s">
        <v>376</v>
      </c>
      <c r="E386" s="32" t="s">
        <v>34</v>
      </c>
      <c r="F386" s="32" t="s">
        <v>34</v>
      </c>
      <c r="G386" s="32" t="s">
        <v>379</v>
      </c>
      <c r="H386" s="32" t="s">
        <v>379</v>
      </c>
    </row>
    <row r="387" spans="1:14" x14ac:dyDescent="0.3">
      <c r="A387" s="32" t="s">
        <v>961</v>
      </c>
      <c r="B387" s="32">
        <v>0</v>
      </c>
      <c r="C387" s="32" t="s">
        <v>40</v>
      </c>
      <c r="D387" s="32" t="s">
        <v>376</v>
      </c>
      <c r="E387" s="32" t="s">
        <v>380</v>
      </c>
      <c r="F387" s="32" t="s">
        <v>380</v>
      </c>
      <c r="G387" s="32" t="s">
        <v>28</v>
      </c>
      <c r="H387" s="32" t="s">
        <v>28</v>
      </c>
      <c r="I387" s="32" t="s">
        <v>28</v>
      </c>
      <c r="J387" s="32" t="s">
        <v>28</v>
      </c>
    </row>
    <row r="388" spans="1:14" x14ac:dyDescent="0.3">
      <c r="A388" s="32" t="s">
        <v>962</v>
      </c>
      <c r="B388" s="32">
        <v>0</v>
      </c>
      <c r="C388" s="32" t="s">
        <v>40</v>
      </c>
      <c r="D388" s="32" t="s">
        <v>376</v>
      </c>
      <c r="E388" s="32" t="s">
        <v>381</v>
      </c>
      <c r="F388" s="32" t="s">
        <v>444</v>
      </c>
      <c r="G388" s="32" t="s">
        <v>444</v>
      </c>
      <c r="H388" s="32" t="s">
        <v>381</v>
      </c>
    </row>
    <row r="389" spans="1:14" x14ac:dyDescent="0.3">
      <c r="A389" s="32" t="s">
        <v>963</v>
      </c>
      <c r="B389" s="32">
        <v>0</v>
      </c>
      <c r="C389" s="32" t="s">
        <v>40</v>
      </c>
      <c r="D389" s="32" t="s">
        <v>376</v>
      </c>
      <c r="E389" s="32" t="s">
        <v>377</v>
      </c>
      <c r="F389" s="32" t="s">
        <v>26</v>
      </c>
      <c r="G389" s="32" t="s">
        <v>379</v>
      </c>
      <c r="H389" s="32" t="s">
        <v>443</v>
      </c>
    </row>
    <row r="390" spans="1:14" x14ac:dyDescent="0.3">
      <c r="A390" s="32" t="s">
        <v>964</v>
      </c>
      <c r="B390" s="32">
        <v>0</v>
      </c>
      <c r="C390" s="32" t="s">
        <v>40</v>
      </c>
      <c r="D390" s="32" t="s">
        <v>376</v>
      </c>
      <c r="E390" s="32" t="s">
        <v>377</v>
      </c>
      <c r="F390" s="32" t="s">
        <v>26</v>
      </c>
      <c r="G390" s="32" t="s">
        <v>380</v>
      </c>
      <c r="H390" s="32" t="s">
        <v>28</v>
      </c>
    </row>
    <row r="391" spans="1:14" x14ac:dyDescent="0.3">
      <c r="A391" s="32" t="s">
        <v>965</v>
      </c>
      <c r="B391" s="32">
        <v>0</v>
      </c>
      <c r="C391" s="32" t="s">
        <v>40</v>
      </c>
      <c r="D391" s="32" t="s">
        <v>376</v>
      </c>
      <c r="E391" s="32" t="s">
        <v>34</v>
      </c>
      <c r="F391" s="32" t="s">
        <v>34</v>
      </c>
      <c r="G391" s="32" t="s">
        <v>379</v>
      </c>
      <c r="H391" s="32" t="s">
        <v>380</v>
      </c>
    </row>
    <row r="392" spans="1:14" x14ac:dyDescent="0.3">
      <c r="A392" s="32" t="s">
        <v>966</v>
      </c>
      <c r="B392" s="32">
        <v>0</v>
      </c>
      <c r="C392" s="32" t="s">
        <v>40</v>
      </c>
      <c r="D392" s="32" t="s">
        <v>376</v>
      </c>
      <c r="E392" s="32" t="s">
        <v>34</v>
      </c>
      <c r="F392" s="32" t="s">
        <v>34</v>
      </c>
      <c r="G392" s="32" t="s">
        <v>379</v>
      </c>
      <c r="H392" s="32" t="s">
        <v>381</v>
      </c>
    </row>
    <row r="393" spans="1:14" x14ac:dyDescent="0.3">
      <c r="A393" s="32" t="s">
        <v>967</v>
      </c>
      <c r="B393" s="32">
        <v>0</v>
      </c>
      <c r="C393" s="32" t="s">
        <v>40</v>
      </c>
      <c r="D393" s="32" t="s">
        <v>376</v>
      </c>
      <c r="E393" s="32" t="s">
        <v>380</v>
      </c>
      <c r="F393" s="32" t="s">
        <v>28</v>
      </c>
      <c r="G393" s="32" t="s">
        <v>381</v>
      </c>
      <c r="H393" s="32" t="s">
        <v>444</v>
      </c>
    </row>
    <row r="394" spans="1:14" x14ac:dyDescent="0.3">
      <c r="A394" s="32" t="s">
        <v>968</v>
      </c>
      <c r="B394" s="32">
        <v>0</v>
      </c>
      <c r="C394" s="32" t="s">
        <v>40</v>
      </c>
      <c r="D394" s="32" t="s">
        <v>376</v>
      </c>
      <c r="E394" s="32" t="s">
        <v>377</v>
      </c>
      <c r="F394" s="32" t="s">
        <v>26</v>
      </c>
      <c r="G394" s="32" t="s">
        <v>26</v>
      </c>
      <c r="H394" s="32" t="s">
        <v>26</v>
      </c>
      <c r="I394" s="32" t="s">
        <v>377</v>
      </c>
      <c r="J394" s="32" t="s">
        <v>26</v>
      </c>
      <c r="K394" s="32" t="s">
        <v>26</v>
      </c>
      <c r="L394" s="32" t="s">
        <v>26</v>
      </c>
      <c r="M394" s="32" t="s">
        <v>26</v>
      </c>
      <c r="N394" s="32" t="s">
        <v>26</v>
      </c>
    </row>
    <row r="395" spans="1:14" x14ac:dyDescent="0.3">
      <c r="A395" s="32" t="s">
        <v>969</v>
      </c>
      <c r="B395" s="32">
        <v>0</v>
      </c>
      <c r="C395" s="32" t="s">
        <v>40</v>
      </c>
      <c r="D395" s="32" t="s">
        <v>597</v>
      </c>
      <c r="E395" s="32" t="s">
        <v>601</v>
      </c>
      <c r="F395" s="32" t="s">
        <v>26</v>
      </c>
      <c r="G395" s="32" t="s">
        <v>26</v>
      </c>
      <c r="H395" s="32" t="s">
        <v>601</v>
      </c>
      <c r="I395" s="32" t="s">
        <v>26</v>
      </c>
      <c r="J395" s="32" t="s">
        <v>26</v>
      </c>
    </row>
    <row r="396" spans="1:14" x14ac:dyDescent="0.3">
      <c r="A396" s="32" t="s">
        <v>970</v>
      </c>
      <c r="B396" s="32">
        <v>0</v>
      </c>
      <c r="C396" s="32" t="s">
        <v>40</v>
      </c>
      <c r="D396" s="32" t="s">
        <v>597</v>
      </c>
      <c r="E396" s="32" t="s">
        <v>601</v>
      </c>
      <c r="F396" s="32" t="s">
        <v>26</v>
      </c>
      <c r="G396" s="32" t="s">
        <v>599</v>
      </c>
      <c r="H396" s="32" t="s">
        <v>444</v>
      </c>
    </row>
    <row r="397" spans="1:14" x14ac:dyDescent="0.3">
      <c r="A397" s="32" t="s">
        <v>971</v>
      </c>
      <c r="B397" s="32">
        <v>0</v>
      </c>
      <c r="C397" s="32" t="s">
        <v>40</v>
      </c>
      <c r="D397" s="32" t="s">
        <v>692</v>
      </c>
      <c r="E397" s="32" t="s">
        <v>32</v>
      </c>
      <c r="F397" s="32" t="s">
        <v>32</v>
      </c>
      <c r="G397" s="32" t="s">
        <v>32</v>
      </c>
    </row>
    <row r="398" spans="1:14" x14ac:dyDescent="0.3">
      <c r="A398" s="32" t="s">
        <v>972</v>
      </c>
      <c r="B398" s="32">
        <v>0</v>
      </c>
      <c r="C398" s="32" t="s">
        <v>40</v>
      </c>
      <c r="D398" s="32" t="s">
        <v>375</v>
      </c>
      <c r="E398" s="32" t="s">
        <v>32</v>
      </c>
      <c r="F398" s="32" t="s">
        <v>32</v>
      </c>
      <c r="G398" s="32" t="s">
        <v>30</v>
      </c>
      <c r="H398" s="32" t="s">
        <v>30</v>
      </c>
      <c r="I398" s="32" t="s">
        <v>30</v>
      </c>
    </row>
    <row r="399" spans="1:14" x14ac:dyDescent="0.3">
      <c r="A399" s="32" t="s">
        <v>976</v>
      </c>
      <c r="B399" s="32">
        <v>0</v>
      </c>
      <c r="C399" s="32" t="s">
        <v>40</v>
      </c>
      <c r="D399" s="32" t="s">
        <v>378</v>
      </c>
      <c r="E399" s="32" t="s">
        <v>377</v>
      </c>
      <c r="F399" s="32" t="s">
        <v>26</v>
      </c>
      <c r="G399" s="32" t="s">
        <v>26</v>
      </c>
      <c r="H399" s="32" t="s">
        <v>26</v>
      </c>
      <c r="I399" s="32" t="s">
        <v>381</v>
      </c>
      <c r="J399" s="32" t="s">
        <v>444</v>
      </c>
      <c r="K399" s="32" t="s">
        <v>444</v>
      </c>
      <c r="L399" s="32" t="s">
        <v>444</v>
      </c>
    </row>
    <row r="400" spans="1:14" x14ac:dyDescent="0.3">
      <c r="A400" s="32" t="s">
        <v>977</v>
      </c>
      <c r="B400" s="32">
        <v>0</v>
      </c>
      <c r="C400" s="32" t="s">
        <v>40</v>
      </c>
      <c r="D400" s="32" t="s">
        <v>376</v>
      </c>
      <c r="E400" s="32" t="s">
        <v>34</v>
      </c>
      <c r="F400" s="32" t="s">
        <v>34</v>
      </c>
      <c r="G400" s="32" t="s">
        <v>377</v>
      </c>
      <c r="H400" s="32" t="s">
        <v>26</v>
      </c>
      <c r="I400" s="32" t="s">
        <v>26</v>
      </c>
      <c r="J400" s="32" t="s">
        <v>381</v>
      </c>
      <c r="K400" s="32" t="s">
        <v>444</v>
      </c>
      <c r="L400" s="32" t="s">
        <v>444</v>
      </c>
    </row>
    <row r="401" spans="1:17" x14ac:dyDescent="0.3">
      <c r="A401" s="32" t="s">
        <v>978</v>
      </c>
      <c r="B401" s="32">
        <v>0</v>
      </c>
      <c r="C401" s="32" t="s">
        <v>40</v>
      </c>
      <c r="D401" s="32" t="s">
        <v>600</v>
      </c>
      <c r="E401" s="32" t="s">
        <v>25</v>
      </c>
      <c r="F401" s="32" t="s">
        <v>25</v>
      </c>
      <c r="G401" s="32" t="s">
        <v>25</v>
      </c>
      <c r="H401" s="32" t="s">
        <v>25</v>
      </c>
      <c r="I401" s="32" t="s">
        <v>601</v>
      </c>
      <c r="J401" s="32" t="s">
        <v>599</v>
      </c>
    </row>
    <row r="402" spans="1:17" x14ac:dyDescent="0.3">
      <c r="A402" s="32" t="s">
        <v>979</v>
      </c>
      <c r="B402" s="32">
        <v>9</v>
      </c>
      <c r="C402" s="32" t="s">
        <v>40</v>
      </c>
      <c r="D402" s="32" t="s">
        <v>378</v>
      </c>
      <c r="E402" s="32" t="s">
        <v>377</v>
      </c>
      <c r="F402" s="32" t="s">
        <v>26</v>
      </c>
      <c r="G402" s="32" t="s">
        <v>26</v>
      </c>
      <c r="H402" s="32" t="s">
        <v>26</v>
      </c>
      <c r="I402" s="32" t="s">
        <v>381</v>
      </c>
      <c r="J402" s="32" t="s">
        <v>444</v>
      </c>
      <c r="K402" s="32" t="s">
        <v>444</v>
      </c>
      <c r="L402" s="32" t="s">
        <v>444</v>
      </c>
      <c r="M402" s="32" t="s">
        <v>444</v>
      </c>
      <c r="N402" s="32" t="s">
        <v>444</v>
      </c>
      <c r="O402" s="32" t="s">
        <v>444</v>
      </c>
    </row>
    <row r="403" spans="1:17" x14ac:dyDescent="0.3">
      <c r="A403" s="32" t="s">
        <v>980</v>
      </c>
      <c r="B403" s="32">
        <v>9</v>
      </c>
      <c r="C403" s="32" t="s">
        <v>40</v>
      </c>
      <c r="D403" s="32" t="s">
        <v>376</v>
      </c>
      <c r="E403" s="32" t="s">
        <v>377</v>
      </c>
      <c r="F403" s="32" t="s">
        <v>26</v>
      </c>
      <c r="G403" s="32" t="s">
        <v>26</v>
      </c>
      <c r="H403" s="32" t="s">
        <v>26</v>
      </c>
      <c r="I403" s="32" t="s">
        <v>377</v>
      </c>
      <c r="J403" s="32" t="s">
        <v>26</v>
      </c>
      <c r="K403" s="32" t="s">
        <v>26</v>
      </c>
      <c r="L403" s="32" t="s">
        <v>26</v>
      </c>
      <c r="M403" s="32" t="s">
        <v>26</v>
      </c>
      <c r="N403" s="32" t="s">
        <v>26</v>
      </c>
      <c r="O403" s="32" t="s">
        <v>26</v>
      </c>
      <c r="P403" s="32" t="s">
        <v>26</v>
      </c>
      <c r="Q403" s="32" t="s">
        <v>26</v>
      </c>
    </row>
    <row r="404" spans="1:17" x14ac:dyDescent="0.3">
      <c r="A404" s="32" t="s">
        <v>981</v>
      </c>
      <c r="B404" s="32">
        <v>9</v>
      </c>
      <c r="C404" s="32" t="s">
        <v>40</v>
      </c>
      <c r="D404" s="32" t="s">
        <v>376</v>
      </c>
      <c r="E404" s="32" t="s">
        <v>377</v>
      </c>
      <c r="F404" s="32" t="s">
        <v>26</v>
      </c>
      <c r="G404" s="32" t="s">
        <v>26</v>
      </c>
      <c r="H404" s="32" t="s">
        <v>26</v>
      </c>
      <c r="I404" s="32" t="s">
        <v>381</v>
      </c>
      <c r="J404" s="32" t="s">
        <v>444</v>
      </c>
      <c r="K404" s="32" t="s">
        <v>444</v>
      </c>
      <c r="L404" s="32" t="s">
        <v>444</v>
      </c>
      <c r="M404" s="32" t="s">
        <v>444</v>
      </c>
      <c r="N404" s="32" t="s">
        <v>444</v>
      </c>
    </row>
    <row r="405" spans="1:17" x14ac:dyDescent="0.3">
      <c r="A405" s="32" t="s">
        <v>982</v>
      </c>
      <c r="B405" s="32">
        <v>9</v>
      </c>
      <c r="C405" s="32" t="s">
        <v>40</v>
      </c>
      <c r="D405" s="32" t="s">
        <v>600</v>
      </c>
      <c r="E405" s="32" t="s">
        <v>25</v>
      </c>
      <c r="F405" s="32" t="s">
        <v>25</v>
      </c>
      <c r="G405" s="32" t="s">
        <v>25</v>
      </c>
      <c r="H405" s="32" t="s">
        <v>25</v>
      </c>
      <c r="I405" s="32" t="s">
        <v>601</v>
      </c>
      <c r="J405" s="32" t="s">
        <v>26</v>
      </c>
      <c r="K405" s="32" t="s">
        <v>599</v>
      </c>
      <c r="L405" s="32" t="s">
        <v>444</v>
      </c>
    </row>
    <row r="406" spans="1:17" x14ac:dyDescent="0.3">
      <c r="A406" s="32" t="s">
        <v>983</v>
      </c>
      <c r="B406" s="32">
        <v>9</v>
      </c>
      <c r="C406" s="32" t="s">
        <v>40</v>
      </c>
      <c r="D406" s="32" t="s">
        <v>597</v>
      </c>
      <c r="E406" s="32" t="s">
        <v>34</v>
      </c>
      <c r="F406" s="32" t="s">
        <v>34</v>
      </c>
      <c r="G406" s="32" t="s">
        <v>34</v>
      </c>
      <c r="H406" s="32" t="s">
        <v>34</v>
      </c>
      <c r="I406" s="32" t="s">
        <v>601</v>
      </c>
      <c r="J406" s="32" t="s">
        <v>601</v>
      </c>
    </row>
    <row r="407" spans="1:17" x14ac:dyDescent="0.3">
      <c r="A407" s="32" t="s">
        <v>984</v>
      </c>
      <c r="B407" s="32">
        <v>9</v>
      </c>
      <c r="C407" s="32" t="s">
        <v>40</v>
      </c>
      <c r="D407" s="32" t="s">
        <v>597</v>
      </c>
      <c r="E407" s="32" t="s">
        <v>34</v>
      </c>
      <c r="F407" s="32" t="s">
        <v>34</v>
      </c>
      <c r="G407" s="32" t="s">
        <v>601</v>
      </c>
      <c r="H407" s="32" t="s">
        <v>26</v>
      </c>
      <c r="I407" s="32" t="s">
        <v>599</v>
      </c>
      <c r="J407" s="32" t="s">
        <v>444</v>
      </c>
    </row>
  </sheetData>
  <dataConsolidate/>
  <phoneticPr fontId="22" type="noConversion"/>
  <conditionalFormatting sqref="A1:A1048576">
    <cfRule type="duplicateValues" dxfId="6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U152"/>
  <sheetViews>
    <sheetView showGridLines="0" zoomScale="90" zoomScaleNormal="90" workbookViewId="0">
      <pane ySplit="4" topLeftCell="A5" activePane="bottomLeft" state="frozen"/>
      <selection pane="bottomLeft" activeCell="Q32" sqref="Q32"/>
    </sheetView>
  </sheetViews>
  <sheetFormatPr defaultColWidth="9" defaultRowHeight="16.5" x14ac:dyDescent="0.3"/>
  <cols>
    <col min="1" max="1" width="5" style="33" customWidth="1"/>
    <col min="2" max="2" width="16.25" style="33" bestFit="1" customWidth="1"/>
    <col min="3" max="3" width="9.125" style="33" bestFit="1" customWidth="1"/>
    <col min="4" max="5" width="9.125" style="33" customWidth="1"/>
    <col min="6" max="6" width="9.25" style="33" bestFit="1" customWidth="1"/>
    <col min="7" max="7" width="12.375" style="33" bestFit="1" customWidth="1"/>
    <col min="8" max="8" width="9.5" style="33" bestFit="1" customWidth="1"/>
    <col min="10" max="12" width="9" style="33"/>
    <col min="13" max="15" width="10.5" style="33" customWidth="1"/>
    <col min="16" max="16" width="14" style="33" customWidth="1"/>
    <col min="17" max="17" width="10.5" style="33" customWidth="1"/>
    <col min="18" max="18" width="11.375" style="33" customWidth="1"/>
    <col min="19" max="19" width="20.125" style="33" customWidth="1"/>
    <col min="20" max="16384" width="9" style="33"/>
  </cols>
  <sheetData>
    <row r="1" spans="2:21" x14ac:dyDescent="0.3">
      <c r="I1" s="33"/>
    </row>
    <row r="2" spans="2:21" x14ac:dyDescent="0.3">
      <c r="I2" s="33"/>
    </row>
    <row r="3" spans="2:21" x14ac:dyDescent="0.3">
      <c r="I3" s="33"/>
    </row>
    <row r="4" spans="2:21" x14ac:dyDescent="0.3">
      <c r="B4" s="33" t="s">
        <v>1096</v>
      </c>
      <c r="C4" s="33" t="s">
        <v>1095</v>
      </c>
      <c r="D4" s="33" t="s">
        <v>1094</v>
      </c>
      <c r="E4" s="33" t="s">
        <v>1093</v>
      </c>
      <c r="F4" s="33" t="s">
        <v>1092</v>
      </c>
      <c r="G4" s="33" t="s">
        <v>1091</v>
      </c>
      <c r="H4" s="33" t="s">
        <v>1090</v>
      </c>
      <c r="I4" s="33" t="s">
        <v>1089</v>
      </c>
      <c r="J4" s="33" t="s">
        <v>1088</v>
      </c>
      <c r="K4" s="33" t="s">
        <v>1087</v>
      </c>
      <c r="L4" s="33" t="s">
        <v>1086</v>
      </c>
      <c r="M4" s="33" t="s">
        <v>1085</v>
      </c>
      <c r="N4" s="33" t="s">
        <v>1084</v>
      </c>
      <c r="O4" s="33" t="s">
        <v>1083</v>
      </c>
      <c r="P4" s="33" t="s">
        <v>1082</v>
      </c>
      <c r="Q4" s="33" t="s">
        <v>1081</v>
      </c>
      <c r="R4" s="33" t="s">
        <v>1080</v>
      </c>
      <c r="S4" s="33" t="s">
        <v>1079</v>
      </c>
    </row>
    <row r="5" spans="2:21" x14ac:dyDescent="0.3">
      <c r="B5" s="33" t="s">
        <v>1078</v>
      </c>
      <c r="C5" s="33">
        <v>1</v>
      </c>
      <c r="F5" s="33" t="s">
        <v>172</v>
      </c>
      <c r="G5" s="33" t="s">
        <v>33</v>
      </c>
      <c r="I5" s="33"/>
      <c r="L5" s="33" t="s">
        <v>587</v>
      </c>
      <c r="O5" s="10">
        <f>GET_OK_GROUPS_COUNT(tbTestEnemy[[#This Row],[Camp]],tbTestEnemy[[#This Row],[Difficulty]],tbTestEnemy[[#This Row],[IsBoss]],tbTestEnemy[[#This Row],[Hero1]:[Soldier3]])</f>
        <v>5</v>
      </c>
      <c r="P5" s="33">
        <v>1</v>
      </c>
      <c r="S5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U5" s="35"/>
    </row>
    <row r="6" spans="2:21" x14ac:dyDescent="0.3">
      <c r="C6" s="33">
        <v>2</v>
      </c>
      <c r="F6" s="33" t="s">
        <v>1029</v>
      </c>
      <c r="G6" s="33" t="s">
        <v>35</v>
      </c>
      <c r="I6" s="33"/>
      <c r="L6" s="33" t="s">
        <v>1018</v>
      </c>
      <c r="M6" s="33" t="s">
        <v>1012</v>
      </c>
      <c r="O6" s="10">
        <f>GET_OK_GROUPS_COUNT(tbTestEnemy[[#This Row],[Camp]],tbTestEnemy[[#This Row],[Difficulty]],tbTestEnemy[[#This Row],[IsBoss]],tbTestEnemy[[#This Row],[Hero1]:[Soldier3]])</f>
        <v>5</v>
      </c>
      <c r="P6" s="33">
        <v>1</v>
      </c>
      <c r="S6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6" s="35"/>
    </row>
    <row r="7" spans="2:21" x14ac:dyDescent="0.3">
      <c r="B7" s="33" t="s">
        <v>1077</v>
      </c>
      <c r="C7" s="33">
        <v>1</v>
      </c>
      <c r="F7" s="33" t="s">
        <v>1029</v>
      </c>
      <c r="G7" s="33" t="s">
        <v>35</v>
      </c>
      <c r="I7" s="33"/>
      <c r="L7" s="33" t="s">
        <v>1018</v>
      </c>
      <c r="M7" s="33" t="s">
        <v>1012</v>
      </c>
      <c r="O7" s="10">
        <f>GET_OK_GROUPS_COUNT(tbTestEnemy[[#This Row],[Camp]],tbTestEnemy[[#This Row],[Difficulty]],tbTestEnemy[[#This Row],[IsBoss]],tbTestEnemy[[#This Row],[Hero1]:[Soldier3]])</f>
        <v>5</v>
      </c>
      <c r="P7" s="33">
        <v>1</v>
      </c>
      <c r="S7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7" s="35"/>
    </row>
    <row r="8" spans="2:21" x14ac:dyDescent="0.3">
      <c r="C8" s="33">
        <v>2</v>
      </c>
      <c r="F8" s="33" t="s">
        <v>1029</v>
      </c>
      <c r="G8" s="33" t="s">
        <v>35</v>
      </c>
      <c r="I8" s="33" t="s">
        <v>991</v>
      </c>
      <c r="M8" s="33" t="s">
        <v>1012</v>
      </c>
      <c r="O8" s="10">
        <f>GET_OK_GROUPS_COUNT(tbTestEnemy[[#This Row],[Camp]],tbTestEnemy[[#This Row],[Difficulty]],tbTestEnemy[[#This Row],[IsBoss]],tbTestEnemy[[#This Row],[Hero1]:[Soldier3]])</f>
        <v>1</v>
      </c>
      <c r="P8" s="33">
        <v>1</v>
      </c>
      <c r="S8" s="10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8" s="35"/>
    </row>
    <row r="9" spans="2:21" x14ac:dyDescent="0.3">
      <c r="B9" s="33" t="s">
        <v>1076</v>
      </c>
      <c r="C9" s="33">
        <v>1</v>
      </c>
      <c r="F9" s="33" t="s">
        <v>1029</v>
      </c>
      <c r="G9" s="33" t="s">
        <v>35</v>
      </c>
      <c r="I9" s="33" t="s">
        <v>991</v>
      </c>
      <c r="M9" s="33" t="s">
        <v>1012</v>
      </c>
      <c r="O9" s="10">
        <f>GET_OK_GROUPS_COUNT(tbTestEnemy[[#This Row],[Camp]],tbTestEnemy[[#This Row],[Difficulty]],tbTestEnemy[[#This Row],[IsBoss]],tbTestEnemy[[#This Row],[Hero1]:[Soldier3]])</f>
        <v>1</v>
      </c>
      <c r="P9" s="33">
        <v>1</v>
      </c>
      <c r="S9" s="10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9" s="35"/>
    </row>
    <row r="10" spans="2:21" x14ac:dyDescent="0.3">
      <c r="C10" s="33">
        <v>2</v>
      </c>
      <c r="F10" s="33" t="s">
        <v>1029</v>
      </c>
      <c r="G10" s="33" t="s">
        <v>36</v>
      </c>
      <c r="I10" s="33" t="s">
        <v>991</v>
      </c>
      <c r="J10" s="33" t="s">
        <v>1017</v>
      </c>
      <c r="O10" s="10">
        <f>GET_OK_GROUPS_COUNT(tbTestEnemy[[#This Row],[Camp]],tbTestEnemy[[#This Row],[Difficulty]],tbTestEnemy[[#This Row],[IsBoss]],tbTestEnemy[[#This Row],[Hero1]:[Soldier3]])</f>
        <v>1</v>
      </c>
      <c r="P10" s="33">
        <v>1</v>
      </c>
      <c r="S10" s="10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0" s="35"/>
    </row>
    <row r="11" spans="2:21" x14ac:dyDescent="0.3">
      <c r="B11" s="33" t="s">
        <v>1075</v>
      </c>
      <c r="C11" s="33">
        <v>1</v>
      </c>
      <c r="F11" s="33" t="s">
        <v>1029</v>
      </c>
      <c r="G11" s="33" t="s">
        <v>36</v>
      </c>
      <c r="I11" s="33" t="s">
        <v>991</v>
      </c>
      <c r="J11" s="33" t="s">
        <v>1017</v>
      </c>
      <c r="O11" s="10">
        <f>GET_OK_GROUPS_COUNT(tbTestEnemy[[#This Row],[Camp]],tbTestEnemy[[#This Row],[Difficulty]],tbTestEnemy[[#This Row],[IsBoss]],tbTestEnemy[[#This Row],[Hero1]:[Soldier3]])</f>
        <v>1</v>
      </c>
      <c r="P11" s="33">
        <v>1</v>
      </c>
      <c r="S11" s="10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1" s="35"/>
    </row>
    <row r="12" spans="2:21" x14ac:dyDescent="0.3">
      <c r="C12" s="33">
        <v>2</v>
      </c>
      <c r="F12" s="33" t="s">
        <v>1029</v>
      </c>
      <c r="G12" s="33" t="s">
        <v>36</v>
      </c>
      <c r="I12" s="33" t="s">
        <v>991</v>
      </c>
      <c r="J12" s="33" t="s">
        <v>1017</v>
      </c>
      <c r="K12" s="33" t="s">
        <v>996</v>
      </c>
      <c r="O12" s="10">
        <f>GET_OK_GROUPS_COUNT(tbTestEnemy[[#This Row],[Camp]],tbTestEnemy[[#This Row],[Difficulty]],tbTestEnemy[[#This Row],[IsBoss]],tbTestEnemy[[#This Row],[Hero1]:[Soldier3]])</f>
        <v>1</v>
      </c>
      <c r="P12" s="33">
        <v>1</v>
      </c>
      <c r="S12" s="10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U12" s="35"/>
    </row>
    <row r="13" spans="2:21" x14ac:dyDescent="0.3">
      <c r="B13" s="35" t="s">
        <v>1074</v>
      </c>
      <c r="C13" s="33">
        <v>1</v>
      </c>
      <c r="F13" s="33" t="s">
        <v>151</v>
      </c>
      <c r="G13" s="33" t="s">
        <v>29</v>
      </c>
      <c r="I13" s="33"/>
      <c r="L13" s="33" t="s">
        <v>25</v>
      </c>
      <c r="O13" s="10">
        <f>GET_OK_GROUPS_COUNT(tbTestEnemy[[#This Row],[Camp]],tbTestEnemy[[#This Row],[Difficulty]],tbTestEnemy[[#This Row],[IsBoss]],tbTestEnemy[[#This Row],[Hero1]:[Soldier3]])</f>
        <v>4</v>
      </c>
      <c r="P13" s="33">
        <v>1</v>
      </c>
      <c r="R13" s="33" t="s">
        <v>631</v>
      </c>
      <c r="S13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21" x14ac:dyDescent="0.3">
      <c r="B14" s="35"/>
      <c r="C14" s="33">
        <v>2</v>
      </c>
      <c r="F14" s="33" t="s">
        <v>151</v>
      </c>
      <c r="G14" s="33" t="s">
        <v>33</v>
      </c>
      <c r="I14" s="33"/>
      <c r="L14" s="33" t="s">
        <v>25</v>
      </c>
      <c r="M14" s="33" t="s">
        <v>28</v>
      </c>
      <c r="O14" s="10">
        <f>GET_OK_GROUPS_COUNT(tbTestEnemy[[#This Row],[Camp]],tbTestEnemy[[#This Row],[Difficulty]],tbTestEnemy[[#This Row],[IsBoss]],tbTestEnemy[[#This Row],[Hero1]:[Soldier3]])</f>
        <v>1</v>
      </c>
      <c r="P14" s="34">
        <v>1</v>
      </c>
      <c r="R14" s="34"/>
      <c r="S14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21" x14ac:dyDescent="0.3">
      <c r="B15" s="35"/>
      <c r="C15" s="33">
        <v>3</v>
      </c>
      <c r="F15" s="33" t="s">
        <v>151</v>
      </c>
      <c r="G15" s="33" t="s">
        <v>35</v>
      </c>
      <c r="H15" s="33" t="b">
        <v>1</v>
      </c>
      <c r="I15" s="33" t="s">
        <v>1016</v>
      </c>
      <c r="L15" s="33" t="s">
        <v>25</v>
      </c>
      <c r="O15" s="10">
        <f>GET_OK_GROUPS_COUNT(tbTestEnemy[[#This Row],[Camp]],tbTestEnemy[[#This Row],[Difficulty]],tbTestEnemy[[#This Row],[IsBoss]],tbTestEnemy[[#This Row],[Hero1]:[Soldier3]])</f>
        <v>1</v>
      </c>
      <c r="P15" s="33">
        <v>1</v>
      </c>
      <c r="R15" s="34"/>
      <c r="S15" s="10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21" x14ac:dyDescent="0.3">
      <c r="B16" s="35" t="s">
        <v>1073</v>
      </c>
      <c r="C16" s="33">
        <v>1</v>
      </c>
      <c r="F16" s="33" t="s">
        <v>151</v>
      </c>
      <c r="G16" s="33" t="s">
        <v>33</v>
      </c>
      <c r="I16" s="33"/>
      <c r="L16" s="33" t="s">
        <v>25</v>
      </c>
      <c r="O16" s="10">
        <f>GET_OK_GROUPS_COUNT(tbTestEnemy[[#This Row],[Camp]],tbTestEnemy[[#This Row],[Difficulty]],tbTestEnemy[[#This Row],[IsBoss]],tbTestEnemy[[#This Row],[Hero1]:[Soldier3]])</f>
        <v>5</v>
      </c>
      <c r="P16" s="34">
        <v>1</v>
      </c>
      <c r="R16" s="34"/>
      <c r="S16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9" x14ac:dyDescent="0.3">
      <c r="B17" s="35"/>
      <c r="C17" s="33">
        <v>2</v>
      </c>
      <c r="F17" s="33" t="s">
        <v>151</v>
      </c>
      <c r="G17" s="33" t="s">
        <v>33</v>
      </c>
      <c r="I17" s="33"/>
      <c r="L17" s="33" t="s">
        <v>25</v>
      </c>
      <c r="M17" s="33" t="s">
        <v>28</v>
      </c>
      <c r="O17" s="10">
        <f>GET_OK_GROUPS_COUNT(tbTestEnemy[[#This Row],[Camp]],tbTestEnemy[[#This Row],[Difficulty]],tbTestEnemy[[#This Row],[IsBoss]],tbTestEnemy[[#This Row],[Hero1]:[Soldier3]])</f>
        <v>1</v>
      </c>
      <c r="P17" s="33">
        <v>1</v>
      </c>
      <c r="R17" s="34"/>
      <c r="S17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9" x14ac:dyDescent="0.3">
      <c r="B18" s="35"/>
      <c r="C18" s="33">
        <v>3</v>
      </c>
      <c r="F18" s="33" t="s">
        <v>151</v>
      </c>
      <c r="G18" s="33" t="s">
        <v>35</v>
      </c>
      <c r="H18" s="33" t="b">
        <v>1</v>
      </c>
      <c r="I18" s="33" t="s">
        <v>1006</v>
      </c>
      <c r="O18" s="10">
        <f>GET_OK_GROUPS_COUNT(tbTestEnemy[[#This Row],[Camp]],tbTestEnemy[[#This Row],[Difficulty]],tbTestEnemy[[#This Row],[IsBoss]],tbTestEnemy[[#This Row],[Hero1]:[Soldier3]])</f>
        <v>3</v>
      </c>
      <c r="P18" s="34">
        <v>1</v>
      </c>
      <c r="R18" s="34"/>
      <c r="S18" s="10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9" x14ac:dyDescent="0.3">
      <c r="B19" s="35" t="s">
        <v>1072</v>
      </c>
      <c r="C19" s="33">
        <v>1</v>
      </c>
      <c r="F19" s="33" t="s">
        <v>151</v>
      </c>
      <c r="G19" s="33" t="s">
        <v>1011</v>
      </c>
      <c r="I19" s="33"/>
      <c r="L19" s="33" t="s">
        <v>1071</v>
      </c>
      <c r="M19" s="33" t="s">
        <v>1070</v>
      </c>
      <c r="O19" s="10">
        <f>GET_OK_GROUPS_COUNT(tbTestEnemy[[#This Row],[Camp]],tbTestEnemy[[#This Row],[Difficulty]],tbTestEnemy[[#This Row],[IsBoss]],tbTestEnemy[[#This Row],[Hero1]:[Soldier3]])</f>
        <v>1</v>
      </c>
      <c r="P19" s="33">
        <v>1</v>
      </c>
      <c r="R19" s="34"/>
      <c r="S19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9" x14ac:dyDescent="0.3">
      <c r="B20" s="35"/>
      <c r="C20" s="33">
        <v>2</v>
      </c>
      <c r="F20" s="33" t="s">
        <v>151</v>
      </c>
      <c r="G20" s="33" t="s">
        <v>1008</v>
      </c>
      <c r="H20" s="33" t="b">
        <v>1</v>
      </c>
      <c r="I20" s="33" t="s">
        <v>1069</v>
      </c>
      <c r="L20" s="33" t="s">
        <v>1010</v>
      </c>
      <c r="O20" s="10">
        <f>GET_OK_GROUPS_COUNT(tbTestEnemy[[#This Row],[Camp]],tbTestEnemy[[#This Row],[Difficulty]],tbTestEnemy[[#This Row],[IsBoss]],tbTestEnemy[[#This Row],[Hero1]:[Soldier3]])</f>
        <v>1</v>
      </c>
      <c r="P20" s="34">
        <v>1</v>
      </c>
      <c r="R20" s="34"/>
      <c r="S20" s="10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9" x14ac:dyDescent="0.3">
      <c r="B21" s="35"/>
      <c r="C21" s="33">
        <v>3</v>
      </c>
      <c r="F21" s="33" t="s">
        <v>151</v>
      </c>
      <c r="G21" s="33" t="s">
        <v>1005</v>
      </c>
      <c r="H21" s="33" t="b">
        <v>1</v>
      </c>
      <c r="I21" s="33" t="s">
        <v>1007</v>
      </c>
      <c r="J21" s="33" t="s">
        <v>1006</v>
      </c>
      <c r="O21" s="10">
        <f>GET_OK_GROUPS_COUNT(tbTestEnemy[[#This Row],[Camp]],tbTestEnemy[[#This Row],[Difficulty]],tbTestEnemy[[#This Row],[IsBoss]],tbTestEnemy[[#This Row],[Hero1]:[Soldier3]])</f>
        <v>1</v>
      </c>
      <c r="P21" s="33">
        <v>1</v>
      </c>
      <c r="R21" s="34"/>
      <c r="S21" s="10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9" x14ac:dyDescent="0.3">
      <c r="B22" s="35" t="s">
        <v>1068</v>
      </c>
      <c r="C22" s="33">
        <v>1</v>
      </c>
      <c r="F22" s="33" t="s">
        <v>151</v>
      </c>
      <c r="G22" s="33" t="s">
        <v>1014</v>
      </c>
      <c r="I22" s="33"/>
      <c r="L22" s="33" t="s">
        <v>1013</v>
      </c>
      <c r="M22" s="33" t="s">
        <v>1012</v>
      </c>
      <c r="N22" s="33" t="s">
        <v>1021</v>
      </c>
      <c r="O22" s="10">
        <f>GET_OK_GROUPS_COUNT(tbTestEnemy[[#This Row],[Camp]],tbTestEnemy[[#This Row],[Difficulty]],tbTestEnemy[[#This Row],[IsBoss]],tbTestEnemy[[#This Row],[Hero1]:[Soldier3]])</f>
        <v>1</v>
      </c>
      <c r="P22" s="34">
        <v>1</v>
      </c>
      <c r="R22" s="34"/>
      <c r="S22" s="10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9" x14ac:dyDescent="0.3">
      <c r="B23" s="35"/>
      <c r="C23" s="33">
        <v>2</v>
      </c>
      <c r="F23" s="33" t="s">
        <v>151</v>
      </c>
      <c r="G23" s="33" t="s">
        <v>1014</v>
      </c>
      <c r="I23" s="33"/>
      <c r="L23" s="33" t="s">
        <v>1013</v>
      </c>
      <c r="M23" s="33" t="s">
        <v>1012</v>
      </c>
      <c r="O23" s="10">
        <f>GET_OK_GROUPS_COUNT(tbTestEnemy[[#This Row],[Camp]],tbTestEnemy[[#This Row],[Difficulty]],tbTestEnemy[[#This Row],[IsBoss]],tbTestEnemy[[#This Row],[Hero1]:[Soldier3]])</f>
        <v>5</v>
      </c>
      <c r="P23" s="33">
        <v>3</v>
      </c>
      <c r="R23" s="34"/>
      <c r="S23" s="10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9" x14ac:dyDescent="0.3">
      <c r="B24" s="35"/>
      <c r="C24" s="33">
        <v>3</v>
      </c>
      <c r="F24" s="33" t="s">
        <v>151</v>
      </c>
      <c r="G24" s="33" t="s">
        <v>1000</v>
      </c>
      <c r="H24" s="33" t="b">
        <v>1</v>
      </c>
      <c r="I24" s="33" t="s">
        <v>991</v>
      </c>
      <c r="J24" s="33" t="s">
        <v>997</v>
      </c>
      <c r="K24" s="33" t="s">
        <v>1024</v>
      </c>
      <c r="O24" s="10">
        <f>GET_OK_GROUPS_COUNT(tbTestEnemy[[#This Row],[Camp]],tbTestEnemy[[#This Row],[Difficulty]],tbTestEnemy[[#This Row],[IsBoss]],tbTestEnemy[[#This Row],[Hero1]:[Soldier3]])</f>
        <v>1</v>
      </c>
      <c r="P24" s="34">
        <v>1</v>
      </c>
      <c r="R24" s="34"/>
      <c r="S24" s="10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9" x14ac:dyDescent="0.3">
      <c r="B25" s="35" t="s">
        <v>1067</v>
      </c>
      <c r="C25" s="33">
        <v>1</v>
      </c>
      <c r="F25" s="33" t="s">
        <v>151</v>
      </c>
      <c r="G25" s="33" t="s">
        <v>1014</v>
      </c>
      <c r="I25" s="33" t="s">
        <v>991</v>
      </c>
      <c r="J25" s="33" t="s">
        <v>1016</v>
      </c>
      <c r="O25" s="10">
        <f>GET_OK_GROUPS_COUNT(tbTestEnemy[[#This Row],[Camp]],tbTestEnemy[[#This Row],[Difficulty]],tbTestEnemy[[#This Row],[IsBoss]],tbTestEnemy[[#This Row],[Hero1]:[Soldier3]])</f>
        <v>1</v>
      </c>
      <c r="P25" s="34">
        <v>1</v>
      </c>
      <c r="Q25" s="33" t="s">
        <v>1063</v>
      </c>
      <c r="R25" s="34"/>
      <c r="S25" s="10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26" spans="2:19" x14ac:dyDescent="0.3">
      <c r="B26" s="35"/>
      <c r="C26" s="33">
        <v>2</v>
      </c>
      <c r="F26" s="33" t="s">
        <v>151</v>
      </c>
      <c r="G26" s="33" t="s">
        <v>36</v>
      </c>
      <c r="H26" s="33" t="b">
        <v>1</v>
      </c>
      <c r="I26" s="33" t="s">
        <v>991</v>
      </c>
      <c r="J26" s="36" t="s">
        <v>1097</v>
      </c>
      <c r="O26" s="10">
        <f>GET_OK_GROUPS_COUNT(tbTestEnemy[[#This Row],[Camp]],tbTestEnemy[[#This Row],[Difficulty]],tbTestEnemy[[#This Row],[IsBoss]],tbTestEnemy[[#This Row],[Hero1]:[Soldier3]])</f>
        <v>1</v>
      </c>
      <c r="P26" s="33">
        <v>1</v>
      </c>
      <c r="Q26" s="33" t="s">
        <v>1063</v>
      </c>
      <c r="R26" s="34"/>
      <c r="S26" s="10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7" spans="2:19" x14ac:dyDescent="0.3">
      <c r="B27" s="35" t="s">
        <v>1066</v>
      </c>
      <c r="C27" s="33">
        <v>1</v>
      </c>
      <c r="F27" s="33" t="s">
        <v>151</v>
      </c>
      <c r="G27" s="33" t="s">
        <v>36</v>
      </c>
      <c r="H27" s="33" t="b">
        <v>1</v>
      </c>
      <c r="I27" s="33" t="s">
        <v>991</v>
      </c>
      <c r="J27" s="33" t="s">
        <v>1016</v>
      </c>
      <c r="O27" s="10">
        <f>GET_OK_GROUPS_COUNT(tbTestEnemy[[#This Row],[Camp]],tbTestEnemy[[#This Row],[Difficulty]],tbTestEnemy[[#This Row],[IsBoss]],tbTestEnemy[[#This Row],[Hero1]:[Soldier3]])</f>
        <v>1</v>
      </c>
      <c r="P27" s="34">
        <v>1</v>
      </c>
      <c r="Q27" s="33" t="s">
        <v>1063</v>
      </c>
      <c r="R27" s="34"/>
      <c r="S27" s="10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8" spans="2:19" x14ac:dyDescent="0.3">
      <c r="B28" s="35"/>
      <c r="C28" s="33">
        <v>2</v>
      </c>
      <c r="F28" s="33" t="s">
        <v>151</v>
      </c>
      <c r="G28" s="33" t="s">
        <v>1000</v>
      </c>
      <c r="H28" s="33" t="b">
        <v>1</v>
      </c>
      <c r="I28" s="33" t="s">
        <v>991</v>
      </c>
      <c r="J28" s="36" t="s">
        <v>1097</v>
      </c>
      <c r="O28" s="10">
        <f>GET_OK_GROUPS_COUNT(tbTestEnemy[[#This Row],[Camp]],tbTestEnemy[[#This Row],[Difficulty]],tbTestEnemy[[#This Row],[IsBoss]],tbTestEnemy[[#This Row],[Hero1]:[Soldier3]])</f>
        <v>1</v>
      </c>
      <c r="P28" s="33">
        <v>1</v>
      </c>
      <c r="Q28" s="33" t="s">
        <v>1063</v>
      </c>
      <c r="R28" s="34"/>
      <c r="S28" s="10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9" spans="2:19" x14ac:dyDescent="0.3">
      <c r="B29" s="35" t="s">
        <v>1065</v>
      </c>
      <c r="C29" s="33">
        <v>1</v>
      </c>
      <c r="F29" s="33" t="s">
        <v>151</v>
      </c>
      <c r="G29" s="33" t="s">
        <v>1000</v>
      </c>
      <c r="H29" s="33" t="b">
        <v>1</v>
      </c>
      <c r="I29" s="33" t="s">
        <v>991</v>
      </c>
      <c r="J29" s="36" t="s">
        <v>1097</v>
      </c>
      <c r="O29" s="10">
        <f>GET_OK_GROUPS_COUNT(tbTestEnemy[[#This Row],[Camp]],tbTestEnemy[[#This Row],[Difficulty]],tbTestEnemy[[#This Row],[IsBoss]],tbTestEnemy[[#This Row],[Hero1]:[Soldier3]])</f>
        <v>1</v>
      </c>
      <c r="P29" s="34">
        <v>1</v>
      </c>
      <c r="Q29" s="33" t="s">
        <v>1063</v>
      </c>
      <c r="R29" s="34"/>
      <c r="S29" s="10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30" spans="2:19" x14ac:dyDescent="0.3">
      <c r="B30" s="35"/>
      <c r="C30" s="33">
        <v>2</v>
      </c>
      <c r="F30" s="33" t="s">
        <v>151</v>
      </c>
      <c r="G30" s="33" t="s">
        <v>190</v>
      </c>
      <c r="H30" s="33" t="b">
        <v>1</v>
      </c>
      <c r="I30" s="33" t="s">
        <v>991</v>
      </c>
      <c r="J30" s="36" t="s">
        <v>1097</v>
      </c>
      <c r="K30" s="33" t="s">
        <v>1016</v>
      </c>
      <c r="O30" s="10">
        <f>GET_OK_GROUPS_COUNT(tbTestEnemy[[#This Row],[Camp]],tbTestEnemy[[#This Row],[Difficulty]],tbTestEnemy[[#This Row],[IsBoss]],tbTestEnemy[[#This Row],[Hero1]:[Soldier3]])</f>
        <v>1</v>
      </c>
      <c r="P30" s="33">
        <v>1</v>
      </c>
      <c r="Q30" s="33" t="s">
        <v>1063</v>
      </c>
      <c r="R30" s="34"/>
      <c r="S30" s="10" t="str">
        <f>GET_OK_GROUP(tbTestEnemy[[#This Row],[Camp]],tbTestEnemy[[#This Row],[Difficulty]],tbTestEnemy[[#This Row],[IsBoss]],tbTestEnemy[[#This Row],[Hero1]:[Soldier3]],tbTestEnemy[[#This Row],[GroupID]])</f>
        <v>三国-变态-[B]铁英+强英+法英</v>
      </c>
    </row>
    <row r="31" spans="2:19" x14ac:dyDescent="0.3">
      <c r="B31" s="35" t="s">
        <v>1064</v>
      </c>
      <c r="C31" s="33">
        <v>1</v>
      </c>
      <c r="F31" s="33" t="s">
        <v>151</v>
      </c>
      <c r="G31" s="33" t="s">
        <v>190</v>
      </c>
      <c r="H31" s="33" t="b">
        <v>1</v>
      </c>
      <c r="I31" s="33" t="s">
        <v>991</v>
      </c>
      <c r="J31" s="36" t="s">
        <v>1097</v>
      </c>
      <c r="K31" s="33" t="s">
        <v>991</v>
      </c>
      <c r="O31" s="10">
        <f>GET_OK_GROUPS_COUNT(tbTestEnemy[[#This Row],[Camp]],tbTestEnemy[[#This Row],[Difficulty]],tbTestEnemy[[#This Row],[IsBoss]],tbTestEnemy[[#This Row],[Hero1]:[Soldier3]])</f>
        <v>1</v>
      </c>
      <c r="P31" s="34">
        <v>1</v>
      </c>
      <c r="Q31" s="33" t="s">
        <v>1063</v>
      </c>
      <c r="R31" s="34"/>
      <c r="S31" s="10" t="str">
        <f>GET_OK_GROUP(tbTestEnemy[[#This Row],[Camp]],tbTestEnemy[[#This Row],[Difficulty]],tbTestEnemy[[#This Row],[IsBoss]],tbTestEnemy[[#This Row],[Hero1]:[Soldier3]],tbTestEnemy[[#This Row],[GroupID]])</f>
        <v>三国-变态-[B]铁英+铁英+强英</v>
      </c>
    </row>
    <row r="32" spans="2:19" x14ac:dyDescent="0.3">
      <c r="B32" s="35"/>
      <c r="C32" s="33">
        <v>2</v>
      </c>
      <c r="F32" s="33" t="s">
        <v>151</v>
      </c>
      <c r="G32" s="33" t="s">
        <v>190</v>
      </c>
      <c r="H32" s="33" t="b">
        <v>1</v>
      </c>
      <c r="I32" s="33" t="s">
        <v>991</v>
      </c>
      <c r="J32" s="36" t="s">
        <v>1097</v>
      </c>
      <c r="K32" s="33" t="s">
        <v>1017</v>
      </c>
      <c r="O32" s="10">
        <f>GET_OK_GROUPS_COUNT(tbTestEnemy[[#This Row],[Camp]],tbTestEnemy[[#This Row],[Difficulty]],tbTestEnemy[[#This Row],[IsBoss]],tbTestEnemy[[#This Row],[Hero1]:[Soldier3]])</f>
        <v>1</v>
      </c>
      <c r="P32" s="33">
        <v>1</v>
      </c>
      <c r="Q32" s="33" t="s">
        <v>1063</v>
      </c>
      <c r="R32" s="34"/>
      <c r="S32" s="10" t="str">
        <f>GET_OK_GROUP(tbTestEnemy[[#This Row],[Camp]],tbTestEnemy[[#This Row],[Difficulty]],tbTestEnemy[[#This Row],[IsBoss]],tbTestEnemy[[#This Row],[Hero1]:[Soldier3]],tbTestEnemy[[#This Row],[GroupID]])</f>
        <v>三国-变态-[B]铁英+强英+强英</v>
      </c>
    </row>
    <row r="33" spans="2:19" x14ac:dyDescent="0.3">
      <c r="B33" s="35" t="s">
        <v>1062</v>
      </c>
      <c r="C33" s="33">
        <v>1</v>
      </c>
      <c r="D33" s="33">
        <v>5</v>
      </c>
      <c r="F33" s="33" t="s">
        <v>151</v>
      </c>
      <c r="G33" s="33" t="s">
        <v>1041</v>
      </c>
      <c r="I33" s="33"/>
      <c r="L33" s="33" t="s">
        <v>1057</v>
      </c>
      <c r="O33" s="10">
        <f>GET_OK_GROUPS_COUNT(tbTestEnemy[[#This Row],[Camp]],tbTestEnemy[[#This Row],[Difficulty]],tbTestEnemy[[#This Row],[IsBoss]],tbTestEnemy[[#This Row],[Hero1]:[Soldier3]])</f>
        <v>1</v>
      </c>
      <c r="P33" s="34">
        <v>1</v>
      </c>
      <c r="R33" s="34"/>
      <c r="S33" s="10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4" spans="2:19" x14ac:dyDescent="0.3">
      <c r="B34" s="35"/>
      <c r="C34" s="33">
        <v>2</v>
      </c>
      <c r="D34" s="33">
        <v>15</v>
      </c>
      <c r="F34" s="33" t="s">
        <v>151</v>
      </c>
      <c r="G34" s="33" t="s">
        <v>1041</v>
      </c>
      <c r="I34" s="33"/>
      <c r="L34" s="33" t="s">
        <v>1021</v>
      </c>
      <c r="O34" s="10">
        <f>GET_OK_GROUPS_COUNT(tbTestEnemy[[#This Row],[Camp]],tbTestEnemy[[#This Row],[Difficulty]],tbTestEnemy[[#This Row],[IsBoss]],tbTestEnemy[[#This Row],[Hero1]:[Soldier3]])</f>
        <v>3</v>
      </c>
      <c r="P34" s="33">
        <v>1</v>
      </c>
      <c r="R34" s="34"/>
      <c r="S34" s="10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5" spans="2:19" x14ac:dyDescent="0.3">
      <c r="B35" s="35"/>
      <c r="C35" s="33">
        <v>3</v>
      </c>
      <c r="D35" s="33">
        <v>15</v>
      </c>
      <c r="F35" s="33" t="s">
        <v>151</v>
      </c>
      <c r="G35" s="33" t="s">
        <v>1019</v>
      </c>
      <c r="I35" s="33"/>
      <c r="L35" s="33" t="s">
        <v>1012</v>
      </c>
      <c r="O35" s="10">
        <f>GET_OK_GROUPS_COUNT(tbTestEnemy[[#This Row],[Camp]],tbTestEnemy[[#This Row],[Difficulty]],tbTestEnemy[[#This Row],[IsBoss]],tbTestEnemy[[#This Row],[Hero1]:[Soldier3]])</f>
        <v>3</v>
      </c>
      <c r="P35" s="34">
        <v>1</v>
      </c>
      <c r="R35" s="34"/>
      <c r="S35" s="10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6" spans="2:19" x14ac:dyDescent="0.3">
      <c r="B36" s="35"/>
      <c r="C36" s="33">
        <v>4</v>
      </c>
      <c r="D36" s="33">
        <v>15</v>
      </c>
      <c r="F36" s="33" t="s">
        <v>151</v>
      </c>
      <c r="G36" s="33" t="s">
        <v>1041</v>
      </c>
      <c r="I36" s="33"/>
      <c r="L36" s="33" t="s">
        <v>1059</v>
      </c>
      <c r="O36" s="10">
        <f>GET_OK_GROUPS_COUNT(tbTestEnemy[[#This Row],[Camp]],tbTestEnemy[[#This Row],[Difficulty]],tbTestEnemy[[#This Row],[IsBoss]],tbTestEnemy[[#This Row],[Hero1]:[Soldier3]])</f>
        <v>1</v>
      </c>
      <c r="P36" s="33">
        <v>1</v>
      </c>
      <c r="R36" s="34"/>
      <c r="S36" s="10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7" spans="2:19" x14ac:dyDescent="0.3">
      <c r="B37" s="35"/>
      <c r="C37" s="33">
        <v>5</v>
      </c>
      <c r="D37" s="33">
        <v>15</v>
      </c>
      <c r="F37" s="33" t="s">
        <v>151</v>
      </c>
      <c r="G37" s="33" t="s">
        <v>1041</v>
      </c>
      <c r="I37" s="33"/>
      <c r="L37" s="33" t="s">
        <v>1018</v>
      </c>
      <c r="M37" s="33" t="s">
        <v>1012</v>
      </c>
      <c r="O37" s="10">
        <f>GET_OK_GROUPS_COUNT(tbTestEnemy[[#This Row],[Camp]],tbTestEnemy[[#This Row],[Difficulty]],tbTestEnemy[[#This Row],[IsBoss]],tbTestEnemy[[#This Row],[Hero1]:[Soldier3]])</f>
        <v>1</v>
      </c>
      <c r="P37" s="34">
        <v>1</v>
      </c>
      <c r="R37" s="34"/>
      <c r="S37" s="10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8" spans="2:19" x14ac:dyDescent="0.3">
      <c r="B38" s="35"/>
      <c r="C38" s="33">
        <v>6</v>
      </c>
      <c r="D38" s="33">
        <v>15</v>
      </c>
      <c r="F38" s="33" t="s">
        <v>151</v>
      </c>
      <c r="G38" s="33" t="s">
        <v>1019</v>
      </c>
      <c r="I38" s="33"/>
      <c r="L38" s="33" t="s">
        <v>1018</v>
      </c>
      <c r="O38" s="10">
        <f>GET_OK_GROUPS_COUNT(tbTestEnemy[[#This Row],[Camp]],tbTestEnemy[[#This Row],[Difficulty]],tbTestEnemy[[#This Row],[IsBoss]],tbTestEnemy[[#This Row],[Hero1]:[Soldier3]])</f>
        <v>5</v>
      </c>
      <c r="P38" s="33">
        <v>1</v>
      </c>
      <c r="R38" s="34"/>
      <c r="S38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9" spans="2:19" x14ac:dyDescent="0.3">
      <c r="B39" s="35"/>
      <c r="C39" s="33">
        <v>7</v>
      </c>
      <c r="D39" s="33">
        <v>15</v>
      </c>
      <c r="F39" s="33" t="s">
        <v>151</v>
      </c>
      <c r="G39" s="33" t="s">
        <v>1041</v>
      </c>
      <c r="I39" s="33"/>
      <c r="L39" s="33" t="s">
        <v>1012</v>
      </c>
      <c r="O39" s="10">
        <f>GET_OK_GROUPS_COUNT(tbTestEnemy[[#This Row],[Camp]],tbTestEnemy[[#This Row],[Difficulty]],tbTestEnemy[[#This Row],[IsBoss]],tbTestEnemy[[#This Row],[Hero1]:[Soldier3]])</f>
        <v>3</v>
      </c>
      <c r="P39" s="34">
        <v>1</v>
      </c>
      <c r="R39" s="34"/>
      <c r="S39" s="10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0" spans="2:19" x14ac:dyDescent="0.3">
      <c r="B40" s="35"/>
      <c r="C40" s="33">
        <v>8</v>
      </c>
      <c r="D40" s="33">
        <v>15</v>
      </c>
      <c r="F40" s="33" t="s">
        <v>151</v>
      </c>
      <c r="G40" s="33" t="s">
        <v>1041</v>
      </c>
      <c r="I40" s="33"/>
      <c r="L40" s="33" t="s">
        <v>1059</v>
      </c>
      <c r="O40" s="10">
        <f>GET_OK_GROUPS_COUNT(tbTestEnemy[[#This Row],[Camp]],tbTestEnemy[[#This Row],[Difficulty]],tbTestEnemy[[#This Row],[IsBoss]],tbTestEnemy[[#This Row],[Hero1]:[Soldier3]])</f>
        <v>1</v>
      </c>
      <c r="P40" s="33">
        <v>1</v>
      </c>
      <c r="R40" s="34"/>
      <c r="S40" s="10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1" spans="2:19" x14ac:dyDescent="0.3">
      <c r="B41" s="35"/>
      <c r="C41" s="33">
        <v>9</v>
      </c>
      <c r="D41" s="33">
        <v>15</v>
      </c>
      <c r="F41" s="33" t="s">
        <v>151</v>
      </c>
      <c r="G41" s="33" t="s">
        <v>1014</v>
      </c>
      <c r="I41" s="33" t="s">
        <v>991</v>
      </c>
      <c r="O41" s="10">
        <f>GET_OK_GROUPS_COUNT(tbTestEnemy[[#This Row],[Camp]],tbTestEnemy[[#This Row],[Difficulty]],tbTestEnemy[[#This Row],[IsBoss]],tbTestEnemy[[#This Row],[Hero1]:[Soldier3]])</f>
        <v>4</v>
      </c>
      <c r="P41" s="34">
        <v>1</v>
      </c>
      <c r="R41" s="34"/>
      <c r="S41" s="10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2" spans="2:19" x14ac:dyDescent="0.3">
      <c r="B42" s="35" t="s">
        <v>1061</v>
      </c>
      <c r="C42" s="33">
        <v>1</v>
      </c>
      <c r="D42" s="33">
        <v>5</v>
      </c>
      <c r="F42" s="33" t="s">
        <v>151</v>
      </c>
      <c r="G42" s="33" t="s">
        <v>1041</v>
      </c>
      <c r="I42" s="33"/>
      <c r="L42" s="33" t="s">
        <v>1012</v>
      </c>
      <c r="O42" s="10">
        <f>GET_OK_GROUPS_COUNT(tbTestEnemy[[#This Row],[Camp]],tbTestEnemy[[#This Row],[Difficulty]],tbTestEnemy[[#This Row],[IsBoss]],tbTestEnemy[[#This Row],[Hero1]:[Soldier3]])</f>
        <v>3</v>
      </c>
      <c r="P42" s="33">
        <v>1</v>
      </c>
      <c r="R42" s="34"/>
      <c r="S42" s="10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9" x14ac:dyDescent="0.3">
      <c r="B43" s="35"/>
      <c r="C43" s="33">
        <v>2</v>
      </c>
      <c r="D43" s="33">
        <v>15</v>
      </c>
      <c r="F43" s="33" t="s">
        <v>151</v>
      </c>
      <c r="G43" s="33" t="s">
        <v>1041</v>
      </c>
      <c r="I43" s="33"/>
      <c r="L43" s="33" t="s">
        <v>1012</v>
      </c>
      <c r="O43" s="10">
        <f>GET_OK_GROUPS_COUNT(tbTestEnemy[[#This Row],[Camp]],tbTestEnemy[[#This Row],[Difficulty]],tbTestEnemy[[#This Row],[IsBoss]],tbTestEnemy[[#This Row],[Hero1]:[Soldier3]])</f>
        <v>3</v>
      </c>
      <c r="P43" s="34">
        <v>1</v>
      </c>
      <c r="R43" s="34"/>
      <c r="S43" s="10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4" spans="2:19" x14ac:dyDescent="0.3">
      <c r="B44" s="35"/>
      <c r="C44" s="33">
        <v>3</v>
      </c>
      <c r="D44" s="33">
        <v>15</v>
      </c>
      <c r="F44" s="33" t="s">
        <v>151</v>
      </c>
      <c r="G44" s="33" t="s">
        <v>1019</v>
      </c>
      <c r="I44" s="33"/>
      <c r="L44" s="33" t="s">
        <v>1059</v>
      </c>
      <c r="O44" s="10">
        <f>GET_OK_GROUPS_COUNT(tbTestEnemy[[#This Row],[Camp]],tbTestEnemy[[#This Row],[Difficulty]],tbTestEnemy[[#This Row],[IsBoss]],tbTestEnemy[[#This Row],[Hero1]:[Soldier3]])</f>
        <v>3</v>
      </c>
      <c r="P44" s="33">
        <v>1</v>
      </c>
      <c r="R44" s="34"/>
      <c r="S44" s="10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5" spans="2:19" x14ac:dyDescent="0.3">
      <c r="B45" s="35"/>
      <c r="C45" s="33">
        <v>4</v>
      </c>
      <c r="D45" s="33">
        <v>15</v>
      </c>
      <c r="F45" s="33" t="s">
        <v>151</v>
      </c>
      <c r="G45" s="33" t="s">
        <v>1041</v>
      </c>
      <c r="I45" s="33"/>
      <c r="L45" s="33" t="s">
        <v>1021</v>
      </c>
      <c r="O45" s="10">
        <f>GET_OK_GROUPS_COUNT(tbTestEnemy[[#This Row],[Camp]],tbTestEnemy[[#This Row],[Difficulty]],tbTestEnemy[[#This Row],[IsBoss]],tbTestEnemy[[#This Row],[Hero1]:[Soldier3]])</f>
        <v>3</v>
      </c>
      <c r="P45" s="34">
        <v>1</v>
      </c>
      <c r="R45" s="34"/>
      <c r="S45" s="10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6" spans="2:19" x14ac:dyDescent="0.3">
      <c r="B46" s="35"/>
      <c r="C46" s="33">
        <v>5</v>
      </c>
      <c r="D46" s="33">
        <v>15</v>
      </c>
      <c r="F46" s="33" t="s">
        <v>151</v>
      </c>
      <c r="G46" s="33" t="s">
        <v>1019</v>
      </c>
      <c r="I46" s="33"/>
      <c r="L46" s="33" t="s">
        <v>1018</v>
      </c>
      <c r="M46" s="33" t="s">
        <v>1022</v>
      </c>
      <c r="O46" s="10">
        <f>GET_OK_GROUPS_COUNT(tbTestEnemy[[#This Row],[Camp]],tbTestEnemy[[#This Row],[Difficulty]],tbTestEnemy[[#This Row],[IsBoss]],tbTestEnemy[[#This Row],[Hero1]:[Soldier3]])</f>
        <v>1</v>
      </c>
      <c r="P46" s="33">
        <v>1</v>
      </c>
      <c r="R46" s="34"/>
      <c r="S46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7" spans="2:19" x14ac:dyDescent="0.3">
      <c r="B47" s="35"/>
      <c r="C47" s="33">
        <v>6</v>
      </c>
      <c r="D47" s="33">
        <v>15</v>
      </c>
      <c r="F47" s="33" t="s">
        <v>151</v>
      </c>
      <c r="G47" s="33" t="s">
        <v>1019</v>
      </c>
      <c r="I47" s="33"/>
      <c r="L47" s="33" t="s">
        <v>1012</v>
      </c>
      <c r="O47" s="10">
        <f>GET_OK_GROUPS_COUNT(tbTestEnemy[[#This Row],[Camp]],tbTestEnemy[[#This Row],[Difficulty]],tbTestEnemy[[#This Row],[IsBoss]],tbTestEnemy[[#This Row],[Hero1]:[Soldier3]])</f>
        <v>3</v>
      </c>
      <c r="P47" s="34">
        <v>1</v>
      </c>
      <c r="R47" s="34"/>
      <c r="S47" s="10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8" spans="2:19" x14ac:dyDescent="0.3">
      <c r="B48" s="35"/>
      <c r="C48" s="33">
        <v>7</v>
      </c>
      <c r="D48" s="33">
        <v>15</v>
      </c>
      <c r="F48" s="33" t="s">
        <v>151</v>
      </c>
      <c r="G48" s="33" t="s">
        <v>1041</v>
      </c>
      <c r="I48" s="33"/>
      <c r="L48" s="33" t="s">
        <v>1022</v>
      </c>
      <c r="O48" s="10">
        <f>GET_OK_GROUPS_COUNT(tbTestEnemy[[#This Row],[Camp]],tbTestEnemy[[#This Row],[Difficulty]],tbTestEnemy[[#This Row],[IsBoss]],tbTestEnemy[[#This Row],[Hero1]:[Soldier3]])</f>
        <v>3</v>
      </c>
      <c r="P48" s="33">
        <v>1</v>
      </c>
      <c r="R48" s="34"/>
      <c r="S48" s="10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9" spans="2:19" x14ac:dyDescent="0.3">
      <c r="B49" s="35"/>
      <c r="C49" s="33">
        <v>8</v>
      </c>
      <c r="D49" s="33">
        <v>15</v>
      </c>
      <c r="F49" s="33" t="s">
        <v>151</v>
      </c>
      <c r="G49" s="33" t="s">
        <v>1019</v>
      </c>
      <c r="I49" s="33"/>
      <c r="L49" s="33" t="s">
        <v>1021</v>
      </c>
      <c r="O49" s="10">
        <f>GET_OK_GROUPS_COUNT(tbTestEnemy[[#This Row],[Camp]],tbTestEnemy[[#This Row],[Difficulty]],tbTestEnemy[[#This Row],[IsBoss]],tbTestEnemy[[#This Row],[Hero1]:[Soldier3]])</f>
        <v>3</v>
      </c>
      <c r="P49" s="34">
        <v>1</v>
      </c>
      <c r="R49" s="34"/>
      <c r="S49" s="10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0" spans="2:19" x14ac:dyDescent="0.3">
      <c r="B50" s="35"/>
      <c r="C50" s="33">
        <v>9</v>
      </c>
      <c r="D50" s="33">
        <v>15</v>
      </c>
      <c r="F50" s="33" t="s">
        <v>151</v>
      </c>
      <c r="G50" s="33" t="s">
        <v>1014</v>
      </c>
      <c r="I50" s="33" t="s">
        <v>991</v>
      </c>
      <c r="O50" s="10">
        <f>GET_OK_GROUPS_COUNT(tbTestEnemy[[#This Row],[Camp]],tbTestEnemy[[#This Row],[Difficulty]],tbTestEnemy[[#This Row],[IsBoss]],tbTestEnemy[[#This Row],[Hero1]:[Soldier3]])</f>
        <v>4</v>
      </c>
      <c r="P50" s="33">
        <v>1</v>
      </c>
      <c r="R50" s="34"/>
      <c r="S50" s="10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1" spans="2:19" x14ac:dyDescent="0.3">
      <c r="B51" s="35" t="s">
        <v>1060</v>
      </c>
      <c r="C51" s="33">
        <v>1</v>
      </c>
      <c r="D51" s="33">
        <v>5</v>
      </c>
      <c r="F51" s="33" t="s">
        <v>151</v>
      </c>
      <c r="G51" s="33" t="s">
        <v>1041</v>
      </c>
      <c r="I51" s="33"/>
      <c r="L51" s="33" t="s">
        <v>1012</v>
      </c>
      <c r="O51" s="10">
        <f>GET_OK_GROUPS_COUNT(tbTestEnemy[[#This Row],[Camp]],tbTestEnemy[[#This Row],[Difficulty]],tbTestEnemy[[#This Row],[IsBoss]],tbTestEnemy[[#This Row],[Hero1]:[Soldier3]])</f>
        <v>3</v>
      </c>
      <c r="P51" s="34">
        <v>1</v>
      </c>
      <c r="R51" s="34"/>
      <c r="S51" s="10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2" spans="2:19" x14ac:dyDescent="0.3">
      <c r="B52" s="35"/>
      <c r="C52" s="33">
        <v>2</v>
      </c>
      <c r="D52" s="33">
        <v>15</v>
      </c>
      <c r="F52" s="33" t="s">
        <v>151</v>
      </c>
      <c r="G52" s="33" t="s">
        <v>1019</v>
      </c>
      <c r="I52" s="33"/>
      <c r="L52" s="33" t="s">
        <v>1059</v>
      </c>
      <c r="O52" s="10">
        <f>GET_OK_GROUPS_COUNT(tbTestEnemy[[#This Row],[Camp]],tbTestEnemy[[#This Row],[Difficulty]],tbTestEnemy[[#This Row],[IsBoss]],tbTestEnemy[[#This Row],[Hero1]:[Soldier3]])</f>
        <v>3</v>
      </c>
      <c r="P52" s="33">
        <v>1</v>
      </c>
      <c r="R52" s="34"/>
      <c r="S52" s="10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3" spans="2:19" x14ac:dyDescent="0.3">
      <c r="B53" s="35"/>
      <c r="C53" s="33">
        <v>3</v>
      </c>
      <c r="D53" s="33">
        <v>15</v>
      </c>
      <c r="F53" s="33" t="s">
        <v>151</v>
      </c>
      <c r="G53" s="33" t="s">
        <v>1019</v>
      </c>
      <c r="I53" s="33"/>
      <c r="L53" s="33" t="s">
        <v>1059</v>
      </c>
      <c r="O53" s="10">
        <f>GET_OK_GROUPS_COUNT(tbTestEnemy[[#This Row],[Camp]],tbTestEnemy[[#This Row],[Difficulty]],tbTestEnemy[[#This Row],[IsBoss]],tbTestEnemy[[#This Row],[Hero1]:[Soldier3]])</f>
        <v>3</v>
      </c>
      <c r="P53" s="34">
        <v>1</v>
      </c>
      <c r="R53" s="34"/>
      <c r="S53" s="10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4" spans="2:19" x14ac:dyDescent="0.3">
      <c r="B54" s="35"/>
      <c r="C54" s="33">
        <v>4</v>
      </c>
      <c r="D54" s="33">
        <v>15</v>
      </c>
      <c r="F54" s="33" t="s">
        <v>151</v>
      </c>
      <c r="G54" s="33" t="s">
        <v>1041</v>
      </c>
      <c r="I54" s="33"/>
      <c r="L54" s="33" t="s">
        <v>1059</v>
      </c>
      <c r="O54" s="10">
        <f>GET_OK_GROUPS_COUNT(tbTestEnemy[[#This Row],[Camp]],tbTestEnemy[[#This Row],[Difficulty]],tbTestEnemy[[#This Row],[IsBoss]],tbTestEnemy[[#This Row],[Hero1]:[Soldier3]])</f>
        <v>1</v>
      </c>
      <c r="P54" s="33">
        <v>1</v>
      </c>
      <c r="R54" s="34"/>
      <c r="S54" s="10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5" spans="2:19" x14ac:dyDescent="0.3">
      <c r="B55" s="35"/>
      <c r="C55" s="33">
        <v>5</v>
      </c>
      <c r="D55" s="33">
        <v>15</v>
      </c>
      <c r="F55" s="33" t="s">
        <v>151</v>
      </c>
      <c r="G55" s="33" t="s">
        <v>1019</v>
      </c>
      <c r="I55" s="33"/>
      <c r="L55" s="33" t="s">
        <v>1057</v>
      </c>
      <c r="O55" s="10">
        <f>GET_OK_GROUPS_COUNT(tbTestEnemy[[#This Row],[Camp]],tbTestEnemy[[#This Row],[Difficulty]],tbTestEnemy[[#This Row],[IsBoss]],tbTestEnemy[[#This Row],[Hero1]:[Soldier3]])</f>
        <v>1</v>
      </c>
      <c r="P55" s="34">
        <v>1</v>
      </c>
      <c r="R55" s="34"/>
      <c r="S55" s="10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6" spans="2:19" x14ac:dyDescent="0.3">
      <c r="B56" s="35"/>
      <c r="C56" s="33">
        <v>6</v>
      </c>
      <c r="D56" s="33">
        <v>15</v>
      </c>
      <c r="F56" s="33" t="s">
        <v>151</v>
      </c>
      <c r="G56" s="33" t="s">
        <v>1014</v>
      </c>
      <c r="I56" s="33" t="s">
        <v>1024</v>
      </c>
      <c r="J56" s="33" t="s">
        <v>991</v>
      </c>
      <c r="O56" s="10">
        <f>GET_OK_GROUPS_COUNT(tbTestEnemy[[#This Row],[Camp]],tbTestEnemy[[#This Row],[Difficulty]],tbTestEnemy[[#This Row],[IsBoss]],tbTestEnemy[[#This Row],[Hero1]:[Soldier3]])</f>
        <v>1</v>
      </c>
      <c r="P56" s="33">
        <v>1</v>
      </c>
      <c r="R56" s="34"/>
      <c r="S56" s="10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7" spans="2:19" x14ac:dyDescent="0.3">
      <c r="B57" s="35"/>
      <c r="C57" s="33">
        <v>7</v>
      </c>
      <c r="D57" s="33">
        <v>15</v>
      </c>
      <c r="F57" s="33" t="s">
        <v>151</v>
      </c>
      <c r="G57" s="33" t="s">
        <v>1041</v>
      </c>
      <c r="I57" s="33"/>
      <c r="L57" s="33" t="s">
        <v>1022</v>
      </c>
      <c r="O57" s="10">
        <f>GET_OK_GROUPS_COUNT(tbTestEnemy[[#This Row],[Camp]],tbTestEnemy[[#This Row],[Difficulty]],tbTestEnemy[[#This Row],[IsBoss]],tbTestEnemy[[#This Row],[Hero1]:[Soldier3]])</f>
        <v>3</v>
      </c>
      <c r="P57" s="34">
        <v>1</v>
      </c>
      <c r="R57" s="34"/>
      <c r="S57" s="10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8" spans="2:19" x14ac:dyDescent="0.3">
      <c r="B58" s="35"/>
      <c r="C58" s="33">
        <v>8</v>
      </c>
      <c r="D58" s="33">
        <v>15</v>
      </c>
      <c r="F58" s="33" t="s">
        <v>151</v>
      </c>
      <c r="G58" s="33" t="s">
        <v>1019</v>
      </c>
      <c r="I58" s="33"/>
      <c r="L58" s="33" t="s">
        <v>1021</v>
      </c>
      <c r="O58" s="10">
        <f>GET_OK_GROUPS_COUNT(tbTestEnemy[[#This Row],[Camp]],tbTestEnemy[[#This Row],[Difficulty]],tbTestEnemy[[#This Row],[IsBoss]],tbTestEnemy[[#This Row],[Hero1]:[Soldier3]])</f>
        <v>3</v>
      </c>
      <c r="P58" s="33">
        <v>1</v>
      </c>
      <c r="R58" s="34"/>
      <c r="S58" s="10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9" spans="2:19" x14ac:dyDescent="0.3">
      <c r="B59" s="35"/>
      <c r="C59" s="33">
        <v>9</v>
      </c>
      <c r="D59" s="33">
        <v>15</v>
      </c>
      <c r="F59" s="33" t="s">
        <v>151</v>
      </c>
      <c r="G59" s="33" t="s">
        <v>1014</v>
      </c>
      <c r="I59" s="33" t="s">
        <v>996</v>
      </c>
      <c r="O59" s="10">
        <f>GET_OK_GROUPS_COUNT(tbTestEnemy[[#This Row],[Camp]],tbTestEnemy[[#This Row],[Difficulty]],tbTestEnemy[[#This Row],[IsBoss]],tbTestEnemy[[#This Row],[Hero1]:[Soldier3]])</f>
        <v>3</v>
      </c>
      <c r="P59" s="34">
        <v>1</v>
      </c>
      <c r="R59" s="34"/>
      <c r="S59" s="10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0" spans="2:19" x14ac:dyDescent="0.3">
      <c r="B60" s="35" t="s">
        <v>1058</v>
      </c>
      <c r="C60" s="33">
        <v>1</v>
      </c>
      <c r="D60" s="33">
        <v>5</v>
      </c>
      <c r="F60" s="33" t="s">
        <v>151</v>
      </c>
      <c r="G60" s="33" t="s">
        <v>1041</v>
      </c>
      <c r="I60" s="33"/>
      <c r="L60" s="33" t="s">
        <v>1018</v>
      </c>
      <c r="O60" s="10">
        <f>GET_OK_GROUPS_COUNT(tbTestEnemy[[#This Row],[Camp]],tbTestEnemy[[#This Row],[Difficulty]],tbTestEnemy[[#This Row],[IsBoss]],tbTestEnemy[[#This Row],[Hero1]:[Soldier3]])</f>
        <v>4</v>
      </c>
      <c r="P60" s="33">
        <v>1</v>
      </c>
      <c r="R60" s="34"/>
      <c r="S60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1" spans="2:19" x14ac:dyDescent="0.3">
      <c r="B61" s="35"/>
      <c r="C61" s="33">
        <v>2</v>
      </c>
      <c r="D61" s="33">
        <v>15</v>
      </c>
      <c r="F61" s="33" t="s">
        <v>151</v>
      </c>
      <c r="G61" s="33" t="s">
        <v>1019</v>
      </c>
      <c r="I61" s="33"/>
      <c r="L61" s="33" t="s">
        <v>1018</v>
      </c>
      <c r="O61" s="10">
        <f>GET_OK_GROUPS_COUNT(tbTestEnemy[[#This Row],[Camp]],tbTestEnemy[[#This Row],[Difficulty]],tbTestEnemy[[#This Row],[IsBoss]],tbTestEnemy[[#This Row],[Hero1]:[Soldier3]])</f>
        <v>5</v>
      </c>
      <c r="P61" s="34">
        <v>1</v>
      </c>
      <c r="R61" s="34"/>
      <c r="S61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2" spans="2:19" x14ac:dyDescent="0.3">
      <c r="B62" s="35"/>
      <c r="C62" s="33">
        <v>3</v>
      </c>
      <c r="D62" s="33">
        <v>15</v>
      </c>
      <c r="F62" s="33" t="s">
        <v>151</v>
      </c>
      <c r="G62" s="33" t="s">
        <v>1014</v>
      </c>
      <c r="I62" s="33" t="s">
        <v>996</v>
      </c>
      <c r="O62" s="10">
        <f>GET_OK_GROUPS_COUNT(tbTestEnemy[[#This Row],[Camp]],tbTestEnemy[[#This Row],[Difficulty]],tbTestEnemy[[#This Row],[IsBoss]],tbTestEnemy[[#This Row],[Hero1]:[Soldier3]])</f>
        <v>3</v>
      </c>
      <c r="P62" s="33">
        <v>1</v>
      </c>
      <c r="R62" s="34"/>
      <c r="S62" s="10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9" x14ac:dyDescent="0.3">
      <c r="B63" s="35"/>
      <c r="C63" s="33">
        <v>4</v>
      </c>
      <c r="D63" s="33">
        <v>15</v>
      </c>
      <c r="F63" s="33" t="s">
        <v>151</v>
      </c>
      <c r="G63" s="33" t="s">
        <v>1019</v>
      </c>
      <c r="I63" s="33"/>
      <c r="L63" s="33" t="s">
        <v>1057</v>
      </c>
      <c r="O63" s="10">
        <f>GET_OK_GROUPS_COUNT(tbTestEnemy[[#This Row],[Camp]],tbTestEnemy[[#This Row],[Difficulty]],tbTestEnemy[[#This Row],[IsBoss]],tbTestEnemy[[#This Row],[Hero1]:[Soldier3]])</f>
        <v>1</v>
      </c>
      <c r="P63" s="34">
        <v>1</v>
      </c>
      <c r="R63" s="34"/>
      <c r="S63" s="10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4" spans="2:19" x14ac:dyDescent="0.3">
      <c r="B64" s="35"/>
      <c r="C64" s="33">
        <v>5</v>
      </c>
      <c r="D64" s="33">
        <v>15</v>
      </c>
      <c r="F64" s="33" t="s">
        <v>151</v>
      </c>
      <c r="G64" s="33" t="s">
        <v>1019</v>
      </c>
      <c r="I64" s="33"/>
      <c r="L64" s="33" t="s">
        <v>1018</v>
      </c>
      <c r="M64" s="33" t="s">
        <v>1012</v>
      </c>
      <c r="O64" s="10">
        <f>GET_OK_GROUPS_COUNT(tbTestEnemy[[#This Row],[Camp]],tbTestEnemy[[#This Row],[Difficulty]],tbTestEnemy[[#This Row],[IsBoss]],tbTestEnemy[[#This Row],[Hero1]:[Soldier3]])</f>
        <v>1</v>
      </c>
      <c r="P64" s="33">
        <v>1</v>
      </c>
      <c r="R64" s="34"/>
      <c r="S64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5" spans="2:19" x14ac:dyDescent="0.3">
      <c r="B65" s="35"/>
      <c r="C65" s="33">
        <v>6</v>
      </c>
      <c r="D65" s="33">
        <v>15</v>
      </c>
      <c r="F65" s="33" t="s">
        <v>151</v>
      </c>
      <c r="G65" s="33" t="s">
        <v>1014</v>
      </c>
      <c r="I65" s="33" t="s">
        <v>997</v>
      </c>
      <c r="J65" s="33" t="s">
        <v>1016</v>
      </c>
      <c r="O65" s="10">
        <f>GET_OK_GROUPS_COUNT(tbTestEnemy[[#This Row],[Camp]],tbTestEnemy[[#This Row],[Difficulty]],tbTestEnemy[[#This Row],[IsBoss]],tbTestEnemy[[#This Row],[Hero1]:[Soldier3]])</f>
        <v>1</v>
      </c>
      <c r="P65" s="34">
        <v>1</v>
      </c>
      <c r="R65" s="34"/>
      <c r="S65" s="10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6" spans="2:19" x14ac:dyDescent="0.3">
      <c r="B66" s="35"/>
      <c r="C66" s="33">
        <v>7</v>
      </c>
      <c r="D66" s="33">
        <v>15</v>
      </c>
      <c r="F66" s="33" t="s">
        <v>151</v>
      </c>
      <c r="G66" s="33" t="s">
        <v>1019</v>
      </c>
      <c r="I66" s="33"/>
      <c r="L66" s="33" t="s">
        <v>1012</v>
      </c>
      <c r="O66" s="10">
        <f>GET_OK_GROUPS_COUNT(tbTestEnemy[[#This Row],[Camp]],tbTestEnemy[[#This Row],[Difficulty]],tbTestEnemy[[#This Row],[IsBoss]],tbTestEnemy[[#This Row],[Hero1]:[Soldier3]])</f>
        <v>3</v>
      </c>
      <c r="P66" s="33">
        <v>1</v>
      </c>
      <c r="R66" s="34"/>
      <c r="S66" s="10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7" spans="2:19" x14ac:dyDescent="0.3">
      <c r="B67" s="35"/>
      <c r="C67" s="33">
        <v>8</v>
      </c>
      <c r="D67" s="33">
        <v>15</v>
      </c>
      <c r="F67" s="33" t="s">
        <v>151</v>
      </c>
      <c r="G67" s="33" t="s">
        <v>1014</v>
      </c>
      <c r="I67" s="33"/>
      <c r="L67" s="33" t="s">
        <v>1021</v>
      </c>
      <c r="O67" s="10">
        <f>GET_OK_GROUPS_COUNT(tbTestEnemy[[#This Row],[Camp]],tbTestEnemy[[#This Row],[Difficulty]],tbTestEnemy[[#This Row],[IsBoss]],tbTestEnemy[[#This Row],[Hero1]:[Soldier3]])</f>
        <v>9</v>
      </c>
      <c r="P67" s="34">
        <v>1</v>
      </c>
      <c r="R67" s="34"/>
      <c r="S67" s="10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8" spans="2:19" x14ac:dyDescent="0.3">
      <c r="B68" s="35"/>
      <c r="C68" s="33">
        <v>9</v>
      </c>
      <c r="D68" s="33">
        <v>15</v>
      </c>
      <c r="F68" s="33" t="s">
        <v>151</v>
      </c>
      <c r="G68" s="33" t="s">
        <v>1000</v>
      </c>
      <c r="I68" s="33" t="s">
        <v>997</v>
      </c>
      <c r="J68" s="33" t="s">
        <v>1017</v>
      </c>
      <c r="O68" s="10">
        <f>GET_OK_GROUPS_COUNT(tbTestEnemy[[#This Row],[Camp]],tbTestEnemy[[#This Row],[Difficulty]],tbTestEnemy[[#This Row],[IsBoss]],tbTestEnemy[[#This Row],[Hero1]:[Soldier3]])</f>
        <v>1</v>
      </c>
      <c r="P68" s="33">
        <v>1</v>
      </c>
      <c r="R68" s="34"/>
      <c r="S68" s="10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9" spans="2:19" x14ac:dyDescent="0.3">
      <c r="B69" s="35" t="s">
        <v>1056</v>
      </c>
      <c r="C69" s="33">
        <v>1</v>
      </c>
      <c r="D69" s="33">
        <v>5</v>
      </c>
      <c r="F69" s="33" t="s">
        <v>151</v>
      </c>
      <c r="G69" s="33" t="s">
        <v>29</v>
      </c>
      <c r="I69" s="33"/>
      <c r="L69" s="33" t="s">
        <v>25</v>
      </c>
      <c r="M69" s="33" t="s">
        <v>28</v>
      </c>
      <c r="O69" s="10">
        <f>GET_OK_GROUPS_COUNT(tbTestEnemy[[#This Row],[Camp]],tbTestEnemy[[#This Row],[Difficulty]],tbTestEnemy[[#This Row],[IsBoss]],tbTestEnemy[[#This Row],[Hero1]:[Soldier3]])</f>
        <v>1</v>
      </c>
      <c r="P69" s="33">
        <v>1</v>
      </c>
      <c r="R69" s="34"/>
      <c r="S69" s="10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0" spans="2:19" x14ac:dyDescent="0.3">
      <c r="B70" s="35"/>
      <c r="C70" s="33">
        <v>2</v>
      </c>
      <c r="D70" s="33">
        <v>10</v>
      </c>
      <c r="F70" s="33" t="s">
        <v>151</v>
      </c>
      <c r="G70" s="33" t="s">
        <v>29</v>
      </c>
      <c r="I70" s="33"/>
      <c r="L70" s="33" t="s">
        <v>25</v>
      </c>
      <c r="M70" s="33" t="s">
        <v>26</v>
      </c>
      <c r="O70" s="10">
        <f>GET_OK_GROUPS_COUNT(tbTestEnemy[[#This Row],[Camp]],tbTestEnemy[[#This Row],[Difficulty]],tbTestEnemy[[#This Row],[IsBoss]],tbTestEnemy[[#This Row],[Hero1]:[Soldier3]])</f>
        <v>1</v>
      </c>
      <c r="P70" s="33">
        <v>1</v>
      </c>
      <c r="R70" s="34"/>
      <c r="S70" s="10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71" spans="2:19" x14ac:dyDescent="0.3">
      <c r="B71" s="35"/>
      <c r="C71" s="33">
        <v>3</v>
      </c>
      <c r="D71" s="33">
        <v>10</v>
      </c>
      <c r="F71" s="33" t="s">
        <v>151</v>
      </c>
      <c r="G71" s="33" t="s">
        <v>33</v>
      </c>
      <c r="I71" s="33"/>
      <c r="L71" s="33" t="s">
        <v>25</v>
      </c>
      <c r="M71" s="33" t="s">
        <v>28</v>
      </c>
      <c r="O71" s="10">
        <f>GET_OK_GROUPS_COUNT(tbTestEnemy[[#This Row],[Camp]],tbTestEnemy[[#This Row],[Difficulty]],tbTestEnemy[[#This Row],[IsBoss]],tbTestEnemy[[#This Row],[Hero1]:[Soldier3]])</f>
        <v>1</v>
      </c>
      <c r="P71" s="33">
        <v>1</v>
      </c>
      <c r="R71" s="34"/>
      <c r="S71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2" spans="2:19" x14ac:dyDescent="0.3">
      <c r="B72" s="35"/>
      <c r="C72" s="33">
        <v>4</v>
      </c>
      <c r="D72" s="33">
        <v>10</v>
      </c>
      <c r="F72" s="33" t="s">
        <v>151</v>
      </c>
      <c r="G72" s="33" t="s">
        <v>33</v>
      </c>
      <c r="I72" s="33"/>
      <c r="L72" s="33" t="s">
        <v>25</v>
      </c>
      <c r="M72" s="33" t="s">
        <v>26</v>
      </c>
      <c r="O72" s="10">
        <f>GET_OK_GROUPS_COUNT(tbTestEnemy[[#This Row],[Camp]],tbTestEnemy[[#This Row],[Difficulty]],tbTestEnemy[[#This Row],[IsBoss]],tbTestEnemy[[#This Row],[Hero1]:[Soldier3]])</f>
        <v>1</v>
      </c>
      <c r="P72" s="33">
        <v>1</v>
      </c>
      <c r="R72" s="34"/>
      <c r="S72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3" spans="2:19" x14ac:dyDescent="0.3">
      <c r="B73" s="35"/>
      <c r="C73" s="33">
        <v>5</v>
      </c>
      <c r="D73" s="33">
        <v>10</v>
      </c>
      <c r="F73" s="33" t="s">
        <v>151</v>
      </c>
      <c r="G73" s="33" t="s">
        <v>35</v>
      </c>
      <c r="I73" s="33" t="s">
        <v>378</v>
      </c>
      <c r="J73" s="33" t="s">
        <v>1017</v>
      </c>
      <c r="O73" s="10">
        <f>GET_OK_GROUPS_COUNT(tbTestEnemy[[#This Row],[Camp]],tbTestEnemy[[#This Row],[Difficulty]],tbTestEnemy[[#This Row],[IsBoss]],tbTestEnemy[[#This Row],[Hero1]:[Soldier3]])</f>
        <v>1</v>
      </c>
      <c r="P73" s="33">
        <v>1</v>
      </c>
      <c r="R73" s="34"/>
      <c r="S73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4" spans="2:19" x14ac:dyDescent="0.3">
      <c r="B74" s="35" t="s">
        <v>1055</v>
      </c>
      <c r="C74" s="33">
        <v>1</v>
      </c>
      <c r="D74" s="33">
        <v>5</v>
      </c>
      <c r="F74" s="33" t="s">
        <v>151</v>
      </c>
      <c r="G74" s="33" t="s">
        <v>29</v>
      </c>
      <c r="I74" s="33"/>
      <c r="L74" s="33" t="s">
        <v>25</v>
      </c>
      <c r="M74" s="33" t="s">
        <v>28</v>
      </c>
      <c r="O74" s="10">
        <f>GET_OK_GROUPS_COUNT(tbTestEnemy[[#This Row],[Camp]],tbTestEnemy[[#This Row],[Difficulty]],tbTestEnemy[[#This Row],[IsBoss]],tbTestEnemy[[#This Row],[Hero1]:[Soldier3]])</f>
        <v>1</v>
      </c>
      <c r="P74" s="33">
        <v>1</v>
      </c>
      <c r="R74" s="34"/>
      <c r="S74" s="10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5" spans="2:19" x14ac:dyDescent="0.3">
      <c r="B75" s="35"/>
      <c r="C75" s="33">
        <v>2</v>
      </c>
      <c r="D75" s="33">
        <v>10</v>
      </c>
      <c r="F75" s="33" t="s">
        <v>151</v>
      </c>
      <c r="G75" s="33" t="s">
        <v>33</v>
      </c>
      <c r="I75" s="33"/>
      <c r="L75" s="33" t="s">
        <v>1018</v>
      </c>
      <c r="M75" s="33" t="s">
        <v>1012</v>
      </c>
      <c r="O75" s="10">
        <f>GET_OK_GROUPS_COUNT(tbTestEnemy[[#This Row],[Camp]],tbTestEnemy[[#This Row],[Difficulty]],tbTestEnemy[[#This Row],[IsBoss]],tbTestEnemy[[#This Row],[Hero1]:[Soldier3]])</f>
        <v>1</v>
      </c>
      <c r="P75" s="33">
        <v>1</v>
      </c>
      <c r="R75" s="34"/>
      <c r="S75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9" x14ac:dyDescent="0.3">
      <c r="B76" s="35"/>
      <c r="C76" s="33">
        <v>3</v>
      </c>
      <c r="D76" s="33">
        <v>10</v>
      </c>
      <c r="F76" s="33" t="s">
        <v>151</v>
      </c>
      <c r="G76" s="33" t="s">
        <v>33</v>
      </c>
      <c r="I76" s="33"/>
      <c r="L76" s="33" t="s">
        <v>1018</v>
      </c>
      <c r="M76" s="33" t="s">
        <v>1022</v>
      </c>
      <c r="O76" s="10">
        <f>GET_OK_GROUPS_COUNT(tbTestEnemy[[#This Row],[Camp]],tbTestEnemy[[#This Row],[Difficulty]],tbTestEnemy[[#This Row],[IsBoss]],tbTestEnemy[[#This Row],[Hero1]:[Soldier3]])</f>
        <v>1</v>
      </c>
      <c r="P76" s="33">
        <v>1</v>
      </c>
      <c r="R76" s="34"/>
      <c r="S76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7" spans="2:19" x14ac:dyDescent="0.3">
      <c r="B77" s="35"/>
      <c r="C77" s="33">
        <v>4</v>
      </c>
      <c r="D77" s="33">
        <v>15</v>
      </c>
      <c r="F77" s="33" t="s">
        <v>151</v>
      </c>
      <c r="G77" s="33" t="s">
        <v>35</v>
      </c>
      <c r="I77" s="33"/>
      <c r="L77" s="33" t="s">
        <v>1018</v>
      </c>
      <c r="M77" s="33" t="s">
        <v>1012</v>
      </c>
      <c r="O77" s="10">
        <f>GET_OK_GROUPS_COUNT(tbTestEnemy[[#This Row],[Camp]],tbTestEnemy[[#This Row],[Difficulty]],tbTestEnemy[[#This Row],[IsBoss]],tbTestEnemy[[#This Row],[Hero1]:[Soldier3]])</f>
        <v>5</v>
      </c>
      <c r="P77" s="33">
        <v>1</v>
      </c>
      <c r="R77" s="34"/>
      <c r="S77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9" x14ac:dyDescent="0.3">
      <c r="B78" s="35"/>
      <c r="C78" s="33">
        <v>5</v>
      </c>
      <c r="D78" s="33">
        <v>15</v>
      </c>
      <c r="F78" s="33" t="s">
        <v>151</v>
      </c>
      <c r="G78" s="33" t="s">
        <v>35</v>
      </c>
      <c r="H78" s="33" t="b">
        <v>1</v>
      </c>
      <c r="I78" s="33" t="s">
        <v>378</v>
      </c>
      <c r="J78" s="33" t="s">
        <v>1017</v>
      </c>
      <c r="O78" s="10">
        <f>GET_OK_GROUPS_COUNT(tbTestEnemy[[#This Row],[Camp]],tbTestEnemy[[#This Row],[Difficulty]],tbTestEnemy[[#This Row],[IsBoss]],tbTestEnemy[[#This Row],[Hero1]:[Soldier3]])</f>
        <v>1</v>
      </c>
      <c r="P78" s="33">
        <v>1</v>
      </c>
      <c r="R78" s="34"/>
      <c r="S78" s="10" t="str">
        <f>GET_OK_GROUP(tbTestEnemy[[#This Row],[Camp]],tbTestEnemy[[#This Row],[Difficulty]],tbTestEnemy[[#This Row],[IsBoss]],tbTestEnemy[[#This Row],[Hero1]:[Soldier3]],tbTestEnemy[[#This Row],[GroupID]])</f>
        <v>三国-困难-[B]铁英+强英</v>
      </c>
    </row>
    <row r="79" spans="2:19" x14ac:dyDescent="0.3">
      <c r="B79" s="35" t="s">
        <v>1054</v>
      </c>
      <c r="C79" s="33">
        <v>1</v>
      </c>
      <c r="D79" s="33">
        <v>5</v>
      </c>
      <c r="F79" s="33" t="s">
        <v>151</v>
      </c>
      <c r="G79" s="33" t="s">
        <v>29</v>
      </c>
      <c r="I79" s="33"/>
      <c r="L79" s="33" t="s">
        <v>25</v>
      </c>
      <c r="M79" s="33" t="s">
        <v>28</v>
      </c>
      <c r="O79" s="10">
        <f>GET_OK_GROUPS_COUNT(tbTestEnemy[[#This Row],[Camp]],tbTestEnemy[[#This Row],[Difficulty]],tbTestEnemy[[#This Row],[IsBoss]],tbTestEnemy[[#This Row],[Hero1]:[Soldier3]])</f>
        <v>1</v>
      </c>
      <c r="P79" s="33">
        <v>1</v>
      </c>
      <c r="R79" s="34"/>
      <c r="S79" s="10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0" spans="2:19" x14ac:dyDescent="0.3">
      <c r="B80" s="35"/>
      <c r="C80" s="33">
        <v>2</v>
      </c>
      <c r="D80" s="33">
        <v>10</v>
      </c>
      <c r="F80" s="33" t="s">
        <v>151</v>
      </c>
      <c r="G80" s="33" t="s">
        <v>33</v>
      </c>
      <c r="I80" s="33"/>
      <c r="L80" s="33" t="s">
        <v>25</v>
      </c>
      <c r="M80" s="33" t="s">
        <v>26</v>
      </c>
      <c r="O80" s="10">
        <f>GET_OK_GROUPS_COUNT(tbTestEnemy[[#This Row],[Camp]],tbTestEnemy[[#This Row],[Difficulty]],tbTestEnemy[[#This Row],[IsBoss]],tbTestEnemy[[#This Row],[Hero1]:[Soldier3]])</f>
        <v>1</v>
      </c>
      <c r="P80" s="33">
        <v>1</v>
      </c>
      <c r="R80" s="34"/>
      <c r="S80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1" spans="2:19" x14ac:dyDescent="0.3">
      <c r="B81" s="35"/>
      <c r="C81" s="33">
        <v>3</v>
      </c>
      <c r="D81" s="33">
        <v>10</v>
      </c>
      <c r="F81" s="33" t="s">
        <v>151</v>
      </c>
      <c r="G81" s="33" t="s">
        <v>33</v>
      </c>
      <c r="I81" s="33"/>
      <c r="L81" s="33" t="s">
        <v>25</v>
      </c>
      <c r="M81" s="33" t="s">
        <v>28</v>
      </c>
      <c r="O81" s="10">
        <f>GET_OK_GROUPS_COUNT(tbTestEnemy[[#This Row],[Camp]],tbTestEnemy[[#This Row],[Difficulty]],tbTestEnemy[[#This Row],[IsBoss]],tbTestEnemy[[#This Row],[Hero1]:[Soldier3]])</f>
        <v>1</v>
      </c>
      <c r="P81" s="33">
        <v>1</v>
      </c>
      <c r="R81" s="34"/>
      <c r="S81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2" spans="2:19" x14ac:dyDescent="0.3">
      <c r="B82" s="35"/>
      <c r="C82" s="33">
        <v>4</v>
      </c>
      <c r="D82" s="33">
        <v>15</v>
      </c>
      <c r="F82" s="33" t="s">
        <v>151</v>
      </c>
      <c r="G82" s="33" t="s">
        <v>35</v>
      </c>
      <c r="I82" s="33"/>
      <c r="L82" s="33" t="s">
        <v>25</v>
      </c>
      <c r="M82" s="33" t="s">
        <v>26</v>
      </c>
      <c r="O82" s="10">
        <f>GET_OK_GROUPS_COUNT(tbTestEnemy[[#This Row],[Camp]],tbTestEnemy[[#This Row],[Difficulty]],tbTestEnemy[[#This Row],[IsBoss]],tbTestEnemy[[#This Row],[Hero1]:[Soldier3]])</f>
        <v>5</v>
      </c>
      <c r="P82" s="33">
        <v>1</v>
      </c>
      <c r="R82" s="34"/>
      <c r="S82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3" spans="2:19" x14ac:dyDescent="0.3">
      <c r="B83" s="35"/>
      <c r="C83" s="33">
        <v>5</v>
      </c>
      <c r="D83" s="33">
        <v>20</v>
      </c>
      <c r="F83" s="33" t="s">
        <v>151</v>
      </c>
      <c r="G83" s="33" t="s">
        <v>36</v>
      </c>
      <c r="H83" s="33" t="b">
        <v>1</v>
      </c>
      <c r="I83" s="33" t="s">
        <v>991</v>
      </c>
      <c r="J83" s="33" t="s">
        <v>1017</v>
      </c>
      <c r="O83" s="10">
        <f>GET_OK_GROUPS_COUNT(tbTestEnemy[[#This Row],[Camp]],tbTestEnemy[[#This Row],[Difficulty]],tbTestEnemy[[#This Row],[IsBoss]],tbTestEnemy[[#This Row],[Hero1]:[Soldier3]])</f>
        <v>1</v>
      </c>
      <c r="P83" s="33">
        <v>1</v>
      </c>
      <c r="R83" s="34"/>
      <c r="S83" s="10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84" spans="2:19" x14ac:dyDescent="0.3">
      <c r="B84" s="35" t="s">
        <v>1053</v>
      </c>
      <c r="C84" s="33">
        <v>1</v>
      </c>
      <c r="D84" s="33">
        <v>5</v>
      </c>
      <c r="F84" s="33" t="s">
        <v>151</v>
      </c>
      <c r="G84" s="33" t="s">
        <v>29</v>
      </c>
      <c r="I84" s="33"/>
      <c r="L84" s="33" t="s">
        <v>25</v>
      </c>
      <c r="M84" s="33" t="s">
        <v>28</v>
      </c>
      <c r="O84" s="10">
        <f>GET_OK_GROUPS_COUNT(tbTestEnemy[[#This Row],[Camp]],tbTestEnemy[[#This Row],[Difficulty]],tbTestEnemy[[#This Row],[IsBoss]],tbTestEnemy[[#This Row],[Hero1]:[Soldier3]])</f>
        <v>1</v>
      </c>
      <c r="P84" s="33">
        <v>1</v>
      </c>
      <c r="R84" s="34"/>
      <c r="S84" s="10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5" spans="2:19" x14ac:dyDescent="0.3">
      <c r="B85" s="35"/>
      <c r="C85" s="33">
        <v>2</v>
      </c>
      <c r="D85" s="33">
        <v>10</v>
      </c>
      <c r="F85" s="33" t="s">
        <v>151</v>
      </c>
      <c r="G85" s="33" t="s">
        <v>33</v>
      </c>
      <c r="I85" s="33"/>
      <c r="L85" s="33" t="s">
        <v>25</v>
      </c>
      <c r="M85" s="33" t="s">
        <v>26</v>
      </c>
      <c r="O85" s="10">
        <f>GET_OK_GROUPS_COUNT(tbTestEnemy[[#This Row],[Camp]],tbTestEnemy[[#This Row],[Difficulty]],tbTestEnemy[[#This Row],[IsBoss]],tbTestEnemy[[#This Row],[Hero1]:[Soldier3]])</f>
        <v>1</v>
      </c>
      <c r="P85" s="33">
        <v>1</v>
      </c>
      <c r="R85" s="34"/>
      <c r="S85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6" spans="2:19" x14ac:dyDescent="0.3">
      <c r="B86" s="35"/>
      <c r="C86" s="33">
        <v>3</v>
      </c>
      <c r="D86" s="33">
        <v>15</v>
      </c>
      <c r="F86" s="33" t="s">
        <v>151</v>
      </c>
      <c r="G86" s="33" t="s">
        <v>35</v>
      </c>
      <c r="I86" s="33"/>
      <c r="L86" s="33" t="s">
        <v>25</v>
      </c>
      <c r="M86" s="33" t="s">
        <v>28</v>
      </c>
      <c r="O86" s="10">
        <f>GET_OK_GROUPS_COUNT(tbTestEnemy[[#This Row],[Camp]],tbTestEnemy[[#This Row],[Difficulty]],tbTestEnemy[[#This Row],[IsBoss]],tbTestEnemy[[#This Row],[Hero1]:[Soldier3]])</f>
        <v>5</v>
      </c>
      <c r="P86" s="33">
        <v>1</v>
      </c>
      <c r="R86" s="34"/>
      <c r="S86" s="10" t="str">
        <f>GET_OK_GROUP(tbTestEnemy[[#This Row],[Camp]],tbTestEnemy[[#This Row],[Difficulty]],tbTestEnemy[[#This Row],[IsBoss]],tbTestEnemy[[#This Row],[Hero1]:[Soldier3]],tbTestEnemy[[#This Row],[GroupID]])</f>
        <v>三国-困难-铁兵+法兵</v>
      </c>
    </row>
    <row r="87" spans="2:19" x14ac:dyDescent="0.3">
      <c r="B87" s="35"/>
      <c r="C87" s="33">
        <v>4</v>
      </c>
      <c r="D87" s="33">
        <v>15</v>
      </c>
      <c r="F87" s="33" t="s">
        <v>151</v>
      </c>
      <c r="G87" s="33" t="s">
        <v>35</v>
      </c>
      <c r="H87" s="33" t="b">
        <v>1</v>
      </c>
      <c r="I87" s="33" t="s">
        <v>997</v>
      </c>
      <c r="J87" s="33" t="s">
        <v>1016</v>
      </c>
      <c r="O87" s="10">
        <f>GET_OK_GROUPS_COUNT(tbTestEnemy[[#This Row],[Camp]],tbTestEnemy[[#This Row],[Difficulty]],tbTestEnemy[[#This Row],[IsBoss]],tbTestEnemy[[#This Row],[Hero1]:[Soldier3]])</f>
        <v>1</v>
      </c>
      <c r="P87" s="33">
        <v>1</v>
      </c>
      <c r="R87" s="34"/>
      <c r="S87" s="10" t="str">
        <f>GET_OK_GROUP(tbTestEnemy[[#This Row],[Camp]],tbTestEnemy[[#This Row],[Difficulty]],tbTestEnemy[[#This Row],[IsBoss]],tbTestEnemy[[#This Row],[Hero1]:[Soldier3]],tbTestEnemy[[#This Row],[GroupID]])</f>
        <v>三国-困难-[B]盾英+法英</v>
      </c>
    </row>
    <row r="88" spans="2:19" x14ac:dyDescent="0.3">
      <c r="B88" s="35"/>
      <c r="C88" s="33">
        <v>5</v>
      </c>
      <c r="D88" s="33">
        <v>20</v>
      </c>
      <c r="F88" s="33" t="s">
        <v>151</v>
      </c>
      <c r="G88" s="33" t="s">
        <v>36</v>
      </c>
      <c r="H88" s="33" t="b">
        <v>1</v>
      </c>
      <c r="I88" s="33" t="s">
        <v>376</v>
      </c>
      <c r="J88" s="33" t="s">
        <v>377</v>
      </c>
      <c r="O88" s="10">
        <f>GET_OK_GROUPS_COUNT(tbTestEnemy[[#This Row],[Camp]],tbTestEnemy[[#This Row],[Difficulty]],tbTestEnemy[[#This Row],[IsBoss]],tbTestEnemy[[#This Row],[Hero1]:[Soldier3]])</f>
        <v>1</v>
      </c>
      <c r="P88" s="33">
        <v>1</v>
      </c>
      <c r="R88" s="34"/>
      <c r="S88" s="10" t="str">
        <f>GET_OK_GROUP(tbTestEnemy[[#This Row],[Camp]],tbTestEnemy[[#This Row],[Difficulty]],tbTestEnemy[[#This Row],[IsBoss]],tbTestEnemy[[#This Row],[Hero1]:[Soldier3]],tbTestEnemy[[#This Row],[GroupID]])</f>
        <v>三国-超难-[B]盾英+强英</v>
      </c>
    </row>
    <row r="89" spans="2:19" x14ac:dyDescent="0.3">
      <c r="B89" s="35" t="s">
        <v>1052</v>
      </c>
      <c r="C89" s="33">
        <v>1</v>
      </c>
      <c r="F89" s="33" t="s">
        <v>151</v>
      </c>
      <c r="G89" s="33" t="s">
        <v>1041</v>
      </c>
      <c r="I89" s="33"/>
      <c r="L89" s="33" t="s">
        <v>1018</v>
      </c>
      <c r="O89" s="10">
        <f>GET_OK_GROUPS_COUNT(tbTestEnemy[[#This Row],[Camp]],tbTestEnemy[[#This Row],[Difficulty]],tbTestEnemy[[#This Row],[IsBoss]],tbTestEnemy[[#This Row],[Hero1]:[Soldier3]])</f>
        <v>4</v>
      </c>
      <c r="P89" s="34">
        <v>1</v>
      </c>
      <c r="R89" s="34"/>
      <c r="S89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0" spans="2:19" x14ac:dyDescent="0.3">
      <c r="B90" s="35"/>
      <c r="C90" s="33">
        <v>2</v>
      </c>
      <c r="F90" s="33" t="s">
        <v>151</v>
      </c>
      <c r="G90" s="33" t="s">
        <v>1019</v>
      </c>
      <c r="I90" s="33"/>
      <c r="L90" s="33" t="s">
        <v>1013</v>
      </c>
      <c r="M90" s="33" t="s">
        <v>1021</v>
      </c>
      <c r="O90" s="10">
        <f>GET_OK_GROUPS_COUNT(tbTestEnemy[[#This Row],[Camp]],tbTestEnemy[[#This Row],[Difficulty]],tbTestEnemy[[#This Row],[IsBoss]],tbTestEnemy[[#This Row],[Hero1]:[Soldier3]])</f>
        <v>1</v>
      </c>
      <c r="P90" s="33">
        <v>1</v>
      </c>
      <c r="R90" s="34"/>
      <c r="S90" s="10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1" spans="2:19" x14ac:dyDescent="0.3">
      <c r="B91" s="35"/>
      <c r="C91" s="33">
        <v>3</v>
      </c>
      <c r="F91" s="33" t="s">
        <v>151</v>
      </c>
      <c r="G91" s="33" t="s">
        <v>1014</v>
      </c>
      <c r="I91" s="33" t="s">
        <v>991</v>
      </c>
      <c r="J91" s="33" t="s">
        <v>1017</v>
      </c>
      <c r="O91" s="10">
        <f>GET_OK_GROUPS_COUNT(tbTestEnemy[[#This Row],[Camp]],tbTestEnemy[[#This Row],[Difficulty]],tbTestEnemy[[#This Row],[IsBoss]],tbTestEnemy[[#This Row],[Hero1]:[Soldier3]])</f>
        <v>1</v>
      </c>
      <c r="P91" s="34">
        <v>1</v>
      </c>
      <c r="R91" s="34"/>
      <c r="S91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2" spans="2:19" x14ac:dyDescent="0.3">
      <c r="B92" s="35"/>
      <c r="C92" s="33">
        <v>4</v>
      </c>
      <c r="F92" s="33" t="s">
        <v>151</v>
      </c>
      <c r="G92" s="33" t="s">
        <v>1041</v>
      </c>
      <c r="I92" s="33"/>
      <c r="L92" s="33" t="s">
        <v>1018</v>
      </c>
      <c r="O92" s="10">
        <f>GET_OK_GROUPS_COUNT(tbTestEnemy[[#This Row],[Camp]],tbTestEnemy[[#This Row],[Difficulty]],tbTestEnemy[[#This Row],[IsBoss]],tbTestEnemy[[#This Row],[Hero1]:[Soldier3]])</f>
        <v>4</v>
      </c>
      <c r="P92" s="33">
        <v>1</v>
      </c>
      <c r="R92" s="34"/>
      <c r="S92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3" spans="2:19" x14ac:dyDescent="0.3">
      <c r="B93" s="35" t="s">
        <v>1051</v>
      </c>
      <c r="C93" s="33">
        <v>1</v>
      </c>
      <c r="F93" s="33" t="s">
        <v>151</v>
      </c>
      <c r="G93" s="33" t="s">
        <v>1019</v>
      </c>
      <c r="I93" s="33"/>
      <c r="L93" s="33" t="s">
        <v>1013</v>
      </c>
      <c r="M93" s="33" t="s">
        <v>1021</v>
      </c>
      <c r="O93" s="10">
        <f>GET_OK_GROUPS_COUNT(tbTestEnemy[[#This Row],[Camp]],tbTestEnemy[[#This Row],[Difficulty]],tbTestEnemy[[#This Row],[IsBoss]],tbTestEnemy[[#This Row],[Hero1]:[Soldier3]])</f>
        <v>1</v>
      </c>
      <c r="P93" s="34">
        <v>1</v>
      </c>
      <c r="R93" s="34"/>
      <c r="S93" s="10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4" spans="2:19" x14ac:dyDescent="0.3">
      <c r="B94" s="35"/>
      <c r="C94" s="33">
        <v>2</v>
      </c>
      <c r="F94" s="33" t="s">
        <v>151</v>
      </c>
      <c r="G94" s="33" t="s">
        <v>1019</v>
      </c>
      <c r="I94" s="33"/>
      <c r="L94" s="33" t="s">
        <v>1018</v>
      </c>
      <c r="O94" s="10">
        <f>GET_OK_GROUPS_COUNT(tbTestEnemy[[#This Row],[Camp]],tbTestEnemy[[#This Row],[Difficulty]],tbTestEnemy[[#This Row],[IsBoss]],tbTestEnemy[[#This Row],[Hero1]:[Soldier3]])</f>
        <v>5</v>
      </c>
      <c r="P94" s="33">
        <v>1</v>
      </c>
      <c r="R94" s="34"/>
      <c r="S94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5" spans="2:19" x14ac:dyDescent="0.3">
      <c r="B95" s="35"/>
      <c r="C95" s="33">
        <v>3</v>
      </c>
      <c r="F95" s="33" t="s">
        <v>151</v>
      </c>
      <c r="G95" s="33" t="s">
        <v>1019</v>
      </c>
      <c r="I95" s="33"/>
      <c r="L95" s="33" t="s">
        <v>1018</v>
      </c>
      <c r="M95" s="33" t="s">
        <v>1012</v>
      </c>
      <c r="O95" s="10">
        <f>GET_OK_GROUPS_COUNT(tbTestEnemy[[#This Row],[Camp]],tbTestEnemy[[#This Row],[Difficulty]],tbTestEnemy[[#This Row],[IsBoss]],tbTestEnemy[[#This Row],[Hero1]:[Soldier3]])</f>
        <v>1</v>
      </c>
      <c r="P95" s="34">
        <v>1</v>
      </c>
      <c r="R95" s="34"/>
      <c r="S95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96" spans="2:19" x14ac:dyDescent="0.3">
      <c r="B96" s="35"/>
      <c r="C96" s="33">
        <v>4</v>
      </c>
      <c r="F96" s="33" t="s">
        <v>151</v>
      </c>
      <c r="G96" s="33" t="s">
        <v>1019</v>
      </c>
      <c r="I96" s="33"/>
      <c r="L96" s="33" t="s">
        <v>1018</v>
      </c>
      <c r="O96" s="10">
        <f>GET_OK_GROUPS_COUNT(tbTestEnemy[[#This Row],[Camp]],tbTestEnemy[[#This Row],[Difficulty]],tbTestEnemy[[#This Row],[IsBoss]],tbTestEnemy[[#This Row],[Hero1]:[Soldier3]])</f>
        <v>5</v>
      </c>
      <c r="P96" s="33">
        <v>1</v>
      </c>
      <c r="R96" s="34"/>
      <c r="S96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7" spans="2:19" x14ac:dyDescent="0.3">
      <c r="B97" s="35" t="s">
        <v>1050</v>
      </c>
      <c r="C97" s="33">
        <v>1</v>
      </c>
      <c r="F97" s="33" t="s">
        <v>151</v>
      </c>
      <c r="G97" s="33" t="s">
        <v>1044</v>
      </c>
      <c r="I97" s="33"/>
      <c r="L97" s="33" t="s">
        <v>1048</v>
      </c>
      <c r="M97" s="33" t="s">
        <v>1047</v>
      </c>
      <c r="O97" s="10">
        <f>GET_OK_GROUPS_COUNT(tbTestEnemy[[#This Row],[Camp]],tbTestEnemy[[#This Row],[Difficulty]],tbTestEnemy[[#This Row],[IsBoss]],tbTestEnemy[[#This Row],[Hero1]:[Soldier3]])</f>
        <v>1</v>
      </c>
      <c r="P97" s="34">
        <v>1</v>
      </c>
      <c r="R97" s="34"/>
      <c r="S97" s="10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8" spans="2:19" x14ac:dyDescent="0.3">
      <c r="B98" s="35"/>
      <c r="C98" s="33">
        <v>2</v>
      </c>
      <c r="F98" s="33" t="s">
        <v>151</v>
      </c>
      <c r="G98" s="33" t="s">
        <v>1046</v>
      </c>
      <c r="I98" s="33"/>
      <c r="L98" s="33" t="s">
        <v>1043</v>
      </c>
      <c r="M98" s="33" t="s">
        <v>1045</v>
      </c>
      <c r="O98" s="10">
        <f>GET_OK_GROUPS_COUNT(tbTestEnemy[[#This Row],[Camp]],tbTestEnemy[[#This Row],[Difficulty]],tbTestEnemy[[#This Row],[IsBoss]],tbTestEnemy[[#This Row],[Hero1]:[Soldier3]])</f>
        <v>5</v>
      </c>
      <c r="P98" s="33">
        <v>1</v>
      </c>
      <c r="R98" s="34"/>
      <c r="S98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99" spans="2:19" x14ac:dyDescent="0.3">
      <c r="B99" s="35"/>
      <c r="C99" s="33">
        <v>3</v>
      </c>
      <c r="F99" s="33" t="s">
        <v>151</v>
      </c>
      <c r="G99" s="33" t="s">
        <v>1044</v>
      </c>
      <c r="I99" s="33"/>
      <c r="L99" s="33" t="s">
        <v>1043</v>
      </c>
      <c r="O99" s="10">
        <f>GET_OK_GROUPS_COUNT(tbTestEnemy[[#This Row],[Camp]],tbTestEnemy[[#This Row],[Difficulty]],tbTestEnemy[[#This Row],[IsBoss]],tbTestEnemy[[#This Row],[Hero1]:[Soldier3]])</f>
        <v>5</v>
      </c>
      <c r="P99" s="34">
        <v>1</v>
      </c>
      <c r="R99" s="34"/>
      <c r="S99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0" spans="2:19" x14ac:dyDescent="0.3">
      <c r="B100" s="35"/>
      <c r="C100" s="33">
        <v>4</v>
      </c>
      <c r="F100" s="33" t="s">
        <v>151</v>
      </c>
      <c r="G100" s="33" t="s">
        <v>1044</v>
      </c>
      <c r="I100" s="33"/>
      <c r="L100" s="33" t="s">
        <v>1043</v>
      </c>
      <c r="M100" s="33" t="s">
        <v>1045</v>
      </c>
      <c r="O100" s="10">
        <f>GET_OK_GROUPS_COUNT(tbTestEnemy[[#This Row],[Camp]],tbTestEnemy[[#This Row],[Difficulty]],tbTestEnemy[[#This Row],[IsBoss]],tbTestEnemy[[#This Row],[Hero1]:[Soldier3]])</f>
        <v>1</v>
      </c>
      <c r="P100" s="33">
        <v>1</v>
      </c>
      <c r="R100" s="34"/>
      <c r="S100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01" spans="2:19" x14ac:dyDescent="0.3">
      <c r="B101" s="35" t="s">
        <v>1049</v>
      </c>
      <c r="C101" s="33">
        <v>1</v>
      </c>
      <c r="F101" s="33" t="s">
        <v>151</v>
      </c>
      <c r="G101" s="33" t="s">
        <v>1044</v>
      </c>
      <c r="I101" s="33"/>
      <c r="L101" s="33" t="s">
        <v>1048</v>
      </c>
      <c r="M101" s="33" t="s">
        <v>1047</v>
      </c>
      <c r="O101" s="10">
        <f>GET_OK_GROUPS_COUNT(tbTestEnemy[[#This Row],[Camp]],tbTestEnemy[[#This Row],[Difficulty]],tbTestEnemy[[#This Row],[IsBoss]],tbTestEnemy[[#This Row],[Hero1]:[Soldier3]])</f>
        <v>1</v>
      </c>
      <c r="P101" s="34">
        <v>1</v>
      </c>
      <c r="R101" s="34"/>
      <c r="S101" s="10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2" spans="2:19" x14ac:dyDescent="0.3">
      <c r="B102" s="35"/>
      <c r="C102" s="33">
        <v>2</v>
      </c>
      <c r="F102" s="33" t="s">
        <v>151</v>
      </c>
      <c r="G102" s="33" t="s">
        <v>1046</v>
      </c>
      <c r="I102" s="33"/>
      <c r="L102" s="33" t="s">
        <v>1043</v>
      </c>
      <c r="M102" s="33" t="s">
        <v>1045</v>
      </c>
      <c r="O102" s="10">
        <f>GET_OK_GROUPS_COUNT(tbTestEnemy[[#This Row],[Camp]],tbTestEnemy[[#This Row],[Difficulty]],tbTestEnemy[[#This Row],[IsBoss]],tbTestEnemy[[#This Row],[Hero1]:[Soldier3]])</f>
        <v>5</v>
      </c>
      <c r="P102" s="33">
        <v>1</v>
      </c>
      <c r="R102" s="34"/>
      <c r="S102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3" spans="2:19" x14ac:dyDescent="0.3">
      <c r="B103" s="35"/>
      <c r="C103" s="33">
        <v>3</v>
      </c>
      <c r="F103" s="33" t="s">
        <v>151</v>
      </c>
      <c r="G103" s="33" t="s">
        <v>1046</v>
      </c>
      <c r="I103" s="33"/>
      <c r="L103" s="33" t="s">
        <v>1043</v>
      </c>
      <c r="M103" s="33" t="s">
        <v>1045</v>
      </c>
      <c r="O103" s="10">
        <f>GET_OK_GROUPS_COUNT(tbTestEnemy[[#This Row],[Camp]],tbTestEnemy[[#This Row],[Difficulty]],tbTestEnemy[[#This Row],[IsBoss]],tbTestEnemy[[#This Row],[Hero1]:[Soldier3]])</f>
        <v>5</v>
      </c>
      <c r="P103" s="34">
        <v>1</v>
      </c>
      <c r="R103" s="34"/>
      <c r="S103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4" spans="2:19" x14ac:dyDescent="0.3">
      <c r="B104" s="35"/>
      <c r="C104" s="33">
        <v>4</v>
      </c>
      <c r="F104" s="33" t="s">
        <v>151</v>
      </c>
      <c r="G104" s="33" t="s">
        <v>1044</v>
      </c>
      <c r="I104" s="33"/>
      <c r="L104" s="33" t="s">
        <v>1043</v>
      </c>
      <c r="O104" s="10">
        <f>GET_OK_GROUPS_COUNT(tbTestEnemy[[#This Row],[Camp]],tbTestEnemy[[#This Row],[Difficulty]],tbTestEnemy[[#This Row],[IsBoss]],tbTestEnemy[[#This Row],[Hero1]:[Soldier3]])</f>
        <v>5</v>
      </c>
      <c r="P104" s="33">
        <v>1</v>
      </c>
      <c r="R104" s="34"/>
      <c r="S104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5" spans="2:19" x14ac:dyDescent="0.3">
      <c r="B105" s="35" t="s">
        <v>1042</v>
      </c>
      <c r="C105" s="33">
        <v>1</v>
      </c>
      <c r="F105" s="33" t="s">
        <v>151</v>
      </c>
      <c r="G105" s="33" t="s">
        <v>1041</v>
      </c>
      <c r="I105" s="33"/>
      <c r="L105" s="33" t="s">
        <v>1018</v>
      </c>
      <c r="O105" s="10">
        <f>GET_OK_GROUPS_COUNT(tbTestEnemy[[#This Row],[Camp]],tbTestEnemy[[#This Row],[Difficulty]],tbTestEnemy[[#This Row],[IsBoss]],tbTestEnemy[[#This Row],[Hero1]:[Soldier3]])</f>
        <v>4</v>
      </c>
      <c r="P105" s="34">
        <v>1</v>
      </c>
      <c r="R105" s="34"/>
      <c r="S105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06" spans="2:19" x14ac:dyDescent="0.3">
      <c r="B106" s="35"/>
      <c r="C106" s="33">
        <v>2</v>
      </c>
      <c r="F106" s="33" t="s">
        <v>151</v>
      </c>
      <c r="G106" s="33" t="s">
        <v>1019</v>
      </c>
      <c r="I106" s="33" t="s">
        <v>991</v>
      </c>
      <c r="O106" s="10">
        <f>GET_OK_GROUPS_COUNT(tbTestEnemy[[#This Row],[Camp]],tbTestEnemy[[#This Row],[Difficulty]],tbTestEnemy[[#This Row],[IsBoss]],tbTestEnemy[[#This Row],[Hero1]:[Soldier3]])</f>
        <v>5</v>
      </c>
      <c r="P106" s="33">
        <v>1</v>
      </c>
      <c r="R106" s="34"/>
      <c r="S106" s="10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07" spans="2:19" x14ac:dyDescent="0.3">
      <c r="B107" s="35"/>
      <c r="C107" s="33">
        <v>3</v>
      </c>
      <c r="F107" s="33" t="s">
        <v>151</v>
      </c>
      <c r="G107" s="33" t="s">
        <v>1014</v>
      </c>
      <c r="I107" s="33" t="s">
        <v>991</v>
      </c>
      <c r="J107" s="33" t="s">
        <v>1017</v>
      </c>
      <c r="O107" s="10">
        <f>GET_OK_GROUPS_COUNT(tbTestEnemy[[#This Row],[Camp]],tbTestEnemy[[#This Row],[Difficulty]],tbTestEnemy[[#This Row],[IsBoss]],tbTestEnemy[[#This Row],[Hero1]:[Soldier3]])</f>
        <v>1</v>
      </c>
      <c r="P107" s="34">
        <v>1</v>
      </c>
      <c r="R107" s="34"/>
      <c r="S107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8" spans="2:19" x14ac:dyDescent="0.3">
      <c r="B108" s="35" t="s">
        <v>1040</v>
      </c>
      <c r="C108" s="33">
        <v>1</v>
      </c>
      <c r="F108" s="33" t="s">
        <v>151</v>
      </c>
      <c r="G108" s="33" t="s">
        <v>1019</v>
      </c>
      <c r="I108" s="33"/>
      <c r="L108" s="33" t="s">
        <v>1013</v>
      </c>
      <c r="M108" s="33" t="s">
        <v>1021</v>
      </c>
      <c r="O108" s="10">
        <f>GET_OK_GROUPS_COUNT(tbTestEnemy[[#This Row],[Camp]],tbTestEnemy[[#This Row],[Difficulty]],tbTestEnemy[[#This Row],[IsBoss]],tbTestEnemy[[#This Row],[Hero1]:[Soldier3]])</f>
        <v>1</v>
      </c>
      <c r="P108" s="33">
        <v>1</v>
      </c>
      <c r="R108" s="34"/>
      <c r="S108" s="10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9" spans="2:19" x14ac:dyDescent="0.3">
      <c r="B109" s="35"/>
      <c r="C109" s="33">
        <v>2</v>
      </c>
      <c r="F109" s="33" t="s">
        <v>151</v>
      </c>
      <c r="G109" s="33" t="s">
        <v>1019</v>
      </c>
      <c r="I109" s="33" t="s">
        <v>991</v>
      </c>
      <c r="O109" s="10">
        <f>GET_OK_GROUPS_COUNT(tbTestEnemy[[#This Row],[Camp]],tbTestEnemy[[#This Row],[Difficulty]],tbTestEnemy[[#This Row],[IsBoss]],tbTestEnemy[[#This Row],[Hero1]:[Soldier3]])</f>
        <v>5</v>
      </c>
      <c r="P109" s="34">
        <v>1</v>
      </c>
      <c r="R109" s="34"/>
      <c r="S109" s="10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0" spans="2:19" x14ac:dyDescent="0.3">
      <c r="B110" s="35"/>
      <c r="C110" s="33">
        <v>3</v>
      </c>
      <c r="F110" s="33" t="s">
        <v>151</v>
      </c>
      <c r="G110" s="33" t="s">
        <v>1014</v>
      </c>
      <c r="I110" s="33" t="s">
        <v>991</v>
      </c>
      <c r="J110" s="33" t="s">
        <v>1017</v>
      </c>
      <c r="O110" s="10">
        <f>GET_OK_GROUPS_COUNT(tbTestEnemy[[#This Row],[Camp]],tbTestEnemy[[#This Row],[Difficulty]],tbTestEnemy[[#This Row],[IsBoss]],tbTestEnemy[[#This Row],[Hero1]:[Soldier3]])</f>
        <v>1</v>
      </c>
      <c r="P110" s="33">
        <v>1</v>
      </c>
      <c r="R110" s="34"/>
      <c r="S110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9" x14ac:dyDescent="0.3">
      <c r="B111" s="35" t="s">
        <v>1039</v>
      </c>
      <c r="C111" s="33">
        <v>1</v>
      </c>
      <c r="F111" s="33" t="s">
        <v>151</v>
      </c>
      <c r="G111" s="33" t="s">
        <v>1019</v>
      </c>
      <c r="I111" s="33" t="s">
        <v>991</v>
      </c>
      <c r="O111" s="10">
        <f>GET_OK_GROUPS_COUNT(tbTestEnemy[[#This Row],[Camp]],tbTestEnemy[[#This Row],[Difficulty]],tbTestEnemy[[#This Row],[IsBoss]],tbTestEnemy[[#This Row],[Hero1]:[Soldier3]])</f>
        <v>5</v>
      </c>
      <c r="P111" s="34">
        <v>1</v>
      </c>
      <c r="R111" s="34"/>
      <c r="S111" s="10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2" spans="2:19" x14ac:dyDescent="0.3">
      <c r="B112" s="35"/>
      <c r="C112" s="33">
        <v>2</v>
      </c>
      <c r="F112" s="33" t="s">
        <v>151</v>
      </c>
      <c r="G112" s="33" t="s">
        <v>1014</v>
      </c>
      <c r="I112" s="33" t="s">
        <v>991</v>
      </c>
      <c r="J112" s="33" t="s">
        <v>1017</v>
      </c>
      <c r="O112" s="10">
        <f>GET_OK_GROUPS_COUNT(tbTestEnemy[[#This Row],[Camp]],tbTestEnemy[[#This Row],[Difficulty]],tbTestEnemy[[#This Row],[IsBoss]],tbTestEnemy[[#This Row],[Hero1]:[Soldier3]])</f>
        <v>1</v>
      </c>
      <c r="P112" s="33">
        <v>1</v>
      </c>
      <c r="R112" s="34"/>
      <c r="S112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3" spans="2:19" x14ac:dyDescent="0.3">
      <c r="B113" s="35"/>
      <c r="C113" s="33">
        <v>3</v>
      </c>
      <c r="F113" s="33" t="s">
        <v>151</v>
      </c>
      <c r="G113" s="33" t="s">
        <v>1000</v>
      </c>
      <c r="I113" s="33" t="s">
        <v>991</v>
      </c>
      <c r="J113" s="33" t="s">
        <v>1016</v>
      </c>
      <c r="K113" s="33" t="s">
        <v>996</v>
      </c>
      <c r="O113" s="10">
        <f>GET_OK_GROUPS_COUNT(tbTestEnemy[[#This Row],[Camp]],tbTestEnemy[[#This Row],[Difficulty]],tbTestEnemy[[#This Row],[IsBoss]],tbTestEnemy[[#This Row],[Hero1]:[Soldier3]])</f>
        <v>1</v>
      </c>
      <c r="P113" s="34">
        <v>1</v>
      </c>
      <c r="R113" s="34"/>
      <c r="S113" s="10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114" spans="2:19" x14ac:dyDescent="0.3">
      <c r="B114" s="35" t="s">
        <v>1038</v>
      </c>
      <c r="C114" s="33">
        <v>1</v>
      </c>
      <c r="F114" s="33" t="s">
        <v>151</v>
      </c>
      <c r="G114" s="33" t="s">
        <v>1014</v>
      </c>
      <c r="I114" s="33" t="s">
        <v>1017</v>
      </c>
      <c r="O114" s="10">
        <f>GET_OK_GROUPS_COUNT(tbTestEnemy[[#This Row],[Camp]],tbTestEnemy[[#This Row],[Difficulty]],tbTestEnemy[[#This Row],[IsBoss]],tbTestEnemy[[#This Row],[Hero1]:[Soldier3]])</f>
        <v>3</v>
      </c>
      <c r="P114" s="33">
        <v>1</v>
      </c>
      <c r="R114" s="34"/>
      <c r="S114" s="10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115" spans="2:19" x14ac:dyDescent="0.3">
      <c r="B115" s="35"/>
      <c r="C115" s="33">
        <v>2</v>
      </c>
      <c r="F115" s="33" t="s">
        <v>151</v>
      </c>
      <c r="G115" s="33" t="s">
        <v>1014</v>
      </c>
      <c r="I115" s="33" t="s">
        <v>991</v>
      </c>
      <c r="J115" s="33" t="s">
        <v>1017</v>
      </c>
      <c r="O115" s="10">
        <f>GET_OK_GROUPS_COUNT(tbTestEnemy[[#This Row],[Camp]],tbTestEnemy[[#This Row],[Difficulty]],tbTestEnemy[[#This Row],[IsBoss]],tbTestEnemy[[#This Row],[Hero1]:[Soldier3]])</f>
        <v>1</v>
      </c>
      <c r="P115" s="34">
        <v>1</v>
      </c>
      <c r="R115" s="34"/>
      <c r="S115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9" x14ac:dyDescent="0.3">
      <c r="B116" s="35"/>
      <c r="C116" s="33">
        <v>3</v>
      </c>
      <c r="F116" s="33" t="s">
        <v>151</v>
      </c>
      <c r="G116" s="33" t="s">
        <v>1000</v>
      </c>
      <c r="I116" s="33" t="s">
        <v>997</v>
      </c>
      <c r="J116" s="33" t="s">
        <v>1017</v>
      </c>
      <c r="O116" s="10">
        <f>GET_OK_GROUPS_COUNT(tbTestEnemy[[#This Row],[Camp]],tbTestEnemy[[#This Row],[Difficulty]],tbTestEnemy[[#This Row],[IsBoss]],tbTestEnemy[[#This Row],[Hero1]:[Soldier3]])</f>
        <v>1</v>
      </c>
      <c r="P116" s="33">
        <v>1</v>
      </c>
      <c r="R116" s="34"/>
      <c r="S116" s="10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17" spans="2:19" x14ac:dyDescent="0.3">
      <c r="B117" s="35" t="s">
        <v>1037</v>
      </c>
      <c r="C117" s="33">
        <v>1</v>
      </c>
      <c r="F117" s="33" t="s">
        <v>151</v>
      </c>
      <c r="G117" s="33" t="s">
        <v>1019</v>
      </c>
      <c r="I117" s="33"/>
      <c r="L117" s="33" t="s">
        <v>34</v>
      </c>
      <c r="M117" s="33" t="s">
        <v>1012</v>
      </c>
      <c r="O117" s="10">
        <f>GET_OK_GROUPS_COUNT(tbTestEnemy[[#This Row],[Camp]],tbTestEnemy[[#This Row],[Difficulty]],tbTestEnemy[[#This Row],[IsBoss]],tbTestEnemy[[#This Row],[Hero1]:[Soldier3]])</f>
        <v>1</v>
      </c>
      <c r="P117" s="33">
        <v>1</v>
      </c>
      <c r="R117" s="34"/>
      <c r="S117" s="10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18" spans="2:19" x14ac:dyDescent="0.3">
      <c r="B118" s="35"/>
      <c r="C118" s="33">
        <v>2</v>
      </c>
      <c r="F118" s="33" t="s">
        <v>151</v>
      </c>
      <c r="G118" s="33" t="s">
        <v>1014</v>
      </c>
      <c r="H118" s="33" t="b">
        <v>1</v>
      </c>
      <c r="I118" s="33" t="s">
        <v>997</v>
      </c>
      <c r="L118" s="33" t="s">
        <v>1012</v>
      </c>
      <c r="O118" s="10">
        <f>GET_OK_GROUPS_COUNT(tbTestEnemy[[#This Row],[Camp]],tbTestEnemy[[#This Row],[Difficulty]],tbTestEnemy[[#This Row],[IsBoss]],tbTestEnemy[[#This Row],[Hero1]:[Soldier3]])</f>
        <v>1</v>
      </c>
      <c r="P118" s="33">
        <v>1</v>
      </c>
      <c r="R118" s="34"/>
      <c r="S118" s="10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19" spans="2:19" x14ac:dyDescent="0.3">
      <c r="B119" s="35" t="s">
        <v>1036</v>
      </c>
      <c r="C119" s="33">
        <v>1</v>
      </c>
      <c r="F119" s="33" t="s">
        <v>151</v>
      </c>
      <c r="G119" s="33" t="s">
        <v>1014</v>
      </c>
      <c r="H119" s="33" t="b">
        <v>1</v>
      </c>
      <c r="I119" s="33" t="s">
        <v>996</v>
      </c>
      <c r="J119" s="33" t="s">
        <v>996</v>
      </c>
      <c r="O119" s="10">
        <f>GET_OK_GROUPS_COUNT(tbTestEnemy[[#This Row],[Camp]],tbTestEnemy[[#This Row],[Difficulty]],tbTestEnemy[[#This Row],[IsBoss]],tbTestEnemy[[#This Row],[Hero1]:[Soldier3]])</f>
        <v>1</v>
      </c>
      <c r="P119" s="34">
        <v>1</v>
      </c>
      <c r="R119" s="34"/>
      <c r="S119" s="10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0" spans="2:19" x14ac:dyDescent="0.3">
      <c r="B120" s="35"/>
      <c r="C120" s="33">
        <v>2</v>
      </c>
      <c r="F120" s="33" t="s">
        <v>151</v>
      </c>
      <c r="G120" s="33" t="s">
        <v>1014</v>
      </c>
      <c r="H120" s="33" t="b">
        <v>1</v>
      </c>
      <c r="I120" s="33" t="s">
        <v>997</v>
      </c>
      <c r="L120" s="33" t="s">
        <v>1012</v>
      </c>
      <c r="O120" s="10">
        <f>GET_OK_GROUPS_COUNT(tbTestEnemy[[#This Row],[Camp]],tbTestEnemy[[#This Row],[Difficulty]],tbTestEnemy[[#This Row],[IsBoss]],tbTestEnemy[[#This Row],[Hero1]:[Soldier3]])</f>
        <v>1</v>
      </c>
      <c r="P120" s="33">
        <v>1</v>
      </c>
      <c r="R120" s="34"/>
      <c r="S120" s="10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21" spans="2:19" x14ac:dyDescent="0.3">
      <c r="B121" s="35" t="s">
        <v>1035</v>
      </c>
      <c r="C121" s="33">
        <v>1</v>
      </c>
      <c r="F121" s="33" t="s">
        <v>151</v>
      </c>
      <c r="G121" s="33" t="s">
        <v>1014</v>
      </c>
      <c r="H121" s="33" t="b">
        <v>1</v>
      </c>
      <c r="I121" s="33" t="s">
        <v>1016</v>
      </c>
      <c r="L121" s="33" t="s">
        <v>1018</v>
      </c>
      <c r="O121" s="10">
        <f>GET_OK_GROUPS_COUNT(tbTestEnemy[[#This Row],[Camp]],tbTestEnemy[[#This Row],[Difficulty]],tbTestEnemy[[#This Row],[IsBoss]],tbTestEnemy[[#This Row],[Hero1]:[Soldier3]])</f>
        <v>1</v>
      </c>
      <c r="P121" s="34">
        <v>1</v>
      </c>
      <c r="R121" s="34"/>
      <c r="S121" s="10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22" spans="2:19" x14ac:dyDescent="0.3">
      <c r="B122" s="35"/>
      <c r="C122" s="33">
        <v>2</v>
      </c>
      <c r="F122" s="33" t="s">
        <v>151</v>
      </c>
      <c r="G122" s="33" t="s">
        <v>1000</v>
      </c>
      <c r="H122" s="33" t="b">
        <v>1</v>
      </c>
      <c r="I122" s="33" t="s">
        <v>991</v>
      </c>
      <c r="J122" s="33" t="s">
        <v>996</v>
      </c>
      <c r="O122" s="10">
        <f>GET_OK_GROUPS_COUNT(tbTestEnemy[[#This Row],[Camp]],tbTestEnemy[[#This Row],[Difficulty]],tbTestEnemy[[#This Row],[IsBoss]],tbTestEnemy[[#This Row],[Hero1]:[Soldier3]])</f>
        <v>1</v>
      </c>
      <c r="P122" s="33">
        <v>1</v>
      </c>
      <c r="R122" s="34"/>
      <c r="S122" s="10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3" spans="2:19" x14ac:dyDescent="0.3">
      <c r="B123" s="35" t="s">
        <v>1034</v>
      </c>
      <c r="C123" s="33">
        <v>1</v>
      </c>
      <c r="F123" s="33" t="s">
        <v>151</v>
      </c>
      <c r="G123" s="33" t="s">
        <v>1000</v>
      </c>
      <c r="H123" s="33" t="b">
        <v>1</v>
      </c>
      <c r="I123" s="33" t="s">
        <v>991</v>
      </c>
      <c r="J123" s="33" t="s">
        <v>996</v>
      </c>
      <c r="O123" s="10">
        <f>GET_OK_GROUPS_COUNT(tbTestEnemy[[#This Row],[Camp]],tbTestEnemy[[#This Row],[Difficulty]],tbTestEnemy[[#This Row],[IsBoss]],tbTestEnemy[[#This Row],[Hero1]:[Soldier3]])</f>
        <v>1</v>
      </c>
      <c r="P123" s="33">
        <v>1</v>
      </c>
      <c r="R123" s="34"/>
      <c r="S123" s="10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4" spans="2:19" x14ac:dyDescent="0.3">
      <c r="B124" s="35"/>
      <c r="C124" s="33">
        <v>2</v>
      </c>
      <c r="F124" s="33" t="s">
        <v>151</v>
      </c>
      <c r="G124" s="33" t="s">
        <v>998</v>
      </c>
      <c r="H124" s="33" t="b">
        <v>1</v>
      </c>
      <c r="I124" s="33" t="s">
        <v>991</v>
      </c>
      <c r="J124" s="33" t="s">
        <v>996</v>
      </c>
      <c r="K124" s="33" t="s">
        <v>1024</v>
      </c>
      <c r="O124" s="10">
        <f>GET_OK_GROUPS_COUNT(tbTestEnemy[[#This Row],[Camp]],tbTestEnemy[[#This Row],[Difficulty]],tbTestEnemy[[#This Row],[IsBoss]],tbTestEnemy[[#This Row],[Hero1]:[Soldier3]])</f>
        <v>1</v>
      </c>
      <c r="P124" s="33">
        <v>1</v>
      </c>
      <c r="R124" s="34"/>
      <c r="S124" s="10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5" spans="2:19" x14ac:dyDescent="0.3">
      <c r="B125" s="35" t="s">
        <v>1033</v>
      </c>
      <c r="C125" s="33">
        <v>1</v>
      </c>
      <c r="F125" s="33" t="s">
        <v>151</v>
      </c>
      <c r="G125" s="33" t="s">
        <v>1019</v>
      </c>
      <c r="I125" s="33" t="s">
        <v>997</v>
      </c>
      <c r="L125" s="33" t="s">
        <v>1012</v>
      </c>
      <c r="O125" s="10">
        <f>GET_OK_GROUPS_COUNT(tbTestEnemy[[#This Row],[Camp]],tbTestEnemy[[#This Row],[Difficulty]],tbTestEnemy[[#This Row],[IsBoss]],tbTestEnemy[[#This Row],[Hero1]:[Soldier3]])</f>
        <v>1</v>
      </c>
      <c r="P125" s="33">
        <v>1</v>
      </c>
      <c r="R125" s="34"/>
      <c r="S125" s="10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26" spans="2:19" x14ac:dyDescent="0.3">
      <c r="B126" s="35" t="s">
        <v>1032</v>
      </c>
      <c r="C126" s="33">
        <v>1</v>
      </c>
      <c r="F126" s="33" t="s">
        <v>151</v>
      </c>
      <c r="G126" s="33" t="s">
        <v>1014</v>
      </c>
      <c r="H126" s="33" t="b">
        <v>1</v>
      </c>
      <c r="I126" s="33" t="s">
        <v>997</v>
      </c>
      <c r="J126" s="33" t="s">
        <v>1024</v>
      </c>
      <c r="O126" s="10">
        <f>GET_OK_GROUPS_COUNT(tbTestEnemy[[#This Row],[Camp]],tbTestEnemy[[#This Row],[Difficulty]],tbTestEnemy[[#This Row],[IsBoss]],tbTestEnemy[[#This Row],[Hero1]:[Soldier3]])</f>
        <v>1</v>
      </c>
      <c r="P126" s="34">
        <v>1</v>
      </c>
      <c r="R126" s="34"/>
      <c r="S126" s="10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7" spans="2:19" x14ac:dyDescent="0.3">
      <c r="B127" s="35" t="s">
        <v>1031</v>
      </c>
      <c r="C127" s="33">
        <v>1</v>
      </c>
      <c r="F127" s="33" t="s">
        <v>151</v>
      </c>
      <c r="G127" s="33" t="s">
        <v>1000</v>
      </c>
      <c r="H127" s="33" t="b">
        <v>1</v>
      </c>
      <c r="I127" s="33" t="s">
        <v>991</v>
      </c>
      <c r="J127" s="33" t="s">
        <v>996</v>
      </c>
      <c r="O127" s="10">
        <f>GET_OK_GROUPS_COUNT(tbTestEnemy[[#This Row],[Camp]],tbTestEnemy[[#This Row],[Difficulty]],tbTestEnemy[[#This Row],[IsBoss]],tbTestEnemy[[#This Row],[Hero1]:[Soldier3]])</f>
        <v>1</v>
      </c>
      <c r="P127" s="33">
        <v>1</v>
      </c>
      <c r="R127" s="34"/>
      <c r="S127" s="10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8" spans="2:19" x14ac:dyDescent="0.3">
      <c r="B128" s="35" t="s">
        <v>1030</v>
      </c>
      <c r="C128" s="33">
        <v>1</v>
      </c>
      <c r="F128" s="33" t="s">
        <v>1029</v>
      </c>
      <c r="G128" s="33" t="s">
        <v>190</v>
      </c>
      <c r="H128" s="33" t="b">
        <v>1</v>
      </c>
      <c r="I128" s="33" t="s">
        <v>991</v>
      </c>
      <c r="J128" s="33" t="s">
        <v>996</v>
      </c>
      <c r="K128" s="33" t="s">
        <v>1024</v>
      </c>
      <c r="O128" s="10">
        <f>GET_OK_GROUPS_COUNT(tbTestEnemy[[#This Row],[Camp]],tbTestEnemy[[#This Row],[Difficulty]],tbTestEnemy[[#This Row],[IsBoss]],tbTestEnemy[[#This Row],[Hero1]:[Soldier3]])</f>
        <v>1</v>
      </c>
      <c r="P128" s="33">
        <v>1</v>
      </c>
      <c r="R128" s="34"/>
      <c r="S128" s="10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9" spans="2:19" x14ac:dyDescent="0.3">
      <c r="B129" s="35" t="s">
        <v>1028</v>
      </c>
      <c r="C129" s="33">
        <v>1</v>
      </c>
      <c r="F129" s="33" t="s">
        <v>151</v>
      </c>
      <c r="G129" s="33" t="s">
        <v>1019</v>
      </c>
      <c r="I129" s="33" t="s">
        <v>997</v>
      </c>
      <c r="L129" s="33" t="s">
        <v>1012</v>
      </c>
      <c r="O129" s="10">
        <f>GET_OK_GROUPS_COUNT(tbTestEnemy[[#This Row],[Camp]],tbTestEnemy[[#This Row],[Difficulty]],tbTestEnemy[[#This Row],[IsBoss]],tbTestEnemy[[#This Row],[Hero1]:[Soldier3]])</f>
        <v>1</v>
      </c>
      <c r="P129" s="33">
        <v>1</v>
      </c>
      <c r="R129" s="34"/>
      <c r="S129" s="10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30" spans="2:19" x14ac:dyDescent="0.3">
      <c r="B130" s="35" t="s">
        <v>1027</v>
      </c>
      <c r="C130" s="33">
        <v>1</v>
      </c>
      <c r="F130" s="33" t="s">
        <v>151</v>
      </c>
      <c r="G130" s="33" t="s">
        <v>1014</v>
      </c>
      <c r="H130" s="33" t="b">
        <v>1</v>
      </c>
      <c r="I130" s="33" t="s">
        <v>997</v>
      </c>
      <c r="J130" s="33" t="s">
        <v>1024</v>
      </c>
      <c r="O130" s="10">
        <f>GET_OK_GROUPS_COUNT(tbTestEnemy[[#This Row],[Camp]],tbTestEnemy[[#This Row],[Difficulty]],tbTestEnemy[[#This Row],[IsBoss]],tbTestEnemy[[#This Row],[Hero1]:[Soldier3]])</f>
        <v>1</v>
      </c>
      <c r="P130" s="34">
        <v>1</v>
      </c>
      <c r="R130" s="34"/>
      <c r="S130" s="10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31" spans="2:19" x14ac:dyDescent="0.3">
      <c r="B131" s="35" t="s">
        <v>1026</v>
      </c>
      <c r="C131" s="33">
        <v>1</v>
      </c>
      <c r="F131" s="33" t="s">
        <v>151</v>
      </c>
      <c r="G131" s="33" t="s">
        <v>1000</v>
      </c>
      <c r="H131" s="33" t="b">
        <v>1</v>
      </c>
      <c r="I131" s="33" t="s">
        <v>991</v>
      </c>
      <c r="J131" s="33" t="s">
        <v>996</v>
      </c>
      <c r="O131" s="10">
        <f>GET_OK_GROUPS_COUNT(tbTestEnemy[[#This Row],[Camp]],tbTestEnemy[[#This Row],[Difficulty]],tbTestEnemy[[#This Row],[IsBoss]],tbTestEnemy[[#This Row],[Hero1]:[Soldier3]])</f>
        <v>1</v>
      </c>
      <c r="P131" s="33">
        <v>1</v>
      </c>
      <c r="R131" s="34"/>
      <c r="S131" s="10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32" spans="2:19" x14ac:dyDescent="0.3">
      <c r="B132" s="35" t="s">
        <v>1025</v>
      </c>
      <c r="C132" s="33">
        <v>1</v>
      </c>
      <c r="F132" s="33" t="s">
        <v>151</v>
      </c>
      <c r="G132" s="33" t="s">
        <v>998</v>
      </c>
      <c r="H132" s="33" t="b">
        <v>1</v>
      </c>
      <c r="I132" s="33" t="s">
        <v>991</v>
      </c>
      <c r="J132" s="33" t="s">
        <v>996</v>
      </c>
      <c r="K132" s="33" t="s">
        <v>1024</v>
      </c>
      <c r="O132" s="10">
        <f>GET_OK_GROUPS_COUNT(tbTestEnemy[[#This Row],[Camp]],tbTestEnemy[[#This Row],[Difficulty]],tbTestEnemy[[#This Row],[IsBoss]],tbTestEnemy[[#This Row],[Hero1]:[Soldier3]])</f>
        <v>1</v>
      </c>
      <c r="P132" s="33">
        <v>1</v>
      </c>
      <c r="R132" s="34"/>
      <c r="S132" s="10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33" spans="2:19" x14ac:dyDescent="0.3">
      <c r="B133" s="35" t="s">
        <v>1023</v>
      </c>
      <c r="C133" s="33">
        <v>1</v>
      </c>
      <c r="E133" s="35" t="s">
        <v>1001</v>
      </c>
      <c r="F133" s="33" t="s">
        <v>151</v>
      </c>
      <c r="G133" s="33" t="s">
        <v>1019</v>
      </c>
      <c r="I133" s="33"/>
      <c r="L133" s="33" t="s">
        <v>1013</v>
      </c>
      <c r="M133" s="33" t="s">
        <v>1012</v>
      </c>
      <c r="O133" s="10">
        <f>GET_OK_GROUPS_COUNT(tbTestEnemy[[#This Row],[Camp]],tbTestEnemy[[#This Row],[Difficulty]],tbTestEnemy[[#This Row],[IsBoss]],tbTestEnemy[[#This Row],[Hero1]:[Soldier3]])</f>
        <v>1</v>
      </c>
      <c r="P133" s="33">
        <v>1</v>
      </c>
      <c r="R133" s="34"/>
      <c r="S133" s="10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34" spans="2:19" x14ac:dyDescent="0.3">
      <c r="B134" s="35"/>
      <c r="C134" s="33">
        <v>2</v>
      </c>
      <c r="E134" s="35" t="s">
        <v>999</v>
      </c>
      <c r="F134" s="33" t="s">
        <v>151</v>
      </c>
      <c r="G134" s="33" t="s">
        <v>1019</v>
      </c>
      <c r="I134" s="33" t="s">
        <v>991</v>
      </c>
      <c r="L134" s="33" t="s">
        <v>1022</v>
      </c>
      <c r="O134" s="10">
        <f>GET_OK_GROUPS_COUNT(tbTestEnemy[[#This Row],[Camp]],tbTestEnemy[[#This Row],[Difficulty]],tbTestEnemy[[#This Row],[IsBoss]],tbTestEnemy[[#This Row],[Hero1]:[Soldier3]])</f>
        <v>1</v>
      </c>
      <c r="P134" s="33">
        <v>1</v>
      </c>
      <c r="R134" s="34"/>
      <c r="S134" s="10" t="str">
        <f>GET_OK_GROUP(tbTestEnemy[[#This Row],[Camp]],tbTestEnemy[[#This Row],[Difficulty]],tbTestEnemy[[#This Row],[IsBoss]],tbTestEnemy[[#This Row],[Hero1]:[Soldier3]],tbTestEnemy[[#This Row],[GroupID]])</f>
        <v>三国-普通-铁英+法兵</v>
      </c>
    </row>
    <row r="135" spans="2:19" x14ac:dyDescent="0.3">
      <c r="B135" s="35"/>
      <c r="C135" s="33">
        <v>3</v>
      </c>
      <c r="E135" s="35" t="s">
        <v>995</v>
      </c>
      <c r="F135" s="33" t="s">
        <v>151</v>
      </c>
      <c r="G135" s="12" t="s">
        <v>29</v>
      </c>
      <c r="I135" s="33"/>
      <c r="L135" s="33" t="s">
        <v>1018</v>
      </c>
      <c r="O135" s="10">
        <f>GET_OK_GROUPS_COUNT(tbTestEnemy[[#This Row],[Camp]],tbTestEnemy[[#This Row],[Difficulty]],tbTestEnemy[[#This Row],[IsBoss]],tbTestEnemy[[#This Row],[Hero1]:[Soldier3]])</f>
        <v>4</v>
      </c>
      <c r="P135" s="33">
        <v>1</v>
      </c>
      <c r="R135" s="34"/>
      <c r="S135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36" spans="2:19" x14ac:dyDescent="0.3">
      <c r="B136" s="35"/>
      <c r="C136" s="33">
        <v>4</v>
      </c>
      <c r="E136" s="35" t="s">
        <v>992</v>
      </c>
      <c r="F136" s="33" t="s">
        <v>151</v>
      </c>
      <c r="G136" s="12" t="s">
        <v>33</v>
      </c>
      <c r="I136" s="33" t="s">
        <v>991</v>
      </c>
      <c r="L136" s="33" t="s">
        <v>1021</v>
      </c>
      <c r="O136" s="10">
        <f>GET_OK_GROUPS_COUNT(tbTestEnemy[[#This Row],[Camp]],tbTestEnemy[[#This Row],[Difficulty]],tbTestEnemy[[#This Row],[IsBoss]],tbTestEnemy[[#This Row],[Hero1]:[Soldier3]])</f>
        <v>1</v>
      </c>
      <c r="P136" s="33">
        <v>1</v>
      </c>
      <c r="R136" s="34"/>
      <c r="S136" s="10" t="str">
        <f>GET_OK_GROUP(tbTestEnemy[[#This Row],[Camp]],tbTestEnemy[[#This Row],[Difficulty]],tbTestEnemy[[#This Row],[IsBoss]],tbTestEnemy[[#This Row],[Hero1]:[Soldier3]],tbTestEnemy[[#This Row],[GroupID]])</f>
        <v>三国-普通-铁英+炼兵</v>
      </c>
    </row>
    <row r="137" spans="2:19" x14ac:dyDescent="0.3">
      <c r="B137" s="35"/>
      <c r="C137" s="33">
        <v>5</v>
      </c>
      <c r="E137" s="35" t="s">
        <v>989</v>
      </c>
      <c r="F137" s="33" t="s">
        <v>151</v>
      </c>
      <c r="G137" s="12" t="s">
        <v>1014</v>
      </c>
      <c r="I137" s="33" t="s">
        <v>991</v>
      </c>
      <c r="J137" s="33" t="s">
        <v>1016</v>
      </c>
      <c r="O137" s="10">
        <f>GET_OK_GROUPS_COUNT(tbTestEnemy[[#This Row],[Camp]],tbTestEnemy[[#This Row],[Difficulty]],tbTestEnemy[[#This Row],[IsBoss]],tbTestEnemy[[#This Row],[Hero1]:[Soldier3]])</f>
        <v>1</v>
      </c>
      <c r="P137" s="33">
        <v>1</v>
      </c>
      <c r="R137" s="34"/>
      <c r="S137" s="10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8" spans="2:19" x14ac:dyDescent="0.3">
      <c r="B138" s="35" t="s">
        <v>1020</v>
      </c>
      <c r="C138" s="33">
        <v>1</v>
      </c>
      <c r="E138" s="35" t="s">
        <v>1001</v>
      </c>
      <c r="F138" s="33" t="s">
        <v>151</v>
      </c>
      <c r="G138" s="12" t="s">
        <v>1014</v>
      </c>
      <c r="I138" s="33"/>
      <c r="L138" s="33" t="s">
        <v>1013</v>
      </c>
      <c r="M138" s="33" t="s">
        <v>1012</v>
      </c>
      <c r="O138" s="10">
        <f>GET_OK_GROUPS_COUNT(tbTestEnemy[[#This Row],[Camp]],tbTestEnemy[[#This Row],[Difficulty]],tbTestEnemy[[#This Row],[IsBoss]],tbTestEnemy[[#This Row],[Hero1]:[Soldier3]])</f>
        <v>5</v>
      </c>
      <c r="P138" s="34">
        <v>1</v>
      </c>
      <c r="R138" s="34"/>
      <c r="S138" s="10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39" spans="2:19" x14ac:dyDescent="0.3">
      <c r="B139" s="35"/>
      <c r="C139" s="33">
        <v>2</v>
      </c>
      <c r="E139" s="35" t="s">
        <v>999</v>
      </c>
      <c r="F139" s="33" t="s">
        <v>151</v>
      </c>
      <c r="G139" s="12" t="s">
        <v>1014</v>
      </c>
      <c r="I139" s="33" t="s">
        <v>991</v>
      </c>
      <c r="J139" s="33" t="s">
        <v>1016</v>
      </c>
      <c r="O139" s="10">
        <f>GET_OK_GROUPS_COUNT(tbTestEnemy[[#This Row],[Camp]],tbTestEnemy[[#This Row],[Difficulty]],tbTestEnemy[[#This Row],[IsBoss]],tbTestEnemy[[#This Row],[Hero1]:[Soldier3]])</f>
        <v>1</v>
      </c>
      <c r="P139" s="33">
        <v>1</v>
      </c>
      <c r="R139" s="34"/>
      <c r="S139" s="10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0" spans="2:19" x14ac:dyDescent="0.3">
      <c r="B140" s="35"/>
      <c r="C140" s="33">
        <v>3</v>
      </c>
      <c r="E140" s="35" t="s">
        <v>995</v>
      </c>
      <c r="F140" s="33" t="s">
        <v>151</v>
      </c>
      <c r="G140" s="12" t="s">
        <v>1019</v>
      </c>
      <c r="I140" s="33"/>
      <c r="L140" s="33" t="s">
        <v>1018</v>
      </c>
      <c r="O140" s="10">
        <f>GET_OK_GROUPS_COUNT(tbTestEnemy[[#This Row],[Camp]],tbTestEnemy[[#This Row],[Difficulty]],tbTestEnemy[[#This Row],[IsBoss]],tbTestEnemy[[#This Row],[Hero1]:[Soldier3]])</f>
        <v>5</v>
      </c>
      <c r="P140" s="34">
        <v>1</v>
      </c>
      <c r="R140" s="34"/>
      <c r="S140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41" spans="2:19" x14ac:dyDescent="0.3">
      <c r="B141" s="35"/>
      <c r="C141" s="33">
        <v>4</v>
      </c>
      <c r="E141" s="35" t="s">
        <v>992</v>
      </c>
      <c r="F141" s="33" t="s">
        <v>151</v>
      </c>
      <c r="G141" s="12" t="s">
        <v>1014</v>
      </c>
      <c r="I141" s="33" t="s">
        <v>991</v>
      </c>
      <c r="J141" s="33" t="s">
        <v>1017</v>
      </c>
      <c r="O141" s="10">
        <f>GET_OK_GROUPS_COUNT(tbTestEnemy[[#This Row],[Camp]],tbTestEnemy[[#This Row],[Difficulty]],tbTestEnemy[[#This Row],[IsBoss]],tbTestEnemy[[#This Row],[Hero1]:[Soldier3]])</f>
        <v>1</v>
      </c>
      <c r="P141" s="33">
        <v>1</v>
      </c>
      <c r="R141" s="34"/>
      <c r="S141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2" spans="2:19" x14ac:dyDescent="0.3">
      <c r="B142" s="35"/>
      <c r="C142" s="33">
        <v>5</v>
      </c>
      <c r="E142" s="35" t="s">
        <v>989</v>
      </c>
      <c r="F142" s="33" t="s">
        <v>151</v>
      </c>
      <c r="G142" s="12" t="s">
        <v>1014</v>
      </c>
      <c r="I142" s="33" t="s">
        <v>991</v>
      </c>
      <c r="J142" s="33" t="s">
        <v>1016</v>
      </c>
      <c r="O142" s="10">
        <f>GET_OK_GROUPS_COUNT(tbTestEnemy[[#This Row],[Camp]],tbTestEnemy[[#This Row],[Difficulty]],tbTestEnemy[[#This Row],[IsBoss]],tbTestEnemy[[#This Row],[Hero1]:[Soldier3]])</f>
        <v>1</v>
      </c>
      <c r="P142" s="34">
        <v>1</v>
      </c>
      <c r="R142" s="34"/>
      <c r="S142" s="10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3" spans="2:19" x14ac:dyDescent="0.3">
      <c r="B143" s="35" t="s">
        <v>1015</v>
      </c>
      <c r="C143" s="33">
        <v>1</v>
      </c>
      <c r="E143" s="35" t="s">
        <v>1001</v>
      </c>
      <c r="F143" s="33" t="s">
        <v>151</v>
      </c>
      <c r="G143" s="12" t="s">
        <v>1014</v>
      </c>
      <c r="I143" s="33"/>
      <c r="L143" s="33" t="s">
        <v>1013</v>
      </c>
      <c r="M143" s="33" t="s">
        <v>1012</v>
      </c>
      <c r="O143" s="10">
        <f>GET_OK_GROUPS_COUNT(tbTestEnemy[[#This Row],[Camp]],tbTestEnemy[[#This Row],[Difficulty]],tbTestEnemy[[#This Row],[IsBoss]],tbTestEnemy[[#This Row],[Hero1]:[Soldier3]])</f>
        <v>5</v>
      </c>
      <c r="P143" s="33">
        <v>1</v>
      </c>
      <c r="R143" s="34"/>
      <c r="S143" s="10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44" spans="2:19" x14ac:dyDescent="0.3">
      <c r="B144" s="35"/>
      <c r="C144" s="33">
        <v>2</v>
      </c>
      <c r="E144" s="35" t="s">
        <v>999</v>
      </c>
      <c r="F144" s="33" t="s">
        <v>151</v>
      </c>
      <c r="G144" s="12" t="s">
        <v>1005</v>
      </c>
      <c r="H144" s="33" t="b">
        <v>1</v>
      </c>
      <c r="I144" s="33" t="s">
        <v>1004</v>
      </c>
      <c r="J144" s="33" t="s">
        <v>1003</v>
      </c>
      <c r="K144" s="33" t="s">
        <v>1003</v>
      </c>
      <c r="O144" s="10">
        <f>GET_OK_GROUPS_COUNT(tbTestEnemy[[#This Row],[Camp]],tbTestEnemy[[#This Row],[Difficulty]],tbTestEnemy[[#This Row],[IsBoss]],tbTestEnemy[[#This Row],[Hero1]:[Soldier3]])</f>
        <v>1</v>
      </c>
      <c r="P144" s="34">
        <v>1</v>
      </c>
      <c r="R144" s="34"/>
      <c r="S144" s="10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45" spans="2:19" x14ac:dyDescent="0.3">
      <c r="B145" s="35"/>
      <c r="C145" s="33">
        <v>3</v>
      </c>
      <c r="E145" s="35" t="s">
        <v>995</v>
      </c>
      <c r="F145" s="33" t="s">
        <v>151</v>
      </c>
      <c r="G145" s="12" t="s">
        <v>1011</v>
      </c>
      <c r="I145" s="33"/>
      <c r="L145" s="33" t="s">
        <v>1010</v>
      </c>
      <c r="M145" s="33" t="s">
        <v>1009</v>
      </c>
      <c r="O145" s="10">
        <f>GET_OK_GROUPS_COUNT(tbTestEnemy[[#This Row],[Camp]],tbTestEnemy[[#This Row],[Difficulty]],tbTestEnemy[[#This Row],[IsBoss]],tbTestEnemy[[#This Row],[Hero1]:[Soldier3]])</f>
        <v>1</v>
      </c>
      <c r="P145" s="33">
        <v>1</v>
      </c>
      <c r="R145" s="34"/>
      <c r="S145" s="10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46" spans="2:19" x14ac:dyDescent="0.3">
      <c r="B146" s="35"/>
      <c r="C146" s="33">
        <v>4</v>
      </c>
      <c r="E146" s="35" t="s">
        <v>992</v>
      </c>
      <c r="F146" s="33" t="s">
        <v>151</v>
      </c>
      <c r="G146" s="12" t="s">
        <v>1008</v>
      </c>
      <c r="I146" s="33" t="s">
        <v>1007</v>
      </c>
      <c r="J146" s="33" t="s">
        <v>1006</v>
      </c>
      <c r="O146" s="10">
        <f>GET_OK_GROUPS_COUNT(tbTestEnemy[[#This Row],[Camp]],tbTestEnemy[[#This Row],[Difficulty]],tbTestEnemy[[#This Row],[IsBoss]],tbTestEnemy[[#This Row],[Hero1]:[Soldier3]])</f>
        <v>1</v>
      </c>
      <c r="P146" s="34">
        <v>1</v>
      </c>
      <c r="R146" s="34"/>
      <c r="S146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7" spans="2:19" x14ac:dyDescent="0.3">
      <c r="B147" s="35"/>
      <c r="C147" s="33">
        <v>5</v>
      </c>
      <c r="E147" s="35" t="s">
        <v>989</v>
      </c>
      <c r="F147" s="33" t="s">
        <v>151</v>
      </c>
      <c r="G147" s="12" t="s">
        <v>1005</v>
      </c>
      <c r="H147" s="33" t="b">
        <v>1</v>
      </c>
      <c r="I147" s="33" t="s">
        <v>1004</v>
      </c>
      <c r="J147" s="33" t="s">
        <v>1003</v>
      </c>
      <c r="O147" s="10">
        <f>GET_OK_GROUPS_COUNT(tbTestEnemy[[#This Row],[Camp]],tbTestEnemy[[#This Row],[Difficulty]],tbTestEnemy[[#This Row],[IsBoss]],tbTestEnemy[[#This Row],[Hero1]:[Soldier3]])</f>
        <v>1</v>
      </c>
      <c r="P147" s="33">
        <v>1</v>
      </c>
      <c r="R147" s="34"/>
      <c r="S147" s="10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8" spans="2:19" x14ac:dyDescent="0.3">
      <c r="B148" s="35" t="s">
        <v>1002</v>
      </c>
      <c r="C148" s="33">
        <v>1</v>
      </c>
      <c r="E148" s="35" t="s">
        <v>1001</v>
      </c>
      <c r="F148" s="33" t="s">
        <v>151</v>
      </c>
      <c r="G148" s="12" t="s">
        <v>1000</v>
      </c>
      <c r="H148" s="33" t="b">
        <v>1</v>
      </c>
      <c r="I148" s="33" t="s">
        <v>997</v>
      </c>
      <c r="J148" s="33" t="s">
        <v>996</v>
      </c>
      <c r="O148" s="11">
        <f>GET_OK_GROUPS_COUNT(tbTestEnemy[[#This Row],[Camp]],tbTestEnemy[[#This Row],[Difficulty]],tbTestEnemy[[#This Row],[IsBoss]],tbTestEnemy[[#This Row],[Hero1]:[Soldier3]])</f>
        <v>1</v>
      </c>
      <c r="P148" s="34">
        <v>1</v>
      </c>
      <c r="R148" s="34"/>
      <c r="S148" s="11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9" spans="2:19" x14ac:dyDescent="0.3">
      <c r="B149" s="35"/>
      <c r="C149" s="33">
        <v>2</v>
      </c>
      <c r="E149" s="35" t="s">
        <v>999</v>
      </c>
      <c r="F149" s="33" t="s">
        <v>151</v>
      </c>
      <c r="G149" s="12" t="s">
        <v>998</v>
      </c>
      <c r="H149" s="33" t="b">
        <v>1</v>
      </c>
      <c r="I149" s="33" t="s">
        <v>997</v>
      </c>
      <c r="J149" s="33" t="s">
        <v>996</v>
      </c>
      <c r="K149" s="33" t="s">
        <v>996</v>
      </c>
      <c r="O149" s="11">
        <f>GET_OK_GROUPS_COUNT(tbTestEnemy[[#This Row],[Camp]],tbTestEnemy[[#This Row],[Difficulty]],tbTestEnemy[[#This Row],[IsBoss]],tbTestEnemy[[#This Row],[Hero1]:[Soldier3]])</f>
        <v>1</v>
      </c>
      <c r="P149" s="34">
        <v>1</v>
      </c>
      <c r="R149" s="34"/>
      <c r="S149" s="11" t="str">
        <f>GET_OK_GROUP(tbTestEnemy[[#This Row],[Camp]],tbTestEnemy[[#This Row],[Difficulty]],tbTestEnemy[[#This Row],[IsBoss]],tbTestEnemy[[#This Row],[Hero1]:[Soldier3]],tbTestEnemy[[#This Row],[GroupID]])</f>
        <v>三国-变态-[B]盾英+炼英+炼英</v>
      </c>
    </row>
    <row r="150" spans="2:19" x14ac:dyDescent="0.3">
      <c r="B150" s="35"/>
      <c r="C150" s="33">
        <v>3</v>
      </c>
      <c r="E150" s="35" t="s">
        <v>995</v>
      </c>
      <c r="F150" s="33" t="s">
        <v>151</v>
      </c>
      <c r="G150" s="12" t="s">
        <v>33</v>
      </c>
      <c r="I150" s="33"/>
      <c r="L150" s="33" t="s">
        <v>994</v>
      </c>
      <c r="M150" s="33" t="s">
        <v>993</v>
      </c>
      <c r="O150" s="11">
        <f>GET_OK_GROUPS_COUNT(tbTestEnemy[[#This Row],[Camp]],tbTestEnemy[[#This Row],[Difficulty]],tbTestEnemy[[#This Row],[IsBoss]],tbTestEnemy[[#This Row],[Hero1]:[Soldier3]])</f>
        <v>1</v>
      </c>
      <c r="P150" s="34">
        <v>1</v>
      </c>
      <c r="R150" s="34"/>
      <c r="S150" s="11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51" spans="2:19" x14ac:dyDescent="0.3">
      <c r="B151" s="35"/>
      <c r="C151" s="33">
        <v>4</v>
      </c>
      <c r="E151" s="35" t="s">
        <v>992</v>
      </c>
      <c r="F151" s="33" t="s">
        <v>151</v>
      </c>
      <c r="G151" s="12" t="s">
        <v>35</v>
      </c>
      <c r="I151" s="33" t="s">
        <v>991</v>
      </c>
      <c r="J151" s="33" t="s">
        <v>990</v>
      </c>
      <c r="O151" s="11">
        <f>GET_OK_GROUPS_COUNT(tbTestEnemy[[#This Row],[Camp]],tbTestEnemy[[#This Row],[Difficulty]],tbTestEnemy[[#This Row],[IsBoss]],tbTestEnemy[[#This Row],[Hero1]:[Soldier3]])</f>
        <v>1</v>
      </c>
      <c r="P151" s="34">
        <v>1</v>
      </c>
      <c r="R151" s="34"/>
      <c r="S151" s="11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52" spans="2:19" x14ac:dyDescent="0.3">
      <c r="B152" s="35"/>
      <c r="C152" s="33">
        <v>5</v>
      </c>
      <c r="E152" s="35" t="s">
        <v>989</v>
      </c>
      <c r="F152" s="33" t="s">
        <v>151</v>
      </c>
      <c r="G152" s="12" t="s">
        <v>190</v>
      </c>
      <c r="H152" s="33" t="b">
        <v>1</v>
      </c>
      <c r="I152" s="33" t="s">
        <v>988</v>
      </c>
      <c r="J152" s="33" t="s">
        <v>987</v>
      </c>
      <c r="K152" s="33" t="s">
        <v>986</v>
      </c>
      <c r="O152" s="11">
        <f>GET_OK_GROUPS_COUNT(tbTestEnemy[[#This Row],[Camp]],tbTestEnemy[[#This Row],[Difficulty]],tbTestEnemy[[#This Row],[IsBoss]],tbTestEnemy[[#This Row],[Hero1]:[Soldier3]])</f>
        <v>1</v>
      </c>
      <c r="P152" s="34">
        <v>1</v>
      </c>
      <c r="R152" s="34"/>
      <c r="S152" s="11" t="str">
        <f>GET_OK_GROUP(tbTestEnemy[[#This Row],[Camp]],tbTestEnemy[[#This Row],[Difficulty]],tbTestEnemy[[#This Row],[IsBoss]],tbTestEnemy[[#This Row],[Hero1]:[Soldier3]],tbTestEnemy[[#This Row],[GroupID]])</f>
        <v>三国-变态-[B]盾英+炼英+刺英</v>
      </c>
    </row>
  </sheetData>
  <dataConsolidate/>
  <phoneticPr fontId="22" type="noConversion"/>
  <conditionalFormatting sqref="P5:P152">
    <cfRule type="expression" dxfId="62" priority="2">
      <formula>P5&gt;O5</formula>
    </cfRule>
  </conditionalFormatting>
  <conditionalFormatting sqref="O5:O152">
    <cfRule type="cellIs" dxfId="61" priority="1" operator="equal">
      <formula>0</formula>
    </cfRule>
  </conditionalFormatting>
  <dataValidations count="5">
    <dataValidation type="list" allowBlank="1" showInputMessage="1" showErrorMessage="1" sqref="I5:K152">
      <formula1>UnitNames</formula1>
    </dataValidation>
    <dataValidation type="list" allowBlank="1" showInputMessage="1" showErrorMessage="1" sqref="L5:N152">
      <formula1>SoldierNames</formula1>
    </dataValidation>
    <dataValidation type="list" allowBlank="1" showInputMessage="1" showErrorMessage="1" sqref="F5:F152">
      <formula1>"三国,黄巾"</formula1>
    </dataValidation>
    <dataValidation type="list" allowBlank="1" showInputMessage="1" showErrorMessage="1" sqref="H5:H152">
      <formula1>"TRUE,FALSE"</formula1>
    </dataValidation>
    <dataValidation type="list" allowBlank="1" showInputMessage="1" showErrorMessage="1" sqref="G5:G152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345"/>
  <sheetViews>
    <sheetView showGridLines="0" zoomScale="90" zoomScaleNormal="90" workbookViewId="0">
      <pane ySplit="2" topLeftCell="A3" activePane="bottomLeft" state="frozen"/>
      <selection pane="bottomLeft" activeCell="L20" sqref="L20"/>
    </sheetView>
  </sheetViews>
  <sheetFormatPr defaultColWidth="9" defaultRowHeight="16.5" x14ac:dyDescent="0.3"/>
  <cols>
    <col min="1" max="1" width="5" style="3" customWidth="1"/>
    <col min="2" max="3" width="17.5" style="3" bestFit="1" customWidth="1"/>
    <col min="4" max="4" width="11.875" style="3" bestFit="1" customWidth="1"/>
    <col min="5" max="5" width="9" style="3"/>
    <col min="6" max="6" width="17.5" style="3" bestFit="1" customWidth="1"/>
    <col min="7" max="7" width="11.875" style="3" bestFit="1" customWidth="1"/>
    <col min="8" max="16384" width="9" style="3"/>
  </cols>
  <sheetData>
    <row r="2" spans="2:13" x14ac:dyDescent="0.3">
      <c r="B2" s="3" t="s">
        <v>465</v>
      </c>
      <c r="C2" s="3" t="s">
        <v>462</v>
      </c>
      <c r="D2" s="3" t="s">
        <v>463</v>
      </c>
      <c r="F2" s="3" t="s">
        <v>462</v>
      </c>
      <c r="G2" s="3" t="s">
        <v>463</v>
      </c>
      <c r="I2" s="14" t="s">
        <v>707</v>
      </c>
      <c r="J2" s="14" t="s">
        <v>708</v>
      </c>
    </row>
    <row r="3" spans="2:13" x14ac:dyDescent="0.3">
      <c r="B3" s="3" t="s">
        <v>383</v>
      </c>
      <c r="C3" s="3" t="s">
        <v>383</v>
      </c>
      <c r="D3" s="3" t="str">
        <f>INDEX(tbUnitTypeToIndex[Index],MATCH(tbUnitNameToType[[#This Row],[Type]],tbUnitTypeToIndex[Type],))</f>
        <v>铁英</v>
      </c>
      <c r="F3" s="3" t="s">
        <v>383</v>
      </c>
      <c r="G3" s="3" t="s">
        <v>454</v>
      </c>
      <c r="I3" s="31" t="s">
        <v>975</v>
      </c>
      <c r="J3" s="4" t="str">
        <f>VLOOKUP(表13[name],tbUnitNameToType[],3,FALSE)</f>
        <v>刺英</v>
      </c>
    </row>
    <row r="4" spans="2:13" x14ac:dyDescent="0.3">
      <c r="B4" s="3" t="s">
        <v>440</v>
      </c>
      <c r="C4" s="3" t="s">
        <v>440</v>
      </c>
      <c r="D4" s="3" t="str">
        <f>INDEX(tbUnitTypeToIndex[Index],MATCH(tbUnitNameToType[[#This Row],[Type]],tbUnitTypeToIndex[Type],))</f>
        <v>强英</v>
      </c>
      <c r="F4" s="3" t="s">
        <v>440</v>
      </c>
      <c r="G4" s="3" t="s">
        <v>455</v>
      </c>
      <c r="I4" s="14" t="s">
        <v>709</v>
      </c>
      <c r="J4" s="14" t="str">
        <f>VLOOKUP(表13[name],tbUnitNameToType[],3,FALSE)</f>
        <v>法英</v>
      </c>
    </row>
    <row r="5" spans="2:13" x14ac:dyDescent="0.3">
      <c r="B5" s="3" t="s">
        <v>441</v>
      </c>
      <c r="C5" s="3" t="s">
        <v>441</v>
      </c>
      <c r="D5" s="3" t="str">
        <f>INDEX(tbUnitTypeToIndex[Index],MATCH(tbUnitNameToType[[#This Row],[Type]],tbUnitTypeToIndex[Type],))</f>
        <v>炼英</v>
      </c>
      <c r="F5" s="3" t="s">
        <v>441</v>
      </c>
      <c r="G5" s="3" t="s">
        <v>456</v>
      </c>
      <c r="I5" s="15" t="s">
        <v>673</v>
      </c>
      <c r="J5" s="15" t="str">
        <f>VLOOKUP(表13[name],tbUnitNameToType[],3,FALSE)</f>
        <v>盾英</v>
      </c>
    </row>
    <row r="6" spans="2:13" x14ac:dyDescent="0.3">
      <c r="B6" s="3" t="s">
        <v>442</v>
      </c>
      <c r="C6" s="3" t="s">
        <v>442</v>
      </c>
      <c r="D6" s="3" t="str">
        <f>INDEX(tbUnitTypeToIndex[Index],MATCH(tbUnitNameToType[[#This Row],[Type]],tbUnitTypeToIndex[Type],))</f>
        <v>法英</v>
      </c>
      <c r="F6" s="3" t="s">
        <v>442</v>
      </c>
      <c r="G6" s="3" t="s">
        <v>457</v>
      </c>
      <c r="I6" s="16" t="s">
        <v>720</v>
      </c>
      <c r="J6" s="16" t="str">
        <f>VLOOKUP(表13[name],tbUnitNameToType[],3,FALSE)</f>
        <v>法英</v>
      </c>
      <c r="M6" s="9"/>
    </row>
    <row r="7" spans="2:13" x14ac:dyDescent="0.3">
      <c r="B7" s="3" t="s">
        <v>436</v>
      </c>
      <c r="C7" s="3" t="s">
        <v>436</v>
      </c>
      <c r="D7" s="3" t="str">
        <f>INDEX(tbUnitTypeToIndex[Index],MATCH(tbUnitNameToType[[#This Row],[Type]],tbUnitTypeToIndex[Type],))</f>
        <v>铁英</v>
      </c>
      <c r="F7" s="3" t="s">
        <v>436</v>
      </c>
      <c r="G7" s="3" t="s">
        <v>454</v>
      </c>
      <c r="I7" s="26" t="s">
        <v>890</v>
      </c>
      <c r="J7" s="26" t="str">
        <f>VLOOKUP(表13[name],tbUnitNameToType[],3,FALSE)</f>
        <v>强英</v>
      </c>
      <c r="K7" s="2"/>
      <c r="L7" s="2"/>
      <c r="M7" s="2"/>
    </row>
    <row r="8" spans="2:13" x14ac:dyDescent="0.3">
      <c r="B8" s="3" t="s">
        <v>437</v>
      </c>
      <c r="C8" s="3" t="s">
        <v>437</v>
      </c>
      <c r="D8" s="3" t="str">
        <f>INDEX(tbUnitTypeToIndex[Index],MATCH(tbUnitNameToType[[#This Row],[Type]],tbUnitTypeToIndex[Type],))</f>
        <v>强英</v>
      </c>
      <c r="F8" s="3" t="s">
        <v>437</v>
      </c>
      <c r="G8" s="3" t="s">
        <v>455</v>
      </c>
      <c r="I8" s="26" t="s">
        <v>866</v>
      </c>
      <c r="J8" s="26" t="str">
        <f>VLOOKUP(表13[name],tbUnitNameToType[],3,FALSE)</f>
        <v>强英</v>
      </c>
    </row>
    <row r="9" spans="2:13" x14ac:dyDescent="0.3">
      <c r="B9" s="3" t="s">
        <v>438</v>
      </c>
      <c r="C9" s="3" t="s">
        <v>438</v>
      </c>
      <c r="D9" s="3" t="str">
        <f>INDEX(tbUnitTypeToIndex[Index],MATCH(tbUnitNameToType[[#This Row],[Type]],tbUnitTypeToIndex[Type],))</f>
        <v>炼英</v>
      </c>
      <c r="F9" s="3" t="s">
        <v>438</v>
      </c>
      <c r="G9" s="3" t="s">
        <v>456</v>
      </c>
      <c r="I9" s="26" t="s">
        <v>330</v>
      </c>
      <c r="J9" s="26" t="str">
        <f>VLOOKUP(表13[name],tbUnitNameToType[],3,FALSE)</f>
        <v>法英</v>
      </c>
      <c r="K9" s="2"/>
      <c r="L9" s="2"/>
      <c r="M9" s="2"/>
    </row>
    <row r="10" spans="2:13" x14ac:dyDescent="0.3">
      <c r="B10" s="3" t="s">
        <v>439</v>
      </c>
      <c r="C10" s="3" t="s">
        <v>439</v>
      </c>
      <c r="D10" s="3" t="str">
        <f>INDEX(tbUnitTypeToIndex[Index],MATCH(tbUnitNameToType[[#This Row],[Type]],tbUnitTypeToIndex[Type],))</f>
        <v>法英</v>
      </c>
      <c r="F10" s="3" t="s">
        <v>439</v>
      </c>
      <c r="G10" s="3" t="s">
        <v>457</v>
      </c>
      <c r="I10" s="26" t="s">
        <v>869</v>
      </c>
      <c r="J10" s="26" t="str">
        <f>VLOOKUP(表13[name],tbUnitNameToType[],3,FALSE)</f>
        <v>炼英</v>
      </c>
    </row>
    <row r="11" spans="2:13" x14ac:dyDescent="0.3">
      <c r="B11" s="3" t="s">
        <v>25</v>
      </c>
      <c r="C11" s="3" t="s">
        <v>25</v>
      </c>
      <c r="D11" s="3" t="str">
        <f>INDEX(tbUnitTypeToIndex[Index],MATCH(tbUnitNameToType[[#This Row],[Type]],tbUnitTypeToIndex[Type],))</f>
        <v>铁兵</v>
      </c>
      <c r="F11" s="3" t="s">
        <v>25</v>
      </c>
      <c r="G11" s="3" t="s">
        <v>158</v>
      </c>
      <c r="I11" s="26" t="s">
        <v>789</v>
      </c>
      <c r="J11" s="26" t="str">
        <f>VLOOKUP(表13[name],tbUnitNameToType[],3,FALSE)</f>
        <v>强英</v>
      </c>
    </row>
    <row r="12" spans="2:13" x14ac:dyDescent="0.3">
      <c r="B12" s="3" t="s">
        <v>26</v>
      </c>
      <c r="C12" s="3" t="s">
        <v>26</v>
      </c>
      <c r="D12" s="3" t="str">
        <f>INDEX(tbUnitTypeToIndex[Index],MATCH(tbUnitNameToType[[#This Row],[Type]],tbUnitTypeToIndex[Type],))</f>
        <v>强兵</v>
      </c>
      <c r="F12" s="3" t="s">
        <v>26</v>
      </c>
      <c r="G12" s="3" t="s">
        <v>160</v>
      </c>
      <c r="I12" s="28" t="s">
        <v>818</v>
      </c>
      <c r="J12" s="29" t="str">
        <f>VLOOKUP(表13[name],tbUnitNameToType[],3,FALSE)</f>
        <v>盾英</v>
      </c>
    </row>
    <row r="13" spans="2:13" x14ac:dyDescent="0.3">
      <c r="B13" s="3" t="s">
        <v>34</v>
      </c>
      <c r="C13" s="3" t="s">
        <v>34</v>
      </c>
      <c r="D13" s="3" t="str">
        <f>INDEX(tbUnitTypeToIndex[Index],MATCH(tbUnitNameToType[[#This Row],[Type]],tbUnitTypeToIndex[Type],))</f>
        <v>盾兵</v>
      </c>
      <c r="F13" s="3" t="s">
        <v>34</v>
      </c>
      <c r="G13" s="3" t="s">
        <v>159</v>
      </c>
      <c r="I13" s="26" t="s">
        <v>401</v>
      </c>
      <c r="J13" s="26" t="str">
        <f>VLOOKUP(表13[name],tbUnitNameToType[],3,FALSE)</f>
        <v>盾英</v>
      </c>
    </row>
    <row r="14" spans="2:13" x14ac:dyDescent="0.3">
      <c r="B14" s="3" t="s">
        <v>443</v>
      </c>
      <c r="C14" s="3" t="s">
        <v>443</v>
      </c>
      <c r="D14" s="3" t="str">
        <f>INDEX(tbUnitTypeToIndex[Index],MATCH(tbUnitNameToType[[#This Row],[Type]],tbUnitTypeToIndex[Type],))</f>
        <v>炼兵</v>
      </c>
      <c r="F14" s="3" t="s">
        <v>443</v>
      </c>
      <c r="G14" s="3" t="s">
        <v>161</v>
      </c>
      <c r="I14" s="26" t="s">
        <v>924</v>
      </c>
      <c r="J14" s="25" t="str">
        <f>VLOOKUP(表13[name],tbUnitNameToType[],3,FALSE)</f>
        <v>炼英</v>
      </c>
    </row>
    <row r="15" spans="2:13" x14ac:dyDescent="0.3">
      <c r="B15" s="3" t="s">
        <v>28</v>
      </c>
      <c r="C15" s="3" t="s">
        <v>28</v>
      </c>
      <c r="D15" s="3" t="str">
        <f>INDEX(tbUnitTypeToIndex[Index],MATCH(tbUnitNameToType[[#This Row],[Type]],tbUnitTypeToIndex[Type],))</f>
        <v>法兵</v>
      </c>
      <c r="F15" s="3" t="s">
        <v>28</v>
      </c>
      <c r="G15" s="3" t="s">
        <v>162</v>
      </c>
      <c r="I15" s="26" t="s">
        <v>925</v>
      </c>
      <c r="J15" s="26" t="str">
        <f>VLOOKUP(表13[name],tbUnitNameToType[],3,FALSE)</f>
        <v>盾英</v>
      </c>
    </row>
    <row r="16" spans="2:13" x14ac:dyDescent="0.3">
      <c r="B16" s="3" t="s">
        <v>444</v>
      </c>
      <c r="C16" s="3" t="s">
        <v>444</v>
      </c>
      <c r="D16" s="3" t="str">
        <f>INDEX(tbUnitTypeToIndex[Index],MATCH(tbUnitNameToType[[#This Row],[Type]],tbUnitTypeToIndex[Type],))</f>
        <v>刺兵</v>
      </c>
      <c r="F16" s="3" t="s">
        <v>444</v>
      </c>
      <c r="G16" s="3" t="s">
        <v>163</v>
      </c>
      <c r="I16" s="30" t="s">
        <v>931</v>
      </c>
      <c r="J16" s="30" t="str">
        <f>VLOOKUP(表13[name],tbUnitNameToType[],3,FALSE)</f>
        <v>强英</v>
      </c>
    </row>
    <row r="17" spans="2:13" x14ac:dyDescent="0.3">
      <c r="B17" s="3" t="s">
        <v>445</v>
      </c>
      <c r="C17" s="3" t="s">
        <v>445</v>
      </c>
      <c r="D17" s="3" t="str">
        <f>INDEX(tbUnitTypeToIndex[Index],MATCH(tbUnitNameToType[[#This Row],[Type]],tbUnitTypeToIndex[Type],))</f>
        <v>旗兵</v>
      </c>
      <c r="F17" s="3" t="s">
        <v>445</v>
      </c>
      <c r="G17" s="3" t="s">
        <v>458</v>
      </c>
      <c r="I17" s="30" t="s">
        <v>428</v>
      </c>
      <c r="J17" s="30" t="str">
        <f>VLOOKUP(表13[name],tbUnitNameToType[],3,FALSE)</f>
        <v>刺英</v>
      </c>
    </row>
    <row r="18" spans="2:13" x14ac:dyDescent="0.3">
      <c r="B18" s="3" t="s">
        <v>459</v>
      </c>
      <c r="C18" s="3" t="s">
        <v>459</v>
      </c>
      <c r="D18" s="3" t="str">
        <f>INDEX(tbUnitTypeToIndex[Index],MATCH(tbUnitNameToType[[#This Row],[Type]],tbUnitTypeToIndex[Type],))</f>
        <v>教徒</v>
      </c>
      <c r="F18" s="3" t="s">
        <v>459</v>
      </c>
      <c r="G18" s="3" t="s">
        <v>459</v>
      </c>
      <c r="I18" s="30" t="s">
        <v>801</v>
      </c>
      <c r="J18" s="30" t="str">
        <f>VLOOKUP(表13[name],tbUnitNameToType[],3,FALSE)</f>
        <v>法英</v>
      </c>
    </row>
    <row r="19" spans="2:13" x14ac:dyDescent="0.3">
      <c r="B19" s="3" t="s">
        <v>31</v>
      </c>
      <c r="C19" s="3" t="s">
        <v>31</v>
      </c>
      <c r="D19" s="3" t="str">
        <f>INDEX(tbUnitTypeToIndex[Index],MATCH(tbUnitNameToType[[#This Row],[Type]],tbUnitTypeToIndex[Type],))</f>
        <v>铁兵</v>
      </c>
      <c r="F19" s="3" t="s">
        <v>31</v>
      </c>
      <c r="G19" s="3" t="s">
        <v>158</v>
      </c>
      <c r="I19" s="30" t="s">
        <v>764</v>
      </c>
      <c r="J19" s="30" t="str">
        <f>VLOOKUP(表13[name],tbUnitNameToType[],3,FALSE)</f>
        <v>盾英</v>
      </c>
    </row>
    <row r="20" spans="2:13" x14ac:dyDescent="0.3">
      <c r="B20" s="3" t="s">
        <v>303</v>
      </c>
      <c r="C20" s="3" t="s">
        <v>303</v>
      </c>
      <c r="D20" s="3" t="str">
        <f>INDEX(tbUnitTypeToIndex[Index],MATCH(tbUnitNameToType[[#This Row],[Type]],tbUnitTypeToIndex[Type],))</f>
        <v>强兵</v>
      </c>
      <c r="F20" s="3" t="s">
        <v>303</v>
      </c>
      <c r="G20" s="3" t="s">
        <v>160</v>
      </c>
    </row>
    <row r="21" spans="2:13" x14ac:dyDescent="0.3">
      <c r="B21" s="3" t="s">
        <v>446</v>
      </c>
      <c r="C21" s="3" t="s">
        <v>446</v>
      </c>
      <c r="D21" s="3" t="str">
        <f>INDEX(tbUnitTypeToIndex[Index],MATCH(tbUnitNameToType[[#This Row],[Type]],tbUnitTypeToIndex[Type],))</f>
        <v>盾兵</v>
      </c>
      <c r="F21" s="3" t="s">
        <v>446</v>
      </c>
      <c r="G21" s="3" t="s">
        <v>159</v>
      </c>
    </row>
    <row r="22" spans="2:13" x14ac:dyDescent="0.3">
      <c r="B22" s="3" t="s">
        <v>447</v>
      </c>
      <c r="C22" s="3" t="s">
        <v>447</v>
      </c>
      <c r="D22" s="3" t="str">
        <f>INDEX(tbUnitTypeToIndex[Index],MATCH(tbUnitNameToType[[#This Row],[Type]],tbUnitTypeToIndex[Type],))</f>
        <v>炼兵</v>
      </c>
      <c r="F22" s="3" t="s">
        <v>447</v>
      </c>
      <c r="G22" s="3" t="s">
        <v>161</v>
      </c>
    </row>
    <row r="23" spans="2:13" x14ac:dyDescent="0.3">
      <c r="B23" s="3" t="s">
        <v>32</v>
      </c>
      <c r="C23" s="3" t="s">
        <v>32</v>
      </c>
      <c r="D23" s="3" t="str">
        <f>INDEX(tbUnitTypeToIndex[Index],MATCH(tbUnitNameToType[[#This Row],[Type]],tbUnitTypeToIndex[Type],))</f>
        <v>法兵</v>
      </c>
      <c r="F23" s="3" t="s">
        <v>32</v>
      </c>
      <c r="G23" s="3" t="s">
        <v>162</v>
      </c>
    </row>
    <row r="24" spans="2:13" x14ac:dyDescent="0.3">
      <c r="B24" s="3" t="s">
        <v>448</v>
      </c>
      <c r="C24" s="3" t="s">
        <v>448</v>
      </c>
      <c r="D24" s="3" t="str">
        <f>INDEX(tbUnitTypeToIndex[Index],MATCH(tbUnitNameToType[[#This Row],[Type]],tbUnitTypeToIndex[Type],))</f>
        <v>刺兵</v>
      </c>
      <c r="F24" s="3" t="s">
        <v>448</v>
      </c>
      <c r="G24" s="3" t="s">
        <v>163</v>
      </c>
    </row>
    <row r="25" spans="2:13" x14ac:dyDescent="0.3">
      <c r="B25" s="3" t="s">
        <v>449</v>
      </c>
      <c r="C25" s="3" t="s">
        <v>449</v>
      </c>
      <c r="D25" s="3" t="str">
        <f>INDEX(tbUnitTypeToIndex[Index],MATCH(tbUnitNameToType[[#This Row],[Type]],tbUnitTypeToIndex[Type],))</f>
        <v>旗兵</v>
      </c>
      <c r="F25" s="3" t="s">
        <v>449</v>
      </c>
      <c r="G25" s="3" t="s">
        <v>458</v>
      </c>
      <c r="K25" s="2"/>
      <c r="L25" s="2"/>
      <c r="M25" s="2"/>
    </row>
    <row r="26" spans="2:13" x14ac:dyDescent="0.3">
      <c r="B26" s="3" t="s">
        <v>30</v>
      </c>
      <c r="C26" s="3" t="s">
        <v>30</v>
      </c>
      <c r="D26" s="3" t="str">
        <f>INDEX(tbUnitTypeToIndex[Index],MATCH(tbUnitNameToType[[#This Row],[Type]],tbUnitTypeToIndex[Type],))</f>
        <v>教徒</v>
      </c>
      <c r="F26" s="3" t="s">
        <v>30</v>
      </c>
      <c r="G26" s="3" t="s">
        <v>459</v>
      </c>
    </row>
    <row r="27" spans="2:13" x14ac:dyDescent="0.3">
      <c r="B27" s="3" t="s">
        <v>378</v>
      </c>
      <c r="C27" s="3" t="s">
        <v>378</v>
      </c>
      <c r="D27" s="3" t="str">
        <f>INDEX(tbUnitTypeToIndex[Index],MATCH(tbUnitNameToType[[#This Row],[Type]],tbUnitTypeToIndex[Type],))</f>
        <v>铁英</v>
      </c>
      <c r="F27" s="3" t="s">
        <v>378</v>
      </c>
      <c r="G27" s="3" t="s">
        <v>454</v>
      </c>
    </row>
    <row r="28" spans="2:13" x14ac:dyDescent="0.3">
      <c r="B28" s="3" t="s">
        <v>377</v>
      </c>
      <c r="C28" s="3" t="s">
        <v>377</v>
      </c>
      <c r="D28" s="3" t="str">
        <f>INDEX(tbUnitTypeToIndex[Index],MATCH(tbUnitNameToType[[#This Row],[Type]],tbUnitTypeToIndex[Type],))</f>
        <v>强英</v>
      </c>
      <c r="F28" s="3" t="s">
        <v>377</v>
      </c>
      <c r="G28" s="3" t="s">
        <v>455</v>
      </c>
    </row>
    <row r="29" spans="2:13" x14ac:dyDescent="0.3">
      <c r="B29" s="3" t="s">
        <v>376</v>
      </c>
      <c r="C29" s="3" t="s">
        <v>376</v>
      </c>
      <c r="D29" s="3" t="str">
        <f>INDEX(tbUnitTypeToIndex[Index],MATCH(tbUnitNameToType[[#This Row],[Type]],tbUnitTypeToIndex[Type],))</f>
        <v>盾英</v>
      </c>
      <c r="F29" s="3" t="s">
        <v>376</v>
      </c>
      <c r="G29" s="3" t="s">
        <v>460</v>
      </c>
    </row>
    <row r="30" spans="2:13" x14ac:dyDescent="0.3">
      <c r="B30" s="3" t="s">
        <v>379</v>
      </c>
      <c r="C30" s="3" t="s">
        <v>379</v>
      </c>
      <c r="D30" s="3" t="str">
        <f>INDEX(tbUnitTypeToIndex[Index],MATCH(tbUnitNameToType[[#This Row],[Type]],tbUnitTypeToIndex[Type],))</f>
        <v>炼英</v>
      </c>
      <c r="F30" s="3" t="s">
        <v>379</v>
      </c>
      <c r="G30" s="3" t="s">
        <v>456</v>
      </c>
    </row>
    <row r="31" spans="2:13" x14ac:dyDescent="0.3">
      <c r="B31" s="3" t="s">
        <v>380</v>
      </c>
      <c r="C31" s="3" t="s">
        <v>380</v>
      </c>
      <c r="D31" s="3" t="str">
        <f>INDEX(tbUnitTypeToIndex[Index],MATCH(tbUnitNameToType[[#This Row],[Type]],tbUnitTypeToIndex[Type],))</f>
        <v>法英</v>
      </c>
      <c r="F31" s="3" t="s">
        <v>380</v>
      </c>
      <c r="G31" s="3" t="s">
        <v>457</v>
      </c>
    </row>
    <row r="32" spans="2:13" x14ac:dyDescent="0.3">
      <c r="B32" s="3" t="s">
        <v>381</v>
      </c>
      <c r="C32" s="3" t="s">
        <v>381</v>
      </c>
      <c r="D32" s="3" t="str">
        <f>INDEX(tbUnitTypeToIndex[Index],MATCH(tbUnitNameToType[[#This Row],[Type]],tbUnitTypeToIndex[Type],))</f>
        <v>刺英</v>
      </c>
      <c r="F32" s="3" t="s">
        <v>381</v>
      </c>
      <c r="G32" s="3" t="s">
        <v>461</v>
      </c>
    </row>
    <row r="33" spans="2:13" x14ac:dyDescent="0.3">
      <c r="B33" s="3" t="s">
        <v>382</v>
      </c>
      <c r="C33" s="3" t="s">
        <v>382</v>
      </c>
      <c r="D33" s="3" t="str">
        <f>INDEX(tbUnitTypeToIndex[Index],MATCH(tbUnitNameToType[[#This Row],[Type]],tbUnitTypeToIndex[Type],))</f>
        <v>铁英</v>
      </c>
      <c r="F33" s="3" t="s">
        <v>382</v>
      </c>
      <c r="G33" s="3" t="s">
        <v>454</v>
      </c>
    </row>
    <row r="34" spans="2:13" x14ac:dyDescent="0.3">
      <c r="B34" s="3" t="s">
        <v>450</v>
      </c>
      <c r="C34" s="3" t="s">
        <v>450</v>
      </c>
      <c r="D34" s="3" t="str">
        <f>INDEX(tbUnitTypeToIndex[Index],MATCH(tbUnitNameToType[[#This Row],[Type]],tbUnitTypeToIndex[Type],))</f>
        <v>强英</v>
      </c>
      <c r="F34" s="3" t="s">
        <v>450</v>
      </c>
      <c r="G34" s="3" t="s">
        <v>455</v>
      </c>
    </row>
    <row r="35" spans="2:13" x14ac:dyDescent="0.3">
      <c r="B35" s="3" t="s">
        <v>451</v>
      </c>
      <c r="C35" s="3" t="s">
        <v>451</v>
      </c>
      <c r="D35" s="3" t="str">
        <f>INDEX(tbUnitTypeToIndex[Index],MATCH(tbUnitNameToType[[#This Row],[Type]],tbUnitTypeToIndex[Type],))</f>
        <v>盾英</v>
      </c>
      <c r="F35" s="3" t="s">
        <v>451</v>
      </c>
      <c r="G35" s="3" t="s">
        <v>460</v>
      </c>
    </row>
    <row r="36" spans="2:13" x14ac:dyDescent="0.3">
      <c r="B36" s="3" t="s">
        <v>452</v>
      </c>
      <c r="C36" s="3" t="s">
        <v>452</v>
      </c>
      <c r="D36" s="3" t="str">
        <f>INDEX(tbUnitTypeToIndex[Index],MATCH(tbUnitNameToType[[#This Row],[Type]],tbUnitTypeToIndex[Type],))</f>
        <v>炼英</v>
      </c>
      <c r="F36" s="3" t="s">
        <v>452</v>
      </c>
      <c r="G36" s="3" t="s">
        <v>456</v>
      </c>
    </row>
    <row r="37" spans="2:13" x14ac:dyDescent="0.3">
      <c r="B37" s="3" t="s">
        <v>375</v>
      </c>
      <c r="C37" s="3" t="s">
        <v>375</v>
      </c>
      <c r="D37" s="3" t="str">
        <f>INDEX(tbUnitTypeToIndex[Index],MATCH(tbUnitNameToType[[#This Row],[Type]],tbUnitTypeToIndex[Type],))</f>
        <v>法英</v>
      </c>
      <c r="F37" s="3" t="s">
        <v>375</v>
      </c>
      <c r="G37" s="3" t="s">
        <v>457</v>
      </c>
    </row>
    <row r="38" spans="2:13" x14ac:dyDescent="0.3">
      <c r="B38" s="3" t="s">
        <v>453</v>
      </c>
      <c r="C38" s="3" t="s">
        <v>453</v>
      </c>
      <c r="D38" s="3" t="str">
        <f>INDEX(tbUnitTypeToIndex[Index],MATCH(tbUnitNameToType[[#This Row],[Type]],tbUnitTypeToIndex[Type],))</f>
        <v>刺英</v>
      </c>
      <c r="F38" s="3" t="s">
        <v>453</v>
      </c>
      <c r="G38" s="3" t="s">
        <v>461</v>
      </c>
    </row>
    <row r="39" spans="2:13" x14ac:dyDescent="0.3">
      <c r="B39" s="3" t="s">
        <v>374</v>
      </c>
      <c r="C39" s="3" t="s">
        <v>375</v>
      </c>
      <c r="D39" s="3" t="str">
        <f>INDEX(tbUnitTypeToIndex[Index],MATCH(tbUnitNameToType[[#This Row],[Type]],tbUnitTypeToIndex[Type],))</f>
        <v>法英</v>
      </c>
      <c r="M39" s="3" t="s">
        <v>631</v>
      </c>
    </row>
    <row r="40" spans="2:13" x14ac:dyDescent="0.3">
      <c r="B40" s="3" t="s">
        <v>304</v>
      </c>
      <c r="C40" s="3" t="s">
        <v>376</v>
      </c>
      <c r="D40" s="3" t="str">
        <f>INDEX(tbUnitTypeToIndex[Index],MATCH(tbUnitNameToType[[#This Row],[Type]],tbUnitTypeToIndex[Type],))</f>
        <v>盾英</v>
      </c>
      <c r="M40" s="3" t="s">
        <v>631</v>
      </c>
    </row>
    <row r="41" spans="2:13" x14ac:dyDescent="0.3">
      <c r="B41" s="3" t="s">
        <v>305</v>
      </c>
      <c r="C41" s="3" t="s">
        <v>377</v>
      </c>
      <c r="D41" s="3" t="str">
        <f>INDEX(tbUnitTypeToIndex[Index],MATCH(tbUnitNameToType[[#This Row],[Type]],tbUnitTypeToIndex[Type],))</f>
        <v>强英</v>
      </c>
      <c r="M41" s="3" t="s">
        <v>631</v>
      </c>
    </row>
    <row r="42" spans="2:13" x14ac:dyDescent="0.3">
      <c r="B42" s="3" t="s">
        <v>306</v>
      </c>
      <c r="C42" s="3" t="s">
        <v>377</v>
      </c>
      <c r="D42" s="3" t="str">
        <f>INDEX(tbUnitTypeToIndex[Index],MATCH(tbUnitNameToType[[#This Row],[Type]],tbUnitTypeToIndex[Type],))</f>
        <v>强英</v>
      </c>
      <c r="M42" s="3" t="s">
        <v>631</v>
      </c>
    </row>
    <row r="43" spans="2:13" x14ac:dyDescent="0.3">
      <c r="B43" s="3" t="s">
        <v>307</v>
      </c>
      <c r="C43" s="3" t="s">
        <v>378</v>
      </c>
      <c r="D43" s="3" t="str">
        <f>INDEX(tbUnitTypeToIndex[Index],MATCH(tbUnitNameToType[[#This Row],[Type]],tbUnitTypeToIndex[Type],))</f>
        <v>铁英</v>
      </c>
      <c r="M43" s="3" t="s">
        <v>631</v>
      </c>
    </row>
    <row r="44" spans="2:13" x14ac:dyDescent="0.3">
      <c r="B44" s="3" t="s">
        <v>308</v>
      </c>
      <c r="C44" s="3" t="s">
        <v>377</v>
      </c>
      <c r="D44" s="3" t="str">
        <f>INDEX(tbUnitTypeToIndex[Index],MATCH(tbUnitNameToType[[#This Row],[Type]],tbUnitTypeToIndex[Type],))</f>
        <v>强英</v>
      </c>
      <c r="M44" s="3" t="s">
        <v>631</v>
      </c>
    </row>
    <row r="45" spans="2:13" x14ac:dyDescent="0.3">
      <c r="B45" s="3" t="s">
        <v>309</v>
      </c>
      <c r="C45" s="3" t="s">
        <v>376</v>
      </c>
      <c r="D45" s="3" t="str">
        <f>INDEX(tbUnitTypeToIndex[Index],MATCH(tbUnitNameToType[[#This Row],[Type]],tbUnitTypeToIndex[Type],))</f>
        <v>盾英</v>
      </c>
      <c r="M45" s="3" t="s">
        <v>631</v>
      </c>
    </row>
    <row r="46" spans="2:13" x14ac:dyDescent="0.3">
      <c r="B46" s="3" t="s">
        <v>310</v>
      </c>
      <c r="C46" s="3" t="s">
        <v>379</v>
      </c>
      <c r="D46" s="3" t="str">
        <f>INDEX(tbUnitTypeToIndex[Index],MATCH(tbUnitNameToType[[#This Row],[Type]],tbUnitTypeToIndex[Type],))</f>
        <v>炼英</v>
      </c>
      <c r="M46" s="3" t="s">
        <v>631</v>
      </c>
    </row>
    <row r="47" spans="2:13" x14ac:dyDescent="0.3">
      <c r="B47" s="3" t="s">
        <v>311</v>
      </c>
      <c r="C47" s="3" t="s">
        <v>379</v>
      </c>
      <c r="D47" s="3" t="str">
        <f>INDEX(tbUnitTypeToIndex[Index],MATCH(tbUnitNameToType[[#This Row],[Type]],tbUnitTypeToIndex[Type],))</f>
        <v>炼英</v>
      </c>
      <c r="M47" s="3" t="s">
        <v>631</v>
      </c>
    </row>
    <row r="48" spans="2:13" x14ac:dyDescent="0.3">
      <c r="B48" s="3" t="s">
        <v>312</v>
      </c>
      <c r="C48" s="3" t="s">
        <v>380</v>
      </c>
      <c r="D48" s="3" t="str">
        <f>INDEX(tbUnitTypeToIndex[Index],MATCH(tbUnitNameToType[[#This Row],[Type]],tbUnitTypeToIndex[Type],))</f>
        <v>法英</v>
      </c>
      <c r="M48" s="3" t="s">
        <v>631</v>
      </c>
    </row>
    <row r="49" spans="2:13" x14ac:dyDescent="0.3">
      <c r="B49" s="3" t="s">
        <v>313</v>
      </c>
      <c r="C49" s="3" t="s">
        <v>377</v>
      </c>
      <c r="D49" s="3" t="str">
        <f>INDEX(tbUnitTypeToIndex[Index],MATCH(tbUnitNameToType[[#This Row],[Type]],tbUnitTypeToIndex[Type],))</f>
        <v>强英</v>
      </c>
      <c r="M49" s="3" t="s">
        <v>631</v>
      </c>
    </row>
    <row r="50" spans="2:13" x14ac:dyDescent="0.3">
      <c r="B50" s="3" t="s">
        <v>314</v>
      </c>
      <c r="C50" s="3" t="s">
        <v>380</v>
      </c>
      <c r="D50" s="3" t="str">
        <f>INDEX(tbUnitTypeToIndex[Index],MATCH(tbUnitNameToType[[#This Row],[Type]],tbUnitTypeToIndex[Type],))</f>
        <v>法英</v>
      </c>
    </row>
    <row r="51" spans="2:13" x14ac:dyDescent="0.3">
      <c r="B51" s="3" t="s">
        <v>315</v>
      </c>
      <c r="C51" s="3" t="s">
        <v>379</v>
      </c>
      <c r="D51" s="3" t="str">
        <f>INDEX(tbUnitTypeToIndex[Index],MATCH(tbUnitNameToType[[#This Row],[Type]],tbUnitTypeToIndex[Type],))</f>
        <v>炼英</v>
      </c>
    </row>
    <row r="52" spans="2:13" x14ac:dyDescent="0.3">
      <c r="B52" s="3" t="s">
        <v>316</v>
      </c>
      <c r="C52" s="3" t="s">
        <v>378</v>
      </c>
      <c r="D52" s="3" t="str">
        <f>INDEX(tbUnitTypeToIndex[Index],MATCH(tbUnitNameToType[[#This Row],[Type]],tbUnitTypeToIndex[Type],))</f>
        <v>铁英</v>
      </c>
    </row>
    <row r="53" spans="2:13" x14ac:dyDescent="0.3">
      <c r="B53" s="3" t="s">
        <v>317</v>
      </c>
      <c r="C53" s="3" t="s">
        <v>376</v>
      </c>
      <c r="D53" s="3" t="str">
        <f>INDEX(tbUnitTypeToIndex[Index],MATCH(tbUnitNameToType[[#This Row],[Type]],tbUnitTypeToIndex[Type],))</f>
        <v>盾英</v>
      </c>
    </row>
    <row r="54" spans="2:13" x14ac:dyDescent="0.3">
      <c r="B54" s="3" t="s">
        <v>318</v>
      </c>
      <c r="C54" s="3" t="s">
        <v>381</v>
      </c>
      <c r="D54" s="3" t="str">
        <f>INDEX(tbUnitTypeToIndex[Index],MATCH(tbUnitNameToType[[#This Row],[Type]],tbUnitTypeToIndex[Type],))</f>
        <v>刺英</v>
      </c>
    </row>
    <row r="55" spans="2:13" x14ac:dyDescent="0.3">
      <c r="B55" s="3" t="s">
        <v>319</v>
      </c>
      <c r="C55" s="3" t="s">
        <v>376</v>
      </c>
      <c r="D55" s="3" t="str">
        <f>INDEX(tbUnitTypeToIndex[Index],MATCH(tbUnitNameToType[[#This Row],[Type]],tbUnitTypeToIndex[Type],))</f>
        <v>盾英</v>
      </c>
    </row>
    <row r="56" spans="2:13" x14ac:dyDescent="0.3">
      <c r="B56" s="3" t="s">
        <v>320</v>
      </c>
      <c r="C56" s="3" t="s">
        <v>381</v>
      </c>
      <c r="D56" s="3" t="str">
        <f>INDEX(tbUnitTypeToIndex[Index],MATCH(tbUnitNameToType[[#This Row],[Type]],tbUnitTypeToIndex[Type],))</f>
        <v>刺英</v>
      </c>
    </row>
    <row r="57" spans="2:13" x14ac:dyDescent="0.3">
      <c r="B57" s="3" t="s">
        <v>37</v>
      </c>
      <c r="C57" s="3" t="s">
        <v>380</v>
      </c>
      <c r="D57" s="3" t="str">
        <f>INDEX(tbUnitTypeToIndex[Index],MATCH(tbUnitNameToType[[#This Row],[Type]],tbUnitTypeToIndex[Type],))</f>
        <v>法英</v>
      </c>
    </row>
    <row r="58" spans="2:13" x14ac:dyDescent="0.3">
      <c r="B58" s="3" t="s">
        <v>321</v>
      </c>
      <c r="C58" s="3" t="s">
        <v>382</v>
      </c>
      <c r="D58" s="3" t="str">
        <f>INDEX(tbUnitTypeToIndex[Index],MATCH(tbUnitNameToType[[#This Row],[Type]],tbUnitTypeToIndex[Type],))</f>
        <v>铁英</v>
      </c>
    </row>
    <row r="59" spans="2:13" x14ac:dyDescent="0.3">
      <c r="B59" s="3" t="s">
        <v>322</v>
      </c>
      <c r="C59" s="3" t="s">
        <v>375</v>
      </c>
      <c r="D59" s="3" t="str">
        <f>INDEX(tbUnitTypeToIndex[Index],MATCH(tbUnitNameToType[[#This Row],[Type]],tbUnitTypeToIndex[Type],))</f>
        <v>法英</v>
      </c>
    </row>
    <row r="60" spans="2:13" x14ac:dyDescent="0.3">
      <c r="B60" s="3" t="s">
        <v>323</v>
      </c>
      <c r="C60" s="3" t="s">
        <v>375</v>
      </c>
      <c r="D60" s="3" t="str">
        <f>INDEX(tbUnitTypeToIndex[Index],MATCH(tbUnitNameToType[[#This Row],[Type]],tbUnitTypeToIndex[Type],))</f>
        <v>法英</v>
      </c>
    </row>
    <row r="61" spans="2:13" x14ac:dyDescent="0.3">
      <c r="B61" s="3" t="s">
        <v>324</v>
      </c>
      <c r="C61" s="3" t="s">
        <v>376</v>
      </c>
      <c r="D61" s="3" t="str">
        <f>INDEX(tbUnitTypeToIndex[Index],MATCH(tbUnitNameToType[[#This Row],[Type]],tbUnitTypeToIndex[Type],))</f>
        <v>盾英</v>
      </c>
    </row>
    <row r="62" spans="2:13" x14ac:dyDescent="0.3">
      <c r="B62" s="3" t="s">
        <v>325</v>
      </c>
      <c r="C62" s="3" t="s">
        <v>376</v>
      </c>
      <c r="D62" s="3" t="str">
        <f>INDEX(tbUnitTypeToIndex[Index],MATCH(tbUnitNameToType[[#This Row],[Type]],tbUnitTypeToIndex[Type],))</f>
        <v>盾英</v>
      </c>
    </row>
    <row r="63" spans="2:13" x14ac:dyDescent="0.3">
      <c r="B63" s="3" t="s">
        <v>326</v>
      </c>
      <c r="C63" s="3" t="s">
        <v>378</v>
      </c>
      <c r="D63" s="3" t="str">
        <f>INDEX(tbUnitTypeToIndex[Index],MATCH(tbUnitNameToType[[#This Row],[Type]],tbUnitTypeToIndex[Type],))</f>
        <v>铁英</v>
      </c>
    </row>
    <row r="64" spans="2:13" x14ac:dyDescent="0.3">
      <c r="B64" s="3" t="s">
        <v>327</v>
      </c>
      <c r="C64" s="3" t="s">
        <v>383</v>
      </c>
      <c r="D64" s="3" t="str">
        <f>INDEX(tbUnitTypeToIndex[Index],MATCH(tbUnitNameToType[[#This Row],[Type]],tbUnitTypeToIndex[Type],))</f>
        <v>铁英</v>
      </c>
    </row>
    <row r="65" spans="2:4" x14ac:dyDescent="0.3">
      <c r="B65" s="3" t="s">
        <v>328</v>
      </c>
      <c r="C65" s="3" t="s">
        <v>377</v>
      </c>
      <c r="D65" s="3" t="str">
        <f>INDEX(tbUnitTypeToIndex[Index],MATCH(tbUnitNameToType[[#This Row],[Type]],tbUnitTypeToIndex[Type],))</f>
        <v>强英</v>
      </c>
    </row>
    <row r="66" spans="2:4" x14ac:dyDescent="0.3">
      <c r="B66" s="3" t="s">
        <v>329</v>
      </c>
      <c r="C66" s="23" t="s">
        <v>919</v>
      </c>
      <c r="D66" s="3" t="str">
        <f>INDEX(tbUnitTypeToIndex[Index],MATCH(tbUnitNameToType[[#This Row],[Type]],tbUnitTypeToIndex[Type],))</f>
        <v>铁英</v>
      </c>
    </row>
    <row r="67" spans="2:4" x14ac:dyDescent="0.3">
      <c r="B67" s="3" t="s">
        <v>330</v>
      </c>
      <c r="C67" s="3" t="s">
        <v>380</v>
      </c>
      <c r="D67" s="3" t="str">
        <f>INDEX(tbUnitTypeToIndex[Index],MATCH(tbUnitNameToType[[#This Row],[Type]],tbUnitTypeToIndex[Type],))</f>
        <v>法英</v>
      </c>
    </row>
    <row r="68" spans="2:4" x14ac:dyDescent="0.3">
      <c r="B68" s="3" t="s">
        <v>331</v>
      </c>
      <c r="C68" s="3" t="s">
        <v>377</v>
      </c>
      <c r="D68" s="3" t="str">
        <f>INDEX(tbUnitTypeToIndex[Index],MATCH(tbUnitNameToType[[#This Row],[Type]],tbUnitTypeToIndex[Type],))</f>
        <v>强英</v>
      </c>
    </row>
    <row r="69" spans="2:4" x14ac:dyDescent="0.3">
      <c r="B69" s="3" t="s">
        <v>332</v>
      </c>
      <c r="C69" s="3" t="s">
        <v>379</v>
      </c>
      <c r="D69" s="3" t="str">
        <f>INDEX(tbUnitTypeToIndex[Index],MATCH(tbUnitNameToType[[#This Row],[Type]],tbUnitTypeToIndex[Type],))</f>
        <v>炼英</v>
      </c>
    </row>
    <row r="70" spans="2:4" x14ac:dyDescent="0.3">
      <c r="B70" s="3" t="s">
        <v>333</v>
      </c>
      <c r="C70" s="3" t="s">
        <v>379</v>
      </c>
      <c r="D70" s="3" t="str">
        <f>INDEX(tbUnitTypeToIndex[Index],MATCH(tbUnitNameToType[[#This Row],[Type]],tbUnitTypeToIndex[Type],))</f>
        <v>炼英</v>
      </c>
    </row>
    <row r="71" spans="2:4" x14ac:dyDescent="0.3">
      <c r="B71" s="3" t="s">
        <v>334</v>
      </c>
      <c r="C71" s="3" t="s">
        <v>379</v>
      </c>
      <c r="D71" s="3" t="str">
        <f>INDEX(tbUnitTypeToIndex[Index],MATCH(tbUnitNameToType[[#This Row],[Type]],tbUnitTypeToIndex[Type],))</f>
        <v>炼英</v>
      </c>
    </row>
    <row r="72" spans="2:4" x14ac:dyDescent="0.3">
      <c r="B72" s="3" t="s">
        <v>335</v>
      </c>
      <c r="C72" s="3" t="s">
        <v>377</v>
      </c>
      <c r="D72" s="3" t="str">
        <f>INDEX(tbUnitTypeToIndex[Index],MATCH(tbUnitNameToType[[#This Row],[Type]],tbUnitTypeToIndex[Type],))</f>
        <v>强英</v>
      </c>
    </row>
    <row r="73" spans="2:4" x14ac:dyDescent="0.3">
      <c r="B73" s="3" t="s">
        <v>336</v>
      </c>
      <c r="C73" s="3" t="s">
        <v>380</v>
      </c>
      <c r="D73" s="3" t="str">
        <f>INDEX(tbUnitTypeToIndex[Index],MATCH(tbUnitNameToType[[#This Row],[Type]],tbUnitTypeToIndex[Type],))</f>
        <v>法英</v>
      </c>
    </row>
    <row r="74" spans="2:4" x14ac:dyDescent="0.3">
      <c r="B74" s="3" t="s">
        <v>337</v>
      </c>
      <c r="C74" s="3" t="s">
        <v>379</v>
      </c>
      <c r="D74" s="3" t="str">
        <f>INDEX(tbUnitTypeToIndex[Index],MATCH(tbUnitNameToType[[#This Row],[Type]],tbUnitTypeToIndex[Type],))</f>
        <v>炼英</v>
      </c>
    </row>
    <row r="75" spans="2:4" x14ac:dyDescent="0.3">
      <c r="B75" s="3" t="s">
        <v>338</v>
      </c>
      <c r="C75" s="3" t="s">
        <v>378</v>
      </c>
      <c r="D75" s="3" t="str">
        <f>INDEX(tbUnitTypeToIndex[Index],MATCH(tbUnitNameToType[[#This Row],[Type]],tbUnitTypeToIndex[Type],))</f>
        <v>铁英</v>
      </c>
    </row>
    <row r="76" spans="2:4" x14ac:dyDescent="0.3">
      <c r="B76" s="3" t="s">
        <v>339</v>
      </c>
      <c r="C76" s="3" t="s">
        <v>376</v>
      </c>
      <c r="D76" s="3" t="str">
        <f>INDEX(tbUnitTypeToIndex[Index],MATCH(tbUnitNameToType[[#This Row],[Type]],tbUnitTypeToIndex[Type],))</f>
        <v>盾英</v>
      </c>
    </row>
    <row r="77" spans="2:4" x14ac:dyDescent="0.3">
      <c r="B77" s="3" t="s">
        <v>340</v>
      </c>
      <c r="C77" s="3" t="s">
        <v>378</v>
      </c>
      <c r="D77" s="3" t="str">
        <f>INDEX(tbUnitTypeToIndex[Index],MATCH(tbUnitNameToType[[#This Row],[Type]],tbUnitTypeToIndex[Type],))</f>
        <v>铁英</v>
      </c>
    </row>
    <row r="78" spans="2:4" x14ac:dyDescent="0.3">
      <c r="B78" s="3" t="s">
        <v>341</v>
      </c>
      <c r="C78" s="3" t="s">
        <v>381</v>
      </c>
      <c r="D78" s="3" t="str">
        <f>INDEX(tbUnitTypeToIndex[Index],MATCH(tbUnitNameToType[[#This Row],[Type]],tbUnitTypeToIndex[Type],))</f>
        <v>刺英</v>
      </c>
    </row>
    <row r="79" spans="2:4" x14ac:dyDescent="0.3">
      <c r="B79" s="3" t="s">
        <v>342</v>
      </c>
      <c r="C79" s="3" t="s">
        <v>377</v>
      </c>
      <c r="D79" s="3" t="str">
        <f>INDEX(tbUnitTypeToIndex[Index],MATCH(tbUnitNameToType[[#This Row],[Type]],tbUnitTypeToIndex[Type],))</f>
        <v>强英</v>
      </c>
    </row>
    <row r="80" spans="2:4" x14ac:dyDescent="0.3">
      <c r="B80" s="3" t="s">
        <v>343</v>
      </c>
      <c r="C80" s="3" t="s">
        <v>379</v>
      </c>
      <c r="D80" s="3" t="str">
        <f>INDEX(tbUnitTypeToIndex[Index],MATCH(tbUnitNameToType[[#This Row],[Type]],tbUnitTypeToIndex[Type],))</f>
        <v>炼英</v>
      </c>
    </row>
    <row r="81" spans="2:4" x14ac:dyDescent="0.3">
      <c r="B81" s="3" t="s">
        <v>344</v>
      </c>
      <c r="C81" s="3" t="s">
        <v>376</v>
      </c>
      <c r="D81" s="3" t="str">
        <f>INDEX(tbUnitTypeToIndex[Index],MATCH(tbUnitNameToType[[#This Row],[Type]],tbUnitTypeToIndex[Type],))</f>
        <v>盾英</v>
      </c>
    </row>
    <row r="82" spans="2:4" x14ac:dyDescent="0.3">
      <c r="B82" s="3" t="s">
        <v>345</v>
      </c>
      <c r="C82" s="3" t="s">
        <v>376</v>
      </c>
      <c r="D82" s="3" t="str">
        <f>INDEX(tbUnitTypeToIndex[Index],MATCH(tbUnitNameToType[[#This Row],[Type]],tbUnitTypeToIndex[Type],))</f>
        <v>盾英</v>
      </c>
    </row>
    <row r="83" spans="2:4" x14ac:dyDescent="0.3">
      <c r="B83" s="3" t="s">
        <v>346</v>
      </c>
      <c r="C83" s="3" t="s">
        <v>381</v>
      </c>
      <c r="D83" s="3" t="str">
        <f>INDEX(tbUnitTypeToIndex[Index],MATCH(tbUnitNameToType[[#This Row],[Type]],tbUnitTypeToIndex[Type],))</f>
        <v>刺英</v>
      </c>
    </row>
    <row r="84" spans="2:4" x14ac:dyDescent="0.3">
      <c r="B84" s="3" t="s">
        <v>347</v>
      </c>
      <c r="C84" s="3" t="s">
        <v>379</v>
      </c>
      <c r="D84" s="3" t="str">
        <f>INDEX(tbUnitTypeToIndex[Index],MATCH(tbUnitNameToType[[#This Row],[Type]],tbUnitTypeToIndex[Type],))</f>
        <v>炼英</v>
      </c>
    </row>
    <row r="85" spans="2:4" x14ac:dyDescent="0.3">
      <c r="B85" s="3" t="s">
        <v>348</v>
      </c>
      <c r="C85" s="3" t="s">
        <v>378</v>
      </c>
      <c r="D85" s="3" t="str">
        <f>INDEX(tbUnitTypeToIndex[Index],MATCH(tbUnitNameToType[[#This Row],[Type]],tbUnitTypeToIndex[Type],))</f>
        <v>铁英</v>
      </c>
    </row>
    <row r="86" spans="2:4" x14ac:dyDescent="0.3">
      <c r="B86" s="3" t="s">
        <v>349</v>
      </c>
      <c r="C86" s="3" t="s">
        <v>381</v>
      </c>
      <c r="D86" s="3" t="str">
        <f>INDEX(tbUnitTypeToIndex[Index],MATCH(tbUnitNameToType[[#This Row],[Type]],tbUnitTypeToIndex[Type],))</f>
        <v>刺英</v>
      </c>
    </row>
    <row r="87" spans="2:4" x14ac:dyDescent="0.3">
      <c r="B87" s="3" t="s">
        <v>350</v>
      </c>
      <c r="C87" s="3" t="s">
        <v>378</v>
      </c>
      <c r="D87" s="3" t="str">
        <f>INDEX(tbUnitTypeToIndex[Index],MATCH(tbUnitNameToType[[#This Row],[Type]],tbUnitTypeToIndex[Type],))</f>
        <v>铁英</v>
      </c>
    </row>
    <row r="88" spans="2:4" x14ac:dyDescent="0.3">
      <c r="B88" s="3" t="s">
        <v>351</v>
      </c>
      <c r="C88" s="3" t="s">
        <v>377</v>
      </c>
      <c r="D88" s="3" t="str">
        <f>INDEX(tbUnitTypeToIndex[Index],MATCH(tbUnitNameToType[[#This Row],[Type]],tbUnitTypeToIndex[Type],))</f>
        <v>强英</v>
      </c>
    </row>
    <row r="89" spans="2:4" x14ac:dyDescent="0.3">
      <c r="B89" s="3" t="s">
        <v>352</v>
      </c>
      <c r="C89" s="3" t="s">
        <v>376</v>
      </c>
      <c r="D89" s="3" t="str">
        <f>INDEX(tbUnitTypeToIndex[Index],MATCH(tbUnitNameToType[[#This Row],[Type]],tbUnitTypeToIndex[Type],))</f>
        <v>盾英</v>
      </c>
    </row>
    <row r="90" spans="2:4" x14ac:dyDescent="0.3">
      <c r="B90" s="3" t="s">
        <v>353</v>
      </c>
      <c r="C90" s="3" t="s">
        <v>377</v>
      </c>
      <c r="D90" s="3" t="str">
        <f>INDEX(tbUnitTypeToIndex[Index],MATCH(tbUnitNameToType[[#This Row],[Type]],tbUnitTypeToIndex[Type],))</f>
        <v>强英</v>
      </c>
    </row>
    <row r="91" spans="2:4" x14ac:dyDescent="0.3">
      <c r="B91" s="3" t="s">
        <v>354</v>
      </c>
      <c r="C91" s="3" t="s">
        <v>379</v>
      </c>
      <c r="D91" s="3" t="str">
        <f>INDEX(tbUnitTypeToIndex[Index],MATCH(tbUnitNameToType[[#This Row],[Type]],tbUnitTypeToIndex[Type],))</f>
        <v>炼英</v>
      </c>
    </row>
    <row r="92" spans="2:4" x14ac:dyDescent="0.3">
      <c r="B92" s="3" t="s">
        <v>355</v>
      </c>
      <c r="C92" s="3" t="s">
        <v>381</v>
      </c>
      <c r="D92" s="3" t="str">
        <f>INDEX(tbUnitTypeToIndex[Index],MATCH(tbUnitNameToType[[#This Row],[Type]],tbUnitTypeToIndex[Type],))</f>
        <v>刺英</v>
      </c>
    </row>
    <row r="93" spans="2:4" x14ac:dyDescent="0.3">
      <c r="B93" s="3" t="s">
        <v>356</v>
      </c>
      <c r="C93" s="3" t="s">
        <v>377</v>
      </c>
      <c r="D93" s="3" t="str">
        <f>INDEX(tbUnitTypeToIndex[Index],MATCH(tbUnitNameToType[[#This Row],[Type]],tbUnitTypeToIndex[Type],))</f>
        <v>强英</v>
      </c>
    </row>
    <row r="94" spans="2:4" x14ac:dyDescent="0.3">
      <c r="B94" s="3" t="s">
        <v>357</v>
      </c>
      <c r="C94" s="3" t="s">
        <v>378</v>
      </c>
      <c r="D94" s="3" t="str">
        <f>INDEX(tbUnitTypeToIndex[Index],MATCH(tbUnitNameToType[[#This Row],[Type]],tbUnitTypeToIndex[Type],))</f>
        <v>铁英</v>
      </c>
    </row>
    <row r="95" spans="2:4" x14ac:dyDescent="0.3">
      <c r="B95" s="3" t="s">
        <v>358</v>
      </c>
      <c r="C95" s="3" t="s">
        <v>380</v>
      </c>
      <c r="D95" s="3" t="str">
        <f>INDEX(tbUnitTypeToIndex[Index],MATCH(tbUnitNameToType[[#This Row],[Type]],tbUnitTypeToIndex[Type],))</f>
        <v>法英</v>
      </c>
    </row>
    <row r="96" spans="2:4" x14ac:dyDescent="0.3">
      <c r="B96" s="3" t="s">
        <v>359</v>
      </c>
      <c r="C96" s="3" t="s">
        <v>377</v>
      </c>
      <c r="D96" s="3" t="str">
        <f>INDEX(tbUnitTypeToIndex[Index],MATCH(tbUnitNameToType[[#This Row],[Type]],tbUnitTypeToIndex[Type],))</f>
        <v>强英</v>
      </c>
    </row>
    <row r="97" spans="2:4" x14ac:dyDescent="0.3">
      <c r="B97" s="3" t="s">
        <v>360</v>
      </c>
      <c r="C97" s="3" t="s">
        <v>376</v>
      </c>
      <c r="D97" s="3" t="str">
        <f>INDEX(tbUnitTypeToIndex[Index],MATCH(tbUnitNameToType[[#This Row],[Type]],tbUnitTypeToIndex[Type],))</f>
        <v>盾英</v>
      </c>
    </row>
    <row r="98" spans="2:4" x14ac:dyDescent="0.3">
      <c r="B98" s="3" t="s">
        <v>431</v>
      </c>
      <c r="C98" s="3" t="s">
        <v>378</v>
      </c>
      <c r="D98" s="3" t="str">
        <f>INDEX(tbUnitTypeToIndex[Index],MATCH(tbUnitNameToType[[#This Row],[Type]],tbUnitTypeToIndex[Type],))</f>
        <v>铁英</v>
      </c>
    </row>
    <row r="99" spans="2:4" x14ac:dyDescent="0.3">
      <c r="B99" s="3" t="s">
        <v>432</v>
      </c>
      <c r="C99" s="3" t="s">
        <v>380</v>
      </c>
      <c r="D99" s="3" t="str">
        <f>INDEX(tbUnitTypeToIndex[Index],MATCH(tbUnitNameToType[[#This Row],[Type]],tbUnitTypeToIndex[Type],))</f>
        <v>法英</v>
      </c>
    </row>
    <row r="100" spans="2:4" x14ac:dyDescent="0.3">
      <c r="B100" s="3" t="s">
        <v>361</v>
      </c>
      <c r="C100" s="3" t="s">
        <v>380</v>
      </c>
      <c r="D100" s="3" t="str">
        <f>INDEX(tbUnitTypeToIndex[Index],MATCH(tbUnitNameToType[[#This Row],[Type]],tbUnitTypeToIndex[Type],))</f>
        <v>法英</v>
      </c>
    </row>
    <row r="101" spans="2:4" x14ac:dyDescent="0.3">
      <c r="B101" s="3" t="s">
        <v>362</v>
      </c>
      <c r="C101" s="3" t="s">
        <v>376</v>
      </c>
      <c r="D101" s="3" t="str">
        <f>INDEX(tbUnitTypeToIndex[Index],MATCH(tbUnitNameToType[[#This Row],[Type]],tbUnitTypeToIndex[Type],))</f>
        <v>盾英</v>
      </c>
    </row>
    <row r="102" spans="2:4" x14ac:dyDescent="0.3">
      <c r="B102" s="3" t="s">
        <v>363</v>
      </c>
      <c r="C102" s="3" t="s">
        <v>378</v>
      </c>
      <c r="D102" s="3" t="str">
        <f>INDEX(tbUnitTypeToIndex[Index],MATCH(tbUnitNameToType[[#This Row],[Type]],tbUnitTypeToIndex[Type],))</f>
        <v>铁英</v>
      </c>
    </row>
    <row r="103" spans="2:4" x14ac:dyDescent="0.3">
      <c r="B103" s="3" t="s">
        <v>364</v>
      </c>
      <c r="C103" s="3" t="s">
        <v>378</v>
      </c>
      <c r="D103" s="3" t="str">
        <f>INDEX(tbUnitTypeToIndex[Index],MATCH(tbUnitNameToType[[#This Row],[Type]],tbUnitTypeToIndex[Type],))</f>
        <v>铁英</v>
      </c>
    </row>
    <row r="104" spans="2:4" x14ac:dyDescent="0.3">
      <c r="B104" s="3" t="s">
        <v>365</v>
      </c>
      <c r="C104" s="3" t="s">
        <v>379</v>
      </c>
      <c r="D104" s="3" t="str">
        <f>INDEX(tbUnitTypeToIndex[Index],MATCH(tbUnitNameToType[[#This Row],[Type]],tbUnitTypeToIndex[Type],))</f>
        <v>炼英</v>
      </c>
    </row>
    <row r="105" spans="2:4" x14ac:dyDescent="0.3">
      <c r="B105" s="3" t="s">
        <v>366</v>
      </c>
      <c r="C105" s="3" t="s">
        <v>377</v>
      </c>
      <c r="D105" s="3" t="str">
        <f>INDEX(tbUnitTypeToIndex[Index],MATCH(tbUnitNameToType[[#This Row],[Type]],tbUnitTypeToIndex[Type],))</f>
        <v>强英</v>
      </c>
    </row>
    <row r="106" spans="2:4" x14ac:dyDescent="0.3">
      <c r="B106" s="3" t="s">
        <v>367</v>
      </c>
      <c r="C106" s="3" t="s">
        <v>376</v>
      </c>
      <c r="D106" s="3" t="str">
        <f>INDEX(tbUnitTypeToIndex[Index],MATCH(tbUnitNameToType[[#This Row],[Type]],tbUnitTypeToIndex[Type],))</f>
        <v>盾英</v>
      </c>
    </row>
    <row r="107" spans="2:4" x14ac:dyDescent="0.3">
      <c r="B107" s="3" t="s">
        <v>433</v>
      </c>
      <c r="C107" s="3" t="s">
        <v>377</v>
      </c>
      <c r="D107" s="3" t="str">
        <f>INDEX(tbUnitTypeToIndex[Index],MATCH(tbUnitNameToType[[#This Row],[Type]],tbUnitTypeToIndex[Type],))</f>
        <v>强英</v>
      </c>
    </row>
    <row r="108" spans="2:4" x14ac:dyDescent="0.3">
      <c r="B108" s="3" t="s">
        <v>434</v>
      </c>
      <c r="C108" s="3" t="s">
        <v>381</v>
      </c>
      <c r="D108" s="3" t="str">
        <f>INDEX(tbUnitTypeToIndex[Index],MATCH(tbUnitNameToType[[#This Row],[Type]],tbUnitTypeToIndex[Type],))</f>
        <v>刺英</v>
      </c>
    </row>
    <row r="109" spans="2:4" x14ac:dyDescent="0.3">
      <c r="B109" s="26" t="s">
        <v>928</v>
      </c>
      <c r="C109" s="26" t="s">
        <v>929</v>
      </c>
      <c r="D109" s="27" t="str">
        <f>INDEX(tbUnitTypeToIndex[Index],MATCH(tbUnitNameToType[[#This Row],[Type]],tbUnitTypeToIndex[Type],))</f>
        <v>炼英</v>
      </c>
    </row>
    <row r="110" spans="2:4" x14ac:dyDescent="0.3">
      <c r="B110" s="3" t="s">
        <v>368</v>
      </c>
      <c r="C110" s="3" t="s">
        <v>379</v>
      </c>
      <c r="D110" s="3" t="str">
        <f>INDEX(tbUnitTypeToIndex[Index],MATCH(tbUnitNameToType[[#This Row],[Type]],tbUnitTypeToIndex[Type],))</f>
        <v>炼英</v>
      </c>
    </row>
    <row r="111" spans="2:4" x14ac:dyDescent="0.3">
      <c r="B111" s="3" t="s">
        <v>369</v>
      </c>
      <c r="C111" s="3" t="s">
        <v>381</v>
      </c>
      <c r="D111" s="3" t="str">
        <f>INDEX(tbUnitTypeToIndex[Index],MATCH(tbUnitNameToType[[#This Row],[Type]],tbUnitTypeToIndex[Type],))</f>
        <v>刺英</v>
      </c>
    </row>
    <row r="112" spans="2:4" x14ac:dyDescent="0.3">
      <c r="B112" s="3" t="s">
        <v>435</v>
      </c>
      <c r="C112" s="3" t="s">
        <v>381</v>
      </c>
      <c r="D112" s="3" t="str">
        <f>INDEX(tbUnitTypeToIndex[Index],MATCH(tbUnitNameToType[[#This Row],[Type]],tbUnitTypeToIndex[Type],))</f>
        <v>刺英</v>
      </c>
    </row>
    <row r="113" spans="2:4" x14ac:dyDescent="0.3">
      <c r="B113" s="3" t="s">
        <v>370</v>
      </c>
      <c r="C113" s="3" t="s">
        <v>380</v>
      </c>
      <c r="D113" s="3" t="str">
        <f>INDEX(tbUnitTypeToIndex[Index],MATCH(tbUnitNameToType[[#This Row],[Type]],tbUnitTypeToIndex[Type],))</f>
        <v>法英</v>
      </c>
    </row>
    <row r="114" spans="2:4" x14ac:dyDescent="0.3">
      <c r="B114" s="3" t="s">
        <v>371</v>
      </c>
      <c r="C114" s="3" t="s">
        <v>378</v>
      </c>
      <c r="D114" s="3" t="str">
        <f>INDEX(tbUnitTypeToIndex[Index],MATCH(tbUnitNameToType[[#This Row],[Type]],tbUnitTypeToIndex[Type],))</f>
        <v>铁英</v>
      </c>
    </row>
    <row r="115" spans="2:4" x14ac:dyDescent="0.3">
      <c r="B115" s="3" t="s">
        <v>372</v>
      </c>
      <c r="C115" s="3" t="s">
        <v>378</v>
      </c>
      <c r="D115" s="3" t="str">
        <f>INDEX(tbUnitTypeToIndex[Index],MATCH(tbUnitNameToType[[#This Row],[Type]],tbUnitTypeToIndex[Type],))</f>
        <v>铁英</v>
      </c>
    </row>
    <row r="116" spans="2:4" x14ac:dyDescent="0.3">
      <c r="B116" s="3" t="s">
        <v>373</v>
      </c>
      <c r="C116" s="3" t="s">
        <v>379</v>
      </c>
      <c r="D116" s="3" t="str">
        <f>INDEX(tbUnitTypeToIndex[Index],MATCH(tbUnitNameToType[[#This Row],[Type]],tbUnitTypeToIndex[Type],))</f>
        <v>炼英</v>
      </c>
    </row>
    <row r="117" spans="2:4" x14ac:dyDescent="0.3">
      <c r="B117" s="3" t="s">
        <v>384</v>
      </c>
      <c r="C117" s="3" t="s">
        <v>377</v>
      </c>
      <c r="D117" s="3" t="str">
        <f>INDEX(tbUnitTypeToIndex[Index],MATCH(tbUnitNameToType[[#This Row],[Type]],tbUnitTypeToIndex[Type],))</f>
        <v>强英</v>
      </c>
    </row>
    <row r="118" spans="2:4" x14ac:dyDescent="0.3">
      <c r="B118" s="3" t="s">
        <v>385</v>
      </c>
      <c r="C118" s="3" t="s">
        <v>376</v>
      </c>
      <c r="D118" s="3" t="str">
        <f>INDEX(tbUnitTypeToIndex[Index],MATCH(tbUnitNameToType[[#This Row],[Type]],tbUnitTypeToIndex[Type],))</f>
        <v>盾英</v>
      </c>
    </row>
    <row r="119" spans="2:4" x14ac:dyDescent="0.3">
      <c r="B119" s="3" t="s">
        <v>386</v>
      </c>
      <c r="C119" s="3" t="s">
        <v>377</v>
      </c>
      <c r="D119" s="3" t="str">
        <f>INDEX(tbUnitTypeToIndex[Index],MATCH(tbUnitNameToType[[#This Row],[Type]],tbUnitTypeToIndex[Type],))</f>
        <v>强英</v>
      </c>
    </row>
    <row r="120" spans="2:4" x14ac:dyDescent="0.3">
      <c r="B120" s="3" t="s">
        <v>387</v>
      </c>
      <c r="C120" s="3" t="s">
        <v>381</v>
      </c>
      <c r="D120" s="3" t="str">
        <f>INDEX(tbUnitTypeToIndex[Index],MATCH(tbUnitNameToType[[#This Row],[Type]],tbUnitTypeToIndex[Type],))</f>
        <v>刺英</v>
      </c>
    </row>
    <row r="121" spans="2:4" x14ac:dyDescent="0.3">
      <c r="B121" s="3" t="s">
        <v>388</v>
      </c>
      <c r="C121" s="3" t="s">
        <v>377</v>
      </c>
      <c r="D121" s="3" t="str">
        <f>INDEX(tbUnitTypeToIndex[Index],MATCH(tbUnitNameToType[[#This Row],[Type]],tbUnitTypeToIndex[Type],))</f>
        <v>强英</v>
      </c>
    </row>
    <row r="122" spans="2:4" x14ac:dyDescent="0.3">
      <c r="B122" s="3" t="s">
        <v>389</v>
      </c>
      <c r="C122" s="3" t="s">
        <v>381</v>
      </c>
      <c r="D122" s="3" t="str">
        <f>INDEX(tbUnitTypeToIndex[Index],MATCH(tbUnitNameToType[[#This Row],[Type]],tbUnitTypeToIndex[Type],))</f>
        <v>刺英</v>
      </c>
    </row>
    <row r="123" spans="2:4" x14ac:dyDescent="0.3">
      <c r="B123" s="3" t="s">
        <v>24</v>
      </c>
      <c r="C123" s="3" t="s">
        <v>378</v>
      </c>
      <c r="D123" s="3" t="str">
        <f>INDEX(tbUnitTypeToIndex[Index],MATCH(tbUnitNameToType[[#This Row],[Type]],tbUnitTypeToIndex[Type],))</f>
        <v>铁英</v>
      </c>
    </row>
    <row r="124" spans="2:4" x14ac:dyDescent="0.3">
      <c r="B124" s="3" t="s">
        <v>390</v>
      </c>
      <c r="C124" s="3" t="s">
        <v>378</v>
      </c>
      <c r="D124" s="3" t="str">
        <f>INDEX(tbUnitTypeToIndex[Index],MATCH(tbUnitNameToType[[#This Row],[Type]],tbUnitTypeToIndex[Type],))</f>
        <v>铁英</v>
      </c>
    </row>
    <row r="125" spans="2:4" x14ac:dyDescent="0.3">
      <c r="B125" s="3" t="s">
        <v>27</v>
      </c>
      <c r="C125" s="3" t="s">
        <v>380</v>
      </c>
      <c r="D125" s="3" t="str">
        <f>INDEX(tbUnitTypeToIndex[Index],MATCH(tbUnitNameToType[[#This Row],[Type]],tbUnitTypeToIndex[Type],))</f>
        <v>法英</v>
      </c>
    </row>
    <row r="126" spans="2:4" x14ac:dyDescent="0.3">
      <c r="B126" s="3" t="s">
        <v>391</v>
      </c>
      <c r="C126" s="3" t="s">
        <v>380</v>
      </c>
      <c r="D126" s="3" t="str">
        <f>INDEX(tbUnitTypeToIndex[Index],MATCH(tbUnitNameToType[[#This Row],[Type]],tbUnitTypeToIndex[Type],))</f>
        <v>法英</v>
      </c>
    </row>
    <row r="127" spans="2:4" x14ac:dyDescent="0.3">
      <c r="B127" s="3" t="s">
        <v>392</v>
      </c>
      <c r="C127" s="3" t="s">
        <v>378</v>
      </c>
      <c r="D127" s="3" t="str">
        <f>INDEX(tbUnitTypeToIndex[Index],MATCH(tbUnitNameToType[[#This Row],[Type]],tbUnitTypeToIndex[Type],))</f>
        <v>铁英</v>
      </c>
    </row>
    <row r="128" spans="2:4" x14ac:dyDescent="0.3">
      <c r="B128" s="3" t="s">
        <v>393</v>
      </c>
      <c r="C128" s="3" t="s">
        <v>380</v>
      </c>
      <c r="D128" s="3" t="str">
        <f>INDEX(tbUnitTypeToIndex[Index],MATCH(tbUnitNameToType[[#This Row],[Type]],tbUnitTypeToIndex[Type],))</f>
        <v>法英</v>
      </c>
    </row>
    <row r="129" spans="2:4" x14ac:dyDescent="0.3">
      <c r="B129" s="3" t="s">
        <v>394</v>
      </c>
      <c r="C129" s="3" t="s">
        <v>379</v>
      </c>
      <c r="D129" s="3" t="str">
        <f>INDEX(tbUnitTypeToIndex[Index],MATCH(tbUnitNameToType[[#This Row],[Type]],tbUnitTypeToIndex[Type],))</f>
        <v>炼英</v>
      </c>
    </row>
    <row r="130" spans="2:4" x14ac:dyDescent="0.3">
      <c r="B130" s="3" t="s">
        <v>395</v>
      </c>
      <c r="C130" s="3" t="s">
        <v>376</v>
      </c>
      <c r="D130" s="3" t="str">
        <f>INDEX(tbUnitTypeToIndex[Index],MATCH(tbUnitNameToType[[#This Row],[Type]],tbUnitTypeToIndex[Type],))</f>
        <v>盾英</v>
      </c>
    </row>
    <row r="131" spans="2:4" x14ac:dyDescent="0.3">
      <c r="B131" s="3" t="s">
        <v>396</v>
      </c>
      <c r="C131" s="3" t="s">
        <v>376</v>
      </c>
      <c r="D131" s="3" t="str">
        <f>INDEX(tbUnitTypeToIndex[Index],MATCH(tbUnitNameToType[[#This Row],[Type]],tbUnitTypeToIndex[Type],))</f>
        <v>盾英</v>
      </c>
    </row>
    <row r="132" spans="2:4" x14ac:dyDescent="0.3">
      <c r="B132" s="3" t="s">
        <v>397</v>
      </c>
      <c r="C132" s="3" t="s">
        <v>378</v>
      </c>
      <c r="D132" s="3" t="str">
        <f>INDEX(tbUnitTypeToIndex[Index],MATCH(tbUnitNameToType[[#This Row],[Type]],tbUnitTypeToIndex[Type],))</f>
        <v>铁英</v>
      </c>
    </row>
    <row r="133" spans="2:4" x14ac:dyDescent="0.3">
      <c r="B133" s="3" t="s">
        <v>398</v>
      </c>
      <c r="C133" s="3" t="s">
        <v>379</v>
      </c>
      <c r="D133" s="3" t="str">
        <f>INDEX(tbUnitTypeToIndex[Index],MATCH(tbUnitNameToType[[#This Row],[Type]],tbUnitTypeToIndex[Type],))</f>
        <v>炼英</v>
      </c>
    </row>
    <row r="134" spans="2:4" x14ac:dyDescent="0.3">
      <c r="B134" s="3" t="s">
        <v>399</v>
      </c>
      <c r="C134" s="3" t="s">
        <v>380</v>
      </c>
      <c r="D134" s="3" t="str">
        <f>INDEX(tbUnitTypeToIndex[Index],MATCH(tbUnitNameToType[[#This Row],[Type]],tbUnitTypeToIndex[Type],))</f>
        <v>法英</v>
      </c>
    </row>
    <row r="135" spans="2:4" x14ac:dyDescent="0.3">
      <c r="B135" s="3" t="s">
        <v>400</v>
      </c>
      <c r="C135" s="3" t="s">
        <v>378</v>
      </c>
      <c r="D135" s="3" t="str">
        <f>INDEX(tbUnitTypeToIndex[Index],MATCH(tbUnitNameToType[[#This Row],[Type]],tbUnitTypeToIndex[Type],))</f>
        <v>铁英</v>
      </c>
    </row>
    <row r="136" spans="2:4" x14ac:dyDescent="0.3">
      <c r="B136" s="3" t="s">
        <v>401</v>
      </c>
      <c r="C136" s="3" t="s">
        <v>376</v>
      </c>
      <c r="D136" s="3" t="str">
        <f>INDEX(tbUnitTypeToIndex[Index],MATCH(tbUnitNameToType[[#This Row],[Type]],tbUnitTypeToIndex[Type],))</f>
        <v>盾英</v>
      </c>
    </row>
    <row r="137" spans="2:4" x14ac:dyDescent="0.3">
      <c r="B137" s="3" t="s">
        <v>402</v>
      </c>
      <c r="C137" s="3" t="s">
        <v>379</v>
      </c>
      <c r="D137" s="3" t="str">
        <f>INDEX(tbUnitTypeToIndex[Index],MATCH(tbUnitNameToType[[#This Row],[Type]],tbUnitTypeToIndex[Type],))</f>
        <v>炼英</v>
      </c>
    </row>
    <row r="138" spans="2:4" x14ac:dyDescent="0.3">
      <c r="B138" s="3" t="s">
        <v>403</v>
      </c>
      <c r="C138" s="3" t="s">
        <v>376</v>
      </c>
      <c r="D138" s="3" t="str">
        <f>INDEX(tbUnitTypeToIndex[Index],MATCH(tbUnitNameToType[[#This Row],[Type]],tbUnitTypeToIndex[Type],))</f>
        <v>盾英</v>
      </c>
    </row>
    <row r="139" spans="2:4" x14ac:dyDescent="0.3">
      <c r="B139" s="3" t="s">
        <v>404</v>
      </c>
      <c r="C139" s="3" t="s">
        <v>376</v>
      </c>
      <c r="D139" s="3" t="str">
        <f>INDEX(tbUnitTypeToIndex[Index],MATCH(tbUnitNameToType[[#This Row],[Type]],tbUnitTypeToIndex[Type],))</f>
        <v>盾英</v>
      </c>
    </row>
    <row r="140" spans="2:4" x14ac:dyDescent="0.3">
      <c r="B140" s="3" t="s">
        <v>405</v>
      </c>
      <c r="C140" s="3" t="s">
        <v>377</v>
      </c>
      <c r="D140" s="3" t="str">
        <f>INDEX(tbUnitTypeToIndex[Index],MATCH(tbUnitNameToType[[#This Row],[Type]],tbUnitTypeToIndex[Type],))</f>
        <v>强英</v>
      </c>
    </row>
    <row r="141" spans="2:4" x14ac:dyDescent="0.3">
      <c r="B141" s="3" t="s">
        <v>406</v>
      </c>
      <c r="C141" s="3" t="s">
        <v>376</v>
      </c>
      <c r="D141" s="3" t="str">
        <f>INDEX(tbUnitTypeToIndex[Index],MATCH(tbUnitNameToType[[#This Row],[Type]],tbUnitTypeToIndex[Type],))</f>
        <v>盾英</v>
      </c>
    </row>
    <row r="142" spans="2:4" x14ac:dyDescent="0.3">
      <c r="B142" s="3" t="s">
        <v>407</v>
      </c>
      <c r="C142" s="3" t="s">
        <v>378</v>
      </c>
      <c r="D142" s="3" t="str">
        <f>INDEX(tbUnitTypeToIndex[Index],MATCH(tbUnitNameToType[[#This Row],[Type]],tbUnitTypeToIndex[Type],))</f>
        <v>铁英</v>
      </c>
    </row>
    <row r="143" spans="2:4" x14ac:dyDescent="0.3">
      <c r="B143" s="3" t="s">
        <v>408</v>
      </c>
      <c r="C143" s="3" t="s">
        <v>378</v>
      </c>
      <c r="D143" s="3" t="str">
        <f>INDEX(tbUnitTypeToIndex[Index],MATCH(tbUnitNameToType[[#This Row],[Type]],tbUnitTypeToIndex[Type],))</f>
        <v>铁英</v>
      </c>
    </row>
    <row r="144" spans="2:4" x14ac:dyDescent="0.3">
      <c r="B144" s="3" t="s">
        <v>409</v>
      </c>
      <c r="C144" s="3" t="s">
        <v>376</v>
      </c>
      <c r="D144" s="3" t="str">
        <f>INDEX(tbUnitTypeToIndex[Index],MATCH(tbUnitNameToType[[#This Row],[Type]],tbUnitTypeToIndex[Type],))</f>
        <v>盾英</v>
      </c>
    </row>
    <row r="145" spans="2:4" x14ac:dyDescent="0.3">
      <c r="B145" s="3" t="s">
        <v>410</v>
      </c>
      <c r="C145" s="3" t="s">
        <v>379</v>
      </c>
      <c r="D145" s="3" t="str">
        <f>INDEX(tbUnitTypeToIndex[Index],MATCH(tbUnitNameToType[[#This Row],[Type]],tbUnitTypeToIndex[Type],))</f>
        <v>炼英</v>
      </c>
    </row>
    <row r="146" spans="2:4" x14ac:dyDescent="0.3">
      <c r="B146" s="3" t="s">
        <v>411</v>
      </c>
      <c r="C146" s="3" t="s">
        <v>380</v>
      </c>
      <c r="D146" s="3" t="str">
        <f>INDEX(tbUnitTypeToIndex[Index],MATCH(tbUnitNameToType[[#This Row],[Type]],tbUnitTypeToIndex[Type],))</f>
        <v>法英</v>
      </c>
    </row>
    <row r="147" spans="2:4" x14ac:dyDescent="0.3">
      <c r="B147" s="3" t="s">
        <v>412</v>
      </c>
      <c r="C147" s="3" t="s">
        <v>381</v>
      </c>
      <c r="D147" s="3" t="str">
        <f>INDEX(tbUnitTypeToIndex[Index],MATCH(tbUnitNameToType[[#This Row],[Type]],tbUnitTypeToIndex[Type],))</f>
        <v>刺英</v>
      </c>
    </row>
    <row r="148" spans="2:4" x14ac:dyDescent="0.3">
      <c r="B148" s="3" t="s">
        <v>413</v>
      </c>
      <c r="C148" s="3" t="s">
        <v>378</v>
      </c>
      <c r="D148" s="3" t="str">
        <f>INDEX(tbUnitTypeToIndex[Index],MATCH(tbUnitNameToType[[#This Row],[Type]],tbUnitTypeToIndex[Type],))</f>
        <v>铁英</v>
      </c>
    </row>
    <row r="149" spans="2:4" x14ac:dyDescent="0.3">
      <c r="B149" s="3" t="s">
        <v>414</v>
      </c>
      <c r="C149" s="3" t="s">
        <v>379</v>
      </c>
      <c r="D149" s="3" t="str">
        <f>INDEX(tbUnitTypeToIndex[Index],MATCH(tbUnitNameToType[[#This Row],[Type]],tbUnitTypeToIndex[Type],))</f>
        <v>炼英</v>
      </c>
    </row>
    <row r="150" spans="2:4" x14ac:dyDescent="0.3">
      <c r="B150" s="3" t="s">
        <v>415</v>
      </c>
      <c r="C150" s="3" t="s">
        <v>377</v>
      </c>
      <c r="D150" s="3" t="str">
        <f>INDEX(tbUnitTypeToIndex[Index],MATCH(tbUnitNameToType[[#This Row],[Type]],tbUnitTypeToIndex[Type],))</f>
        <v>强英</v>
      </c>
    </row>
    <row r="151" spans="2:4" x14ac:dyDescent="0.3">
      <c r="B151" s="3" t="s">
        <v>416</v>
      </c>
      <c r="C151" s="3" t="s">
        <v>380</v>
      </c>
      <c r="D151" s="3" t="str">
        <f>INDEX(tbUnitTypeToIndex[Index],MATCH(tbUnitNameToType[[#This Row],[Type]],tbUnitTypeToIndex[Type],))</f>
        <v>法英</v>
      </c>
    </row>
    <row r="152" spans="2:4" x14ac:dyDescent="0.3">
      <c r="B152" s="3" t="s">
        <v>417</v>
      </c>
      <c r="C152" s="3" t="s">
        <v>381</v>
      </c>
      <c r="D152" s="3" t="str">
        <f>INDEX(tbUnitTypeToIndex[Index],MATCH(tbUnitNameToType[[#This Row],[Type]],tbUnitTypeToIndex[Type],))</f>
        <v>刺英</v>
      </c>
    </row>
    <row r="153" spans="2:4" x14ac:dyDescent="0.3">
      <c r="B153" s="3" t="s">
        <v>418</v>
      </c>
      <c r="C153" s="3" t="s">
        <v>376</v>
      </c>
      <c r="D153" s="3" t="str">
        <f>INDEX(tbUnitTypeToIndex[Index],MATCH(tbUnitNameToType[[#This Row],[Type]],tbUnitTypeToIndex[Type],))</f>
        <v>盾英</v>
      </c>
    </row>
    <row r="154" spans="2:4" x14ac:dyDescent="0.3">
      <c r="B154" s="3" t="s">
        <v>419</v>
      </c>
      <c r="C154" s="3" t="s">
        <v>378</v>
      </c>
      <c r="D154" s="3" t="str">
        <f>INDEX(tbUnitTypeToIndex[Index],MATCH(tbUnitNameToType[[#This Row],[Type]],tbUnitTypeToIndex[Type],))</f>
        <v>铁英</v>
      </c>
    </row>
    <row r="155" spans="2:4" x14ac:dyDescent="0.3">
      <c r="B155" s="3" t="s">
        <v>420</v>
      </c>
      <c r="C155" s="3" t="s">
        <v>377</v>
      </c>
      <c r="D155" s="3" t="str">
        <f>INDEX(tbUnitTypeToIndex[Index],MATCH(tbUnitNameToType[[#This Row],[Type]],tbUnitTypeToIndex[Type],))</f>
        <v>强英</v>
      </c>
    </row>
    <row r="156" spans="2:4" x14ac:dyDescent="0.3">
      <c r="B156" s="3" t="s">
        <v>421</v>
      </c>
      <c r="C156" s="3" t="s">
        <v>380</v>
      </c>
      <c r="D156" s="3" t="str">
        <f>INDEX(tbUnitTypeToIndex[Index],MATCH(tbUnitNameToType[[#This Row],[Type]],tbUnitTypeToIndex[Type],))</f>
        <v>法英</v>
      </c>
    </row>
    <row r="157" spans="2:4" x14ac:dyDescent="0.3">
      <c r="B157" s="3" t="s">
        <v>422</v>
      </c>
      <c r="C157" s="3" t="s">
        <v>378</v>
      </c>
      <c r="D157" s="3" t="str">
        <f>INDEX(tbUnitTypeToIndex[Index],MATCH(tbUnitNameToType[[#This Row],[Type]],tbUnitTypeToIndex[Type],))</f>
        <v>铁英</v>
      </c>
    </row>
    <row r="158" spans="2:4" x14ac:dyDescent="0.3">
      <c r="B158" s="3" t="s">
        <v>423</v>
      </c>
      <c r="C158" s="3" t="s">
        <v>379</v>
      </c>
      <c r="D158" s="3" t="str">
        <f>INDEX(tbUnitTypeToIndex[Index],MATCH(tbUnitNameToType[[#This Row],[Type]],tbUnitTypeToIndex[Type],))</f>
        <v>炼英</v>
      </c>
    </row>
    <row r="159" spans="2:4" x14ac:dyDescent="0.3">
      <c r="B159" s="3" t="s">
        <v>424</v>
      </c>
      <c r="C159" s="3" t="s">
        <v>376</v>
      </c>
      <c r="D159" s="3" t="str">
        <f>INDEX(tbUnitTypeToIndex[Index],MATCH(tbUnitNameToType[[#This Row],[Type]],tbUnitTypeToIndex[Type],))</f>
        <v>盾英</v>
      </c>
    </row>
    <row r="160" spans="2:4" x14ac:dyDescent="0.3">
      <c r="B160" s="3" t="s">
        <v>425</v>
      </c>
      <c r="C160" s="3" t="s">
        <v>377</v>
      </c>
      <c r="D160" s="3" t="str">
        <f>INDEX(tbUnitTypeToIndex[Index],MATCH(tbUnitNameToType[[#This Row],[Type]],tbUnitTypeToIndex[Type],))</f>
        <v>强英</v>
      </c>
    </row>
    <row r="161" spans="2:4" x14ac:dyDescent="0.3">
      <c r="B161" s="3" t="s">
        <v>426</v>
      </c>
      <c r="C161" s="3" t="s">
        <v>380</v>
      </c>
      <c r="D161" s="3" t="str">
        <f>INDEX(tbUnitTypeToIndex[Index],MATCH(tbUnitNameToType[[#This Row],[Type]],tbUnitTypeToIndex[Type],))</f>
        <v>法英</v>
      </c>
    </row>
    <row r="162" spans="2:4" x14ac:dyDescent="0.3">
      <c r="B162" s="3" t="s">
        <v>427</v>
      </c>
      <c r="C162" s="3" t="s">
        <v>381</v>
      </c>
      <c r="D162" s="3" t="str">
        <f>INDEX(tbUnitTypeToIndex[Index],MATCH(tbUnitNameToType[[#This Row],[Type]],tbUnitTypeToIndex[Type],))</f>
        <v>刺英</v>
      </c>
    </row>
    <row r="163" spans="2:4" x14ac:dyDescent="0.3">
      <c r="B163" s="3" t="s">
        <v>428</v>
      </c>
      <c r="C163" s="3" t="s">
        <v>381</v>
      </c>
      <c r="D163" s="3" t="str">
        <f>INDEX(tbUnitTypeToIndex[Index],MATCH(tbUnitNameToType[[#This Row],[Type]],tbUnitTypeToIndex[Type],))</f>
        <v>刺英</v>
      </c>
    </row>
    <row r="164" spans="2:4" x14ac:dyDescent="0.3">
      <c r="B164" s="3" t="s">
        <v>429</v>
      </c>
      <c r="C164" s="3" t="s">
        <v>379</v>
      </c>
      <c r="D164" s="3" t="str">
        <f>INDEX(tbUnitTypeToIndex[Index],MATCH(tbUnitNameToType[[#This Row],[Type]],tbUnitTypeToIndex[Type],))</f>
        <v>炼英</v>
      </c>
    </row>
    <row r="165" spans="2:4" x14ac:dyDescent="0.3">
      <c r="B165" s="3" t="s">
        <v>430</v>
      </c>
      <c r="C165" s="3" t="s">
        <v>379</v>
      </c>
      <c r="D165" s="3" t="str">
        <f>INDEX(tbUnitTypeToIndex[Index],MATCH(tbUnitNameToType[[#This Row],[Type]],tbUnitTypeToIndex[Type],))</f>
        <v>炼英</v>
      </c>
    </row>
    <row r="166" spans="2:4" x14ac:dyDescent="0.3">
      <c r="B166" s="9" t="s">
        <v>673</v>
      </c>
      <c r="C166" s="9" t="s">
        <v>682</v>
      </c>
      <c r="D166" s="3" t="str">
        <f>INDEX(tbUnitTypeToIndex[Index],MATCH(tbUnitNameToType[[#This Row],[Type]],tbUnitTypeToIndex[Type],))</f>
        <v>盾英</v>
      </c>
    </row>
    <row r="167" spans="2:4" x14ac:dyDescent="0.3">
      <c r="B167" s="9" t="s">
        <v>674</v>
      </c>
      <c r="C167" s="9" t="s">
        <v>683</v>
      </c>
      <c r="D167" s="3" t="str">
        <f>INDEX(tbUnitTypeToIndex[Index],MATCH(tbUnitNameToType[[#This Row],[Type]],tbUnitTypeToIndex[Type],))</f>
        <v>铁英</v>
      </c>
    </row>
    <row r="168" spans="2:4" x14ac:dyDescent="0.3">
      <c r="B168" s="9" t="s">
        <v>675</v>
      </c>
      <c r="C168" s="23" t="s">
        <v>920</v>
      </c>
      <c r="D168" s="3" t="str">
        <f>INDEX(tbUnitTypeToIndex[Index],MATCH(tbUnitNameToType[[#This Row],[Type]],tbUnitTypeToIndex[Type],))</f>
        <v>盾英</v>
      </c>
    </row>
    <row r="169" spans="2:4" x14ac:dyDescent="0.3">
      <c r="B169" s="9" t="s">
        <v>676</v>
      </c>
      <c r="C169" s="9" t="s">
        <v>684</v>
      </c>
      <c r="D169" s="3" t="str">
        <f>INDEX(tbUnitTypeToIndex[Index],MATCH(tbUnitNameToType[[#This Row],[Type]],tbUnitTypeToIndex[Type],))</f>
        <v>刺英</v>
      </c>
    </row>
    <row r="170" spans="2:4" x14ac:dyDescent="0.3">
      <c r="B170" s="9" t="s">
        <v>678</v>
      </c>
      <c r="C170" s="9" t="s">
        <v>682</v>
      </c>
      <c r="D170" s="3" t="str">
        <f>INDEX(tbUnitTypeToIndex[Index],MATCH(tbUnitNameToType[[#This Row],[Type]],tbUnitTypeToIndex[Type],))</f>
        <v>盾英</v>
      </c>
    </row>
    <row r="171" spans="2:4" x14ac:dyDescent="0.3">
      <c r="B171" s="9" t="s">
        <v>679</v>
      </c>
      <c r="C171" s="9" t="s">
        <v>682</v>
      </c>
      <c r="D171" s="3" t="str">
        <f>INDEX(tbUnitTypeToIndex[Index],MATCH(tbUnitNameToType[[#This Row],[Type]],tbUnitTypeToIndex[Type],))</f>
        <v>盾英</v>
      </c>
    </row>
    <row r="172" spans="2:4" x14ac:dyDescent="0.3">
      <c r="B172" s="9" t="s">
        <v>680</v>
      </c>
      <c r="C172" s="23" t="s">
        <v>921</v>
      </c>
      <c r="D172" s="3" t="str">
        <f>INDEX(tbUnitTypeToIndex[Index],MATCH(tbUnitNameToType[[#This Row],[Type]],tbUnitTypeToIndex[Type],))</f>
        <v>炼英</v>
      </c>
    </row>
    <row r="173" spans="2:4" x14ac:dyDescent="0.3">
      <c r="B173" s="9" t="s">
        <v>681</v>
      </c>
      <c r="C173" s="23" t="s">
        <v>920</v>
      </c>
      <c r="D173" s="3" t="str">
        <f>INDEX(tbUnitTypeToIndex[Index],MATCH(tbUnitNameToType[[#This Row],[Type]],tbUnitTypeToIndex[Type],))</f>
        <v>盾英</v>
      </c>
    </row>
    <row r="174" spans="2:4" x14ac:dyDescent="0.3">
      <c r="B174" s="9" t="s">
        <v>677</v>
      </c>
      <c r="C174" s="23" t="s">
        <v>920</v>
      </c>
      <c r="D174" s="3" t="str">
        <f>INDEX(tbUnitTypeToIndex[Index],MATCH(tbUnitNameToType[[#This Row],[Type]],tbUnitTypeToIndex[Type],))</f>
        <v>盾英</v>
      </c>
    </row>
    <row r="175" spans="2:4" x14ac:dyDescent="0.3">
      <c r="B175" s="18" t="s">
        <v>725</v>
      </c>
      <c r="C175" s="19" t="s">
        <v>379</v>
      </c>
      <c r="D175" s="20" t="str">
        <f>INDEX(tbUnitTypeToIndex[Index],MATCH(tbUnitNameToType[[#This Row],[Type]],tbUnitTypeToIndex[Type],))</f>
        <v>炼英</v>
      </c>
    </row>
    <row r="176" spans="2:4" x14ac:dyDescent="0.3">
      <c r="B176" s="18" t="s">
        <v>726</v>
      </c>
      <c r="C176" s="19" t="s">
        <v>380</v>
      </c>
      <c r="D176" s="20" t="str">
        <f>INDEX(tbUnitTypeToIndex[Index],MATCH(tbUnitNameToType[[#This Row],[Type]],tbUnitTypeToIndex[Type],))</f>
        <v>法英</v>
      </c>
    </row>
    <row r="177" spans="2:4" x14ac:dyDescent="0.3">
      <c r="B177" s="18" t="s">
        <v>727</v>
      </c>
      <c r="C177" s="19" t="s">
        <v>376</v>
      </c>
      <c r="D177" s="20" t="str">
        <f>INDEX(tbUnitTypeToIndex[Index],MATCH(tbUnitNameToType[[#This Row],[Type]],tbUnitTypeToIndex[Type],))</f>
        <v>盾英</v>
      </c>
    </row>
    <row r="178" spans="2:4" x14ac:dyDescent="0.3">
      <c r="B178" s="18" t="s">
        <v>728</v>
      </c>
      <c r="C178" s="19" t="s">
        <v>379</v>
      </c>
      <c r="D178" s="20" t="str">
        <f>INDEX(tbUnitTypeToIndex[Index],MATCH(tbUnitNameToType[[#This Row],[Type]],tbUnitTypeToIndex[Type],))</f>
        <v>炼英</v>
      </c>
    </row>
    <row r="179" spans="2:4" x14ac:dyDescent="0.3">
      <c r="B179" s="18" t="s">
        <v>729</v>
      </c>
      <c r="C179" s="19" t="s">
        <v>379</v>
      </c>
      <c r="D179" s="20" t="str">
        <f>INDEX(tbUnitTypeToIndex[Index],MATCH(tbUnitNameToType[[#This Row],[Type]],tbUnitTypeToIndex[Type],))</f>
        <v>炼英</v>
      </c>
    </row>
    <row r="180" spans="2:4" x14ac:dyDescent="0.3">
      <c r="B180" s="18" t="s">
        <v>730</v>
      </c>
      <c r="C180" s="19" t="s">
        <v>380</v>
      </c>
      <c r="D180" s="20" t="str">
        <f>INDEX(tbUnitTypeToIndex[Index],MATCH(tbUnitNameToType[[#This Row],[Type]],tbUnitTypeToIndex[Type],))</f>
        <v>法英</v>
      </c>
    </row>
    <row r="181" spans="2:4" x14ac:dyDescent="0.3">
      <c r="B181" s="23" t="s">
        <v>756</v>
      </c>
      <c r="C181" s="23" t="s">
        <v>376</v>
      </c>
      <c r="D181" s="24" t="str">
        <f>INDEX(tbUnitTypeToIndex[Index],MATCH(tbUnitNameToType[[#This Row],[Type]],tbUnitTypeToIndex[Type],))</f>
        <v>盾英</v>
      </c>
    </row>
    <row r="182" spans="2:4" x14ac:dyDescent="0.3">
      <c r="B182" s="23" t="s">
        <v>757</v>
      </c>
      <c r="C182" s="23" t="s">
        <v>376</v>
      </c>
      <c r="D182" s="24" t="str">
        <f>INDEX(tbUnitTypeToIndex[Index],MATCH(tbUnitNameToType[[#This Row],[Type]],tbUnitTypeToIndex[Type],))</f>
        <v>盾英</v>
      </c>
    </row>
    <row r="183" spans="2:4" x14ac:dyDescent="0.3">
      <c r="B183" s="23" t="s">
        <v>758</v>
      </c>
      <c r="C183" s="23" t="s">
        <v>381</v>
      </c>
      <c r="D183" s="24" t="str">
        <f>INDEX(tbUnitTypeToIndex[Index],MATCH(tbUnitNameToType[[#This Row],[Type]],tbUnitTypeToIndex[Type],))</f>
        <v>刺英</v>
      </c>
    </row>
    <row r="184" spans="2:4" x14ac:dyDescent="0.3">
      <c r="B184" s="23" t="s">
        <v>759</v>
      </c>
      <c r="C184" s="23" t="s">
        <v>376</v>
      </c>
      <c r="D184" s="24" t="str">
        <f>INDEX(tbUnitTypeToIndex[Index],MATCH(tbUnitNameToType[[#This Row],[Type]],tbUnitTypeToIndex[Type],))</f>
        <v>盾英</v>
      </c>
    </row>
    <row r="185" spans="2:4" x14ac:dyDescent="0.3">
      <c r="B185" s="23" t="s">
        <v>760</v>
      </c>
      <c r="C185" s="23" t="s">
        <v>379</v>
      </c>
      <c r="D185" s="24" t="str">
        <f>INDEX(tbUnitTypeToIndex[Index],MATCH(tbUnitNameToType[[#This Row],[Type]],tbUnitTypeToIndex[Type],))</f>
        <v>炼英</v>
      </c>
    </row>
    <row r="186" spans="2:4" x14ac:dyDescent="0.3">
      <c r="B186" s="23" t="s">
        <v>761</v>
      </c>
      <c r="C186" s="23" t="s">
        <v>376</v>
      </c>
      <c r="D186" s="24" t="str">
        <f>INDEX(tbUnitTypeToIndex[Index],MATCH(tbUnitNameToType[[#This Row],[Type]],tbUnitTypeToIndex[Type],))</f>
        <v>盾英</v>
      </c>
    </row>
    <row r="187" spans="2:4" x14ac:dyDescent="0.3">
      <c r="B187" s="23" t="s">
        <v>762</v>
      </c>
      <c r="C187" s="23" t="s">
        <v>380</v>
      </c>
      <c r="D187" s="24" t="str">
        <f>INDEX(tbUnitTypeToIndex[Index],MATCH(tbUnitNameToType[[#This Row],[Type]],tbUnitTypeToIndex[Type],))</f>
        <v>法英</v>
      </c>
    </row>
    <row r="188" spans="2:4" x14ac:dyDescent="0.3">
      <c r="B188" s="23" t="s">
        <v>763</v>
      </c>
      <c r="C188" s="23" t="s">
        <v>376</v>
      </c>
      <c r="D188" s="24" t="str">
        <f>INDEX(tbUnitTypeToIndex[Index],MATCH(tbUnitNameToType[[#This Row],[Type]],tbUnitTypeToIndex[Type],))</f>
        <v>盾英</v>
      </c>
    </row>
    <row r="189" spans="2:4" x14ac:dyDescent="0.3">
      <c r="B189" s="23" t="s">
        <v>764</v>
      </c>
      <c r="C189" s="23" t="s">
        <v>376</v>
      </c>
      <c r="D189" s="24" t="str">
        <f>INDEX(tbUnitTypeToIndex[Index],MATCH(tbUnitNameToType[[#This Row],[Type]],tbUnitTypeToIndex[Type],))</f>
        <v>盾英</v>
      </c>
    </row>
    <row r="190" spans="2:4" x14ac:dyDescent="0.3">
      <c r="B190" s="23" t="s">
        <v>765</v>
      </c>
      <c r="C190" s="23" t="s">
        <v>377</v>
      </c>
      <c r="D190" s="24" t="str">
        <f>INDEX(tbUnitTypeToIndex[Index],MATCH(tbUnitNameToType[[#This Row],[Type]],tbUnitTypeToIndex[Type],))</f>
        <v>强英</v>
      </c>
    </row>
    <row r="191" spans="2:4" x14ac:dyDescent="0.3">
      <c r="B191" s="23" t="s">
        <v>766</v>
      </c>
      <c r="C191" s="23" t="s">
        <v>378</v>
      </c>
      <c r="D191" s="24" t="str">
        <f>INDEX(tbUnitTypeToIndex[Index],MATCH(tbUnitNameToType[[#This Row],[Type]],tbUnitTypeToIndex[Type],))</f>
        <v>铁英</v>
      </c>
    </row>
    <row r="192" spans="2:4" x14ac:dyDescent="0.3">
      <c r="B192" s="23" t="s">
        <v>767</v>
      </c>
      <c r="C192" s="23" t="s">
        <v>380</v>
      </c>
      <c r="D192" s="24" t="str">
        <f>INDEX(tbUnitTypeToIndex[Index],MATCH(tbUnitNameToType[[#This Row],[Type]],tbUnitTypeToIndex[Type],))</f>
        <v>法英</v>
      </c>
    </row>
    <row r="193" spans="2:4" x14ac:dyDescent="0.3">
      <c r="B193" s="23" t="s">
        <v>768</v>
      </c>
      <c r="C193" s="23" t="s">
        <v>376</v>
      </c>
      <c r="D193" s="24" t="str">
        <f>INDEX(tbUnitTypeToIndex[Index],MATCH(tbUnitNameToType[[#This Row],[Type]],tbUnitTypeToIndex[Type],))</f>
        <v>盾英</v>
      </c>
    </row>
    <row r="194" spans="2:4" x14ac:dyDescent="0.3">
      <c r="B194" s="23" t="s">
        <v>769</v>
      </c>
      <c r="C194" s="23" t="s">
        <v>376</v>
      </c>
      <c r="D194" s="24" t="str">
        <f>INDEX(tbUnitTypeToIndex[Index],MATCH(tbUnitNameToType[[#This Row],[Type]],tbUnitTypeToIndex[Type],))</f>
        <v>盾英</v>
      </c>
    </row>
    <row r="195" spans="2:4" x14ac:dyDescent="0.3">
      <c r="B195" s="23" t="s">
        <v>770</v>
      </c>
      <c r="C195" s="23" t="s">
        <v>378</v>
      </c>
      <c r="D195" s="24" t="str">
        <f>INDEX(tbUnitTypeToIndex[Index],MATCH(tbUnitNameToType[[#This Row],[Type]],tbUnitTypeToIndex[Type],))</f>
        <v>铁英</v>
      </c>
    </row>
    <row r="196" spans="2:4" x14ac:dyDescent="0.3">
      <c r="B196" s="23" t="s">
        <v>771</v>
      </c>
      <c r="C196" s="23" t="s">
        <v>379</v>
      </c>
      <c r="D196" s="24" t="str">
        <f>INDEX(tbUnitTypeToIndex[Index],MATCH(tbUnitNameToType[[#This Row],[Type]],tbUnitTypeToIndex[Type],))</f>
        <v>炼英</v>
      </c>
    </row>
    <row r="197" spans="2:4" x14ac:dyDescent="0.3">
      <c r="B197" s="23" t="s">
        <v>772</v>
      </c>
      <c r="C197" s="23" t="s">
        <v>379</v>
      </c>
      <c r="D197" s="24" t="str">
        <f>INDEX(tbUnitTypeToIndex[Index],MATCH(tbUnitNameToType[[#This Row],[Type]],tbUnitTypeToIndex[Type],))</f>
        <v>炼英</v>
      </c>
    </row>
    <row r="198" spans="2:4" x14ac:dyDescent="0.3">
      <c r="B198" s="23" t="s">
        <v>773</v>
      </c>
      <c r="C198" s="23" t="s">
        <v>376</v>
      </c>
      <c r="D198" s="24" t="str">
        <f>INDEX(tbUnitTypeToIndex[Index],MATCH(tbUnitNameToType[[#This Row],[Type]],tbUnitTypeToIndex[Type],))</f>
        <v>盾英</v>
      </c>
    </row>
    <row r="199" spans="2:4" x14ac:dyDescent="0.3">
      <c r="B199" s="23" t="s">
        <v>774</v>
      </c>
      <c r="C199" s="23" t="s">
        <v>376</v>
      </c>
      <c r="D199" s="24" t="str">
        <f>INDEX(tbUnitTypeToIndex[Index],MATCH(tbUnitNameToType[[#This Row],[Type]],tbUnitTypeToIndex[Type],))</f>
        <v>盾英</v>
      </c>
    </row>
    <row r="200" spans="2:4" x14ac:dyDescent="0.3">
      <c r="B200" s="23" t="s">
        <v>775</v>
      </c>
      <c r="C200" s="23" t="s">
        <v>376</v>
      </c>
      <c r="D200" s="24" t="str">
        <f>INDEX(tbUnitTypeToIndex[Index],MATCH(tbUnitNameToType[[#This Row],[Type]],tbUnitTypeToIndex[Type],))</f>
        <v>盾英</v>
      </c>
    </row>
    <row r="201" spans="2:4" x14ac:dyDescent="0.3">
      <c r="B201" s="23" t="s">
        <v>776</v>
      </c>
      <c r="C201" s="23" t="s">
        <v>377</v>
      </c>
      <c r="D201" s="24" t="str">
        <f>INDEX(tbUnitTypeToIndex[Index],MATCH(tbUnitNameToType[[#This Row],[Type]],tbUnitTypeToIndex[Type],))</f>
        <v>强英</v>
      </c>
    </row>
    <row r="202" spans="2:4" x14ac:dyDescent="0.3">
      <c r="B202" s="23" t="s">
        <v>777</v>
      </c>
      <c r="C202" s="23" t="s">
        <v>381</v>
      </c>
      <c r="D202" s="24" t="str">
        <f>INDEX(tbUnitTypeToIndex[Index],MATCH(tbUnitNameToType[[#This Row],[Type]],tbUnitTypeToIndex[Type],))</f>
        <v>刺英</v>
      </c>
    </row>
    <row r="203" spans="2:4" x14ac:dyDescent="0.3">
      <c r="B203" s="23" t="s">
        <v>778</v>
      </c>
      <c r="C203" s="23" t="s">
        <v>380</v>
      </c>
      <c r="D203" s="24" t="str">
        <f>INDEX(tbUnitTypeToIndex[Index],MATCH(tbUnitNameToType[[#This Row],[Type]],tbUnitTypeToIndex[Type],))</f>
        <v>法英</v>
      </c>
    </row>
    <row r="204" spans="2:4" x14ac:dyDescent="0.3">
      <c r="B204" s="23" t="s">
        <v>779</v>
      </c>
      <c r="C204" s="23" t="s">
        <v>378</v>
      </c>
      <c r="D204" s="24" t="str">
        <f>INDEX(tbUnitTypeToIndex[Index],MATCH(tbUnitNameToType[[#This Row],[Type]],tbUnitTypeToIndex[Type],))</f>
        <v>铁英</v>
      </c>
    </row>
    <row r="205" spans="2:4" x14ac:dyDescent="0.3">
      <c r="B205" s="23" t="s">
        <v>780</v>
      </c>
      <c r="C205" s="23" t="s">
        <v>376</v>
      </c>
      <c r="D205" s="24" t="str">
        <f>INDEX(tbUnitTypeToIndex[Index],MATCH(tbUnitNameToType[[#This Row],[Type]],tbUnitTypeToIndex[Type],))</f>
        <v>盾英</v>
      </c>
    </row>
    <row r="206" spans="2:4" x14ac:dyDescent="0.3">
      <c r="B206" s="23" t="s">
        <v>781</v>
      </c>
      <c r="C206" s="23" t="s">
        <v>376</v>
      </c>
      <c r="D206" s="24" t="str">
        <f>INDEX(tbUnitTypeToIndex[Index],MATCH(tbUnitNameToType[[#This Row],[Type]],tbUnitTypeToIndex[Type],))</f>
        <v>盾英</v>
      </c>
    </row>
    <row r="207" spans="2:4" x14ac:dyDescent="0.3">
      <c r="B207" s="23" t="s">
        <v>782</v>
      </c>
      <c r="C207" s="23" t="s">
        <v>379</v>
      </c>
      <c r="D207" s="24" t="str">
        <f>INDEX(tbUnitTypeToIndex[Index],MATCH(tbUnitNameToType[[#This Row],[Type]],tbUnitTypeToIndex[Type],))</f>
        <v>炼英</v>
      </c>
    </row>
    <row r="208" spans="2:4" x14ac:dyDescent="0.3">
      <c r="B208" s="23" t="s">
        <v>783</v>
      </c>
      <c r="C208" s="23" t="s">
        <v>378</v>
      </c>
      <c r="D208" s="24" t="str">
        <f>INDEX(tbUnitTypeToIndex[Index],MATCH(tbUnitNameToType[[#This Row],[Type]],tbUnitTypeToIndex[Type],))</f>
        <v>铁英</v>
      </c>
    </row>
    <row r="209" spans="2:4" x14ac:dyDescent="0.3">
      <c r="B209" s="23" t="s">
        <v>784</v>
      </c>
      <c r="C209" s="23" t="s">
        <v>380</v>
      </c>
      <c r="D209" s="24" t="str">
        <f>INDEX(tbUnitTypeToIndex[Index],MATCH(tbUnitNameToType[[#This Row],[Type]],tbUnitTypeToIndex[Type],))</f>
        <v>法英</v>
      </c>
    </row>
    <row r="210" spans="2:4" x14ac:dyDescent="0.3">
      <c r="B210" s="23" t="s">
        <v>785</v>
      </c>
      <c r="C210" s="23" t="s">
        <v>380</v>
      </c>
      <c r="D210" s="24" t="str">
        <f>INDEX(tbUnitTypeToIndex[Index],MATCH(tbUnitNameToType[[#This Row],[Type]],tbUnitTypeToIndex[Type],))</f>
        <v>法英</v>
      </c>
    </row>
    <row r="211" spans="2:4" x14ac:dyDescent="0.3">
      <c r="B211" s="23" t="s">
        <v>786</v>
      </c>
      <c r="C211" s="23" t="s">
        <v>378</v>
      </c>
      <c r="D211" s="24" t="str">
        <f>INDEX(tbUnitTypeToIndex[Index],MATCH(tbUnitNameToType[[#This Row],[Type]],tbUnitTypeToIndex[Type],))</f>
        <v>铁英</v>
      </c>
    </row>
    <row r="212" spans="2:4" x14ac:dyDescent="0.3">
      <c r="B212" s="23" t="s">
        <v>787</v>
      </c>
      <c r="C212" s="23" t="s">
        <v>380</v>
      </c>
      <c r="D212" s="24" t="str">
        <f>INDEX(tbUnitTypeToIndex[Index],MATCH(tbUnitNameToType[[#This Row],[Type]],tbUnitTypeToIndex[Type],))</f>
        <v>法英</v>
      </c>
    </row>
    <row r="213" spans="2:4" x14ac:dyDescent="0.3">
      <c r="B213" s="23" t="s">
        <v>788</v>
      </c>
      <c r="C213" s="23" t="s">
        <v>377</v>
      </c>
      <c r="D213" s="24" t="str">
        <f>INDEX(tbUnitTypeToIndex[Index],MATCH(tbUnitNameToType[[#This Row],[Type]],tbUnitTypeToIndex[Type],))</f>
        <v>强英</v>
      </c>
    </row>
    <row r="214" spans="2:4" x14ac:dyDescent="0.3">
      <c r="B214" s="23" t="s">
        <v>789</v>
      </c>
      <c r="C214" s="23" t="s">
        <v>377</v>
      </c>
      <c r="D214" s="24" t="str">
        <f>INDEX(tbUnitTypeToIndex[Index],MATCH(tbUnitNameToType[[#This Row],[Type]],tbUnitTypeToIndex[Type],))</f>
        <v>强英</v>
      </c>
    </row>
    <row r="215" spans="2:4" x14ac:dyDescent="0.3">
      <c r="B215" s="23" t="s">
        <v>790</v>
      </c>
      <c r="C215" s="23" t="s">
        <v>376</v>
      </c>
      <c r="D215" s="24" t="str">
        <f>INDEX(tbUnitTypeToIndex[Index],MATCH(tbUnitNameToType[[#This Row],[Type]],tbUnitTypeToIndex[Type],))</f>
        <v>盾英</v>
      </c>
    </row>
    <row r="216" spans="2:4" x14ac:dyDescent="0.3">
      <c r="B216" s="23" t="s">
        <v>791</v>
      </c>
      <c r="C216" s="23" t="s">
        <v>376</v>
      </c>
      <c r="D216" s="24" t="str">
        <f>INDEX(tbUnitTypeToIndex[Index],MATCH(tbUnitNameToType[[#This Row],[Type]],tbUnitTypeToIndex[Type],))</f>
        <v>盾英</v>
      </c>
    </row>
    <row r="217" spans="2:4" x14ac:dyDescent="0.3">
      <c r="B217" s="23" t="s">
        <v>792</v>
      </c>
      <c r="C217" s="23" t="s">
        <v>378</v>
      </c>
      <c r="D217" s="24" t="str">
        <f>INDEX(tbUnitTypeToIndex[Index],MATCH(tbUnitNameToType[[#This Row],[Type]],tbUnitTypeToIndex[Type],))</f>
        <v>铁英</v>
      </c>
    </row>
    <row r="218" spans="2:4" x14ac:dyDescent="0.3">
      <c r="B218" s="23" t="s">
        <v>793</v>
      </c>
      <c r="C218" s="23" t="s">
        <v>378</v>
      </c>
      <c r="D218" s="24" t="str">
        <f>INDEX(tbUnitTypeToIndex[Index],MATCH(tbUnitNameToType[[#This Row],[Type]],tbUnitTypeToIndex[Type],))</f>
        <v>铁英</v>
      </c>
    </row>
    <row r="219" spans="2:4" x14ac:dyDescent="0.3">
      <c r="B219" s="23" t="s">
        <v>794</v>
      </c>
      <c r="C219" s="23" t="s">
        <v>376</v>
      </c>
      <c r="D219" s="24" t="str">
        <f>INDEX(tbUnitTypeToIndex[Index],MATCH(tbUnitNameToType[[#This Row],[Type]],tbUnitTypeToIndex[Type],))</f>
        <v>盾英</v>
      </c>
    </row>
    <row r="220" spans="2:4" x14ac:dyDescent="0.3">
      <c r="B220" s="23" t="s">
        <v>795</v>
      </c>
      <c r="C220" s="23" t="s">
        <v>378</v>
      </c>
      <c r="D220" s="24" t="str">
        <f>INDEX(tbUnitTypeToIndex[Index],MATCH(tbUnitNameToType[[#This Row],[Type]],tbUnitTypeToIndex[Type],))</f>
        <v>铁英</v>
      </c>
    </row>
    <row r="221" spans="2:4" x14ac:dyDescent="0.3">
      <c r="B221" s="23" t="s">
        <v>796</v>
      </c>
      <c r="C221" s="23" t="s">
        <v>377</v>
      </c>
      <c r="D221" s="24" t="str">
        <f>INDEX(tbUnitTypeToIndex[Index],MATCH(tbUnitNameToType[[#This Row],[Type]],tbUnitTypeToIndex[Type],))</f>
        <v>强英</v>
      </c>
    </row>
    <row r="222" spans="2:4" x14ac:dyDescent="0.3">
      <c r="B222" s="23" t="s">
        <v>797</v>
      </c>
      <c r="C222" s="23" t="s">
        <v>379</v>
      </c>
      <c r="D222" s="24" t="str">
        <f>INDEX(tbUnitTypeToIndex[Index],MATCH(tbUnitNameToType[[#This Row],[Type]],tbUnitTypeToIndex[Type],))</f>
        <v>炼英</v>
      </c>
    </row>
    <row r="223" spans="2:4" x14ac:dyDescent="0.3">
      <c r="B223" s="23" t="s">
        <v>798</v>
      </c>
      <c r="C223" s="23" t="s">
        <v>451</v>
      </c>
      <c r="D223" s="24" t="str">
        <f>INDEX(tbUnitTypeToIndex[Index],MATCH(tbUnitNameToType[[#This Row],[Type]],tbUnitTypeToIndex[Type],))</f>
        <v>盾英</v>
      </c>
    </row>
    <row r="224" spans="2:4" x14ac:dyDescent="0.3">
      <c r="B224" s="23" t="s">
        <v>799</v>
      </c>
      <c r="C224" s="23" t="s">
        <v>377</v>
      </c>
      <c r="D224" s="24" t="str">
        <f>INDEX(tbUnitTypeToIndex[Index],MATCH(tbUnitNameToType[[#This Row],[Type]],tbUnitTypeToIndex[Type],))</f>
        <v>强英</v>
      </c>
    </row>
    <row r="225" spans="2:4" x14ac:dyDescent="0.3">
      <c r="B225" s="23" t="s">
        <v>800</v>
      </c>
      <c r="C225" s="23" t="s">
        <v>380</v>
      </c>
      <c r="D225" s="24" t="str">
        <f>INDEX(tbUnitTypeToIndex[Index],MATCH(tbUnitNameToType[[#This Row],[Type]],tbUnitTypeToIndex[Type],))</f>
        <v>法英</v>
      </c>
    </row>
    <row r="226" spans="2:4" x14ac:dyDescent="0.3">
      <c r="B226" s="23" t="s">
        <v>801</v>
      </c>
      <c r="C226" s="23" t="s">
        <v>380</v>
      </c>
      <c r="D226" s="24" t="str">
        <f>INDEX(tbUnitTypeToIndex[Index],MATCH(tbUnitNameToType[[#This Row],[Type]],tbUnitTypeToIndex[Type],))</f>
        <v>法英</v>
      </c>
    </row>
    <row r="227" spans="2:4" x14ac:dyDescent="0.3">
      <c r="B227" s="23" t="s">
        <v>802</v>
      </c>
      <c r="C227" s="23" t="s">
        <v>376</v>
      </c>
      <c r="D227" s="24" t="str">
        <f>INDEX(tbUnitTypeToIndex[Index],MATCH(tbUnitNameToType[[#This Row],[Type]],tbUnitTypeToIndex[Type],))</f>
        <v>盾英</v>
      </c>
    </row>
    <row r="228" spans="2:4" x14ac:dyDescent="0.3">
      <c r="B228" s="23" t="s">
        <v>803</v>
      </c>
      <c r="C228" s="23" t="s">
        <v>380</v>
      </c>
      <c r="D228" s="24" t="str">
        <f>INDEX(tbUnitTypeToIndex[Index],MATCH(tbUnitNameToType[[#This Row],[Type]],tbUnitTypeToIndex[Type],))</f>
        <v>法英</v>
      </c>
    </row>
    <row r="229" spans="2:4" x14ac:dyDescent="0.3">
      <c r="B229" s="23" t="s">
        <v>804</v>
      </c>
      <c r="C229" s="23" t="s">
        <v>377</v>
      </c>
      <c r="D229" s="24" t="str">
        <f>INDEX(tbUnitTypeToIndex[Index],MATCH(tbUnitNameToType[[#This Row],[Type]],tbUnitTypeToIndex[Type],))</f>
        <v>强英</v>
      </c>
    </row>
    <row r="230" spans="2:4" x14ac:dyDescent="0.3">
      <c r="B230" s="23" t="s">
        <v>805</v>
      </c>
      <c r="C230" s="23" t="s">
        <v>378</v>
      </c>
      <c r="D230" s="24" t="str">
        <f>INDEX(tbUnitTypeToIndex[Index],MATCH(tbUnitNameToType[[#This Row],[Type]],tbUnitTypeToIndex[Type],))</f>
        <v>铁英</v>
      </c>
    </row>
    <row r="231" spans="2:4" x14ac:dyDescent="0.3">
      <c r="B231" s="23" t="s">
        <v>806</v>
      </c>
      <c r="C231" s="23" t="s">
        <v>380</v>
      </c>
      <c r="D231" s="24" t="str">
        <f>INDEX(tbUnitTypeToIndex[Index],MATCH(tbUnitNameToType[[#This Row],[Type]],tbUnitTypeToIndex[Type],))</f>
        <v>法英</v>
      </c>
    </row>
    <row r="232" spans="2:4" x14ac:dyDescent="0.3">
      <c r="B232" s="23" t="s">
        <v>807</v>
      </c>
      <c r="C232" s="23" t="s">
        <v>377</v>
      </c>
      <c r="D232" s="24" t="str">
        <f>INDEX(tbUnitTypeToIndex[Index],MATCH(tbUnitNameToType[[#This Row],[Type]],tbUnitTypeToIndex[Type],))</f>
        <v>强英</v>
      </c>
    </row>
    <row r="233" spans="2:4" x14ac:dyDescent="0.3">
      <c r="B233" s="23" t="s">
        <v>808</v>
      </c>
      <c r="C233" s="23" t="s">
        <v>378</v>
      </c>
      <c r="D233" s="24" t="str">
        <f>INDEX(tbUnitTypeToIndex[Index],MATCH(tbUnitNameToType[[#This Row],[Type]],tbUnitTypeToIndex[Type],))</f>
        <v>铁英</v>
      </c>
    </row>
    <row r="234" spans="2:4" x14ac:dyDescent="0.3">
      <c r="B234" s="23" t="s">
        <v>809</v>
      </c>
      <c r="C234" s="23" t="s">
        <v>378</v>
      </c>
      <c r="D234" s="24" t="str">
        <f>INDEX(tbUnitTypeToIndex[Index],MATCH(tbUnitNameToType[[#This Row],[Type]],tbUnitTypeToIndex[Type],))</f>
        <v>铁英</v>
      </c>
    </row>
    <row r="235" spans="2:4" x14ac:dyDescent="0.3">
      <c r="B235" s="23" t="s">
        <v>810</v>
      </c>
      <c r="C235" s="23" t="s">
        <v>377</v>
      </c>
      <c r="D235" s="24" t="str">
        <f>INDEX(tbUnitTypeToIndex[Index],MATCH(tbUnitNameToType[[#This Row],[Type]],tbUnitTypeToIndex[Type],))</f>
        <v>强英</v>
      </c>
    </row>
    <row r="236" spans="2:4" x14ac:dyDescent="0.3">
      <c r="B236" s="23" t="s">
        <v>811</v>
      </c>
      <c r="C236" s="23" t="s">
        <v>378</v>
      </c>
      <c r="D236" s="24" t="str">
        <f>INDEX(tbUnitTypeToIndex[Index],MATCH(tbUnitNameToType[[#This Row],[Type]],tbUnitTypeToIndex[Type],))</f>
        <v>铁英</v>
      </c>
    </row>
    <row r="237" spans="2:4" x14ac:dyDescent="0.3">
      <c r="B237" s="23" t="s">
        <v>812</v>
      </c>
      <c r="C237" s="23" t="s">
        <v>375</v>
      </c>
      <c r="D237" s="24" t="str">
        <f>INDEX(tbUnitTypeToIndex[Index],MATCH(tbUnitNameToType[[#This Row],[Type]],tbUnitTypeToIndex[Type],))</f>
        <v>法英</v>
      </c>
    </row>
    <row r="238" spans="2:4" x14ac:dyDescent="0.3">
      <c r="B238" s="23" t="s">
        <v>813</v>
      </c>
      <c r="C238" s="23" t="s">
        <v>377</v>
      </c>
      <c r="D238" s="24" t="str">
        <f>INDEX(tbUnitTypeToIndex[Index],MATCH(tbUnitNameToType[[#This Row],[Type]],tbUnitTypeToIndex[Type],))</f>
        <v>强英</v>
      </c>
    </row>
    <row r="239" spans="2:4" x14ac:dyDescent="0.3">
      <c r="B239" s="23" t="s">
        <v>814</v>
      </c>
      <c r="C239" s="23" t="s">
        <v>376</v>
      </c>
      <c r="D239" s="24" t="str">
        <f>INDEX(tbUnitTypeToIndex[Index],MATCH(tbUnitNameToType[[#This Row],[Type]],tbUnitTypeToIndex[Type],))</f>
        <v>盾英</v>
      </c>
    </row>
    <row r="240" spans="2:4" x14ac:dyDescent="0.3">
      <c r="B240" s="23" t="s">
        <v>815</v>
      </c>
      <c r="C240" s="23" t="s">
        <v>377</v>
      </c>
      <c r="D240" s="24" t="str">
        <f>INDEX(tbUnitTypeToIndex[Index],MATCH(tbUnitNameToType[[#This Row],[Type]],tbUnitTypeToIndex[Type],))</f>
        <v>强英</v>
      </c>
    </row>
    <row r="241" spans="2:4" x14ac:dyDescent="0.3">
      <c r="B241" s="23" t="s">
        <v>816</v>
      </c>
      <c r="C241" s="23" t="s">
        <v>378</v>
      </c>
      <c r="D241" s="24" t="str">
        <f>INDEX(tbUnitTypeToIndex[Index],MATCH(tbUnitNameToType[[#This Row],[Type]],tbUnitTypeToIndex[Type],))</f>
        <v>铁英</v>
      </c>
    </row>
    <row r="242" spans="2:4" x14ac:dyDescent="0.3">
      <c r="B242" s="23" t="s">
        <v>817</v>
      </c>
      <c r="C242" s="23" t="s">
        <v>376</v>
      </c>
      <c r="D242" s="24" t="str">
        <f>INDEX(tbUnitTypeToIndex[Index],MATCH(tbUnitNameToType[[#This Row],[Type]],tbUnitTypeToIndex[Type],))</f>
        <v>盾英</v>
      </c>
    </row>
    <row r="243" spans="2:4" x14ac:dyDescent="0.3">
      <c r="B243" s="23" t="s">
        <v>818</v>
      </c>
      <c r="C243" s="23" t="s">
        <v>376</v>
      </c>
      <c r="D243" s="24" t="str">
        <f>INDEX(tbUnitTypeToIndex[Index],MATCH(tbUnitNameToType[[#This Row],[Type]],tbUnitTypeToIndex[Type],))</f>
        <v>盾英</v>
      </c>
    </row>
    <row r="244" spans="2:4" x14ac:dyDescent="0.3">
      <c r="B244" s="23" t="s">
        <v>819</v>
      </c>
      <c r="C244" s="23" t="s">
        <v>376</v>
      </c>
      <c r="D244" s="24" t="str">
        <f>INDEX(tbUnitTypeToIndex[Index],MATCH(tbUnitNameToType[[#This Row],[Type]],tbUnitTypeToIndex[Type],))</f>
        <v>盾英</v>
      </c>
    </row>
    <row r="245" spans="2:4" x14ac:dyDescent="0.3">
      <c r="B245" s="23" t="s">
        <v>820</v>
      </c>
      <c r="C245" s="23" t="s">
        <v>378</v>
      </c>
      <c r="D245" s="24" t="str">
        <f>INDEX(tbUnitTypeToIndex[Index],MATCH(tbUnitNameToType[[#This Row],[Type]],tbUnitTypeToIndex[Type],))</f>
        <v>铁英</v>
      </c>
    </row>
    <row r="246" spans="2:4" x14ac:dyDescent="0.3">
      <c r="B246" s="23" t="s">
        <v>821</v>
      </c>
      <c r="C246" s="23" t="s">
        <v>380</v>
      </c>
      <c r="D246" s="24" t="str">
        <f>INDEX(tbUnitTypeToIndex[Index],MATCH(tbUnitNameToType[[#This Row],[Type]],tbUnitTypeToIndex[Type],))</f>
        <v>法英</v>
      </c>
    </row>
    <row r="247" spans="2:4" x14ac:dyDescent="0.3">
      <c r="B247" s="23" t="s">
        <v>822</v>
      </c>
      <c r="C247" s="23" t="s">
        <v>378</v>
      </c>
      <c r="D247" s="24" t="str">
        <f>INDEX(tbUnitTypeToIndex[Index],MATCH(tbUnitNameToType[[#This Row],[Type]],tbUnitTypeToIndex[Type],))</f>
        <v>铁英</v>
      </c>
    </row>
    <row r="248" spans="2:4" x14ac:dyDescent="0.3">
      <c r="B248" s="23" t="s">
        <v>823</v>
      </c>
      <c r="C248" s="23" t="s">
        <v>380</v>
      </c>
      <c r="D248" s="24" t="str">
        <f>INDEX(tbUnitTypeToIndex[Index],MATCH(tbUnitNameToType[[#This Row],[Type]],tbUnitTypeToIndex[Type],))</f>
        <v>法英</v>
      </c>
    </row>
    <row r="249" spans="2:4" x14ac:dyDescent="0.3">
      <c r="B249" s="23" t="s">
        <v>824</v>
      </c>
      <c r="C249" s="23" t="s">
        <v>381</v>
      </c>
      <c r="D249" s="24" t="str">
        <f>INDEX(tbUnitTypeToIndex[Index],MATCH(tbUnitNameToType[[#This Row],[Type]],tbUnitTypeToIndex[Type],))</f>
        <v>刺英</v>
      </c>
    </row>
    <row r="250" spans="2:4" x14ac:dyDescent="0.3">
      <c r="B250" s="23" t="s">
        <v>825</v>
      </c>
      <c r="C250" s="23" t="s">
        <v>379</v>
      </c>
      <c r="D250" s="24" t="str">
        <f>INDEX(tbUnitTypeToIndex[Index],MATCH(tbUnitNameToType[[#This Row],[Type]],tbUnitTypeToIndex[Type],))</f>
        <v>炼英</v>
      </c>
    </row>
    <row r="251" spans="2:4" x14ac:dyDescent="0.3">
      <c r="B251" s="23" t="s">
        <v>826</v>
      </c>
      <c r="C251" s="23" t="s">
        <v>380</v>
      </c>
      <c r="D251" s="24" t="str">
        <f>INDEX(tbUnitTypeToIndex[Index],MATCH(tbUnitNameToType[[#This Row],[Type]],tbUnitTypeToIndex[Type],))</f>
        <v>法英</v>
      </c>
    </row>
    <row r="252" spans="2:4" x14ac:dyDescent="0.3">
      <c r="B252" s="23" t="s">
        <v>827</v>
      </c>
      <c r="C252" s="23" t="s">
        <v>377</v>
      </c>
      <c r="D252" s="24" t="str">
        <f>INDEX(tbUnitTypeToIndex[Index],MATCH(tbUnitNameToType[[#This Row],[Type]],tbUnitTypeToIndex[Type],))</f>
        <v>强英</v>
      </c>
    </row>
    <row r="253" spans="2:4" x14ac:dyDescent="0.3">
      <c r="B253" s="23" t="s">
        <v>828</v>
      </c>
      <c r="C253" s="23" t="s">
        <v>381</v>
      </c>
      <c r="D253" s="24" t="str">
        <f>INDEX(tbUnitTypeToIndex[Index],MATCH(tbUnitNameToType[[#This Row],[Type]],tbUnitTypeToIndex[Type],))</f>
        <v>刺英</v>
      </c>
    </row>
    <row r="254" spans="2:4" x14ac:dyDescent="0.3">
      <c r="B254" s="23" t="s">
        <v>829</v>
      </c>
      <c r="C254" s="23" t="s">
        <v>378</v>
      </c>
      <c r="D254" s="24" t="str">
        <f>INDEX(tbUnitTypeToIndex[Index],MATCH(tbUnitNameToType[[#This Row],[Type]],tbUnitTypeToIndex[Type],))</f>
        <v>铁英</v>
      </c>
    </row>
    <row r="255" spans="2:4" x14ac:dyDescent="0.3">
      <c r="B255" s="23" t="s">
        <v>830</v>
      </c>
      <c r="C255" s="23" t="s">
        <v>376</v>
      </c>
      <c r="D255" s="24" t="str">
        <f>INDEX(tbUnitTypeToIndex[Index],MATCH(tbUnitNameToType[[#This Row],[Type]],tbUnitTypeToIndex[Type],))</f>
        <v>盾英</v>
      </c>
    </row>
    <row r="256" spans="2:4" x14ac:dyDescent="0.3">
      <c r="B256" s="23" t="s">
        <v>831</v>
      </c>
      <c r="C256" s="23" t="s">
        <v>378</v>
      </c>
      <c r="D256" s="24" t="str">
        <f>INDEX(tbUnitTypeToIndex[Index],MATCH(tbUnitNameToType[[#This Row],[Type]],tbUnitTypeToIndex[Type],))</f>
        <v>铁英</v>
      </c>
    </row>
    <row r="257" spans="2:4" x14ac:dyDescent="0.3">
      <c r="B257" s="23" t="s">
        <v>832</v>
      </c>
      <c r="C257" s="23" t="s">
        <v>378</v>
      </c>
      <c r="D257" s="24" t="str">
        <f>INDEX(tbUnitTypeToIndex[Index],MATCH(tbUnitNameToType[[#This Row],[Type]],tbUnitTypeToIndex[Type],))</f>
        <v>铁英</v>
      </c>
    </row>
    <row r="258" spans="2:4" x14ac:dyDescent="0.3">
      <c r="B258" s="23" t="s">
        <v>833</v>
      </c>
      <c r="C258" s="23" t="s">
        <v>376</v>
      </c>
      <c r="D258" s="24" t="str">
        <f>INDEX(tbUnitTypeToIndex[Index],MATCH(tbUnitNameToType[[#This Row],[Type]],tbUnitTypeToIndex[Type],))</f>
        <v>盾英</v>
      </c>
    </row>
    <row r="259" spans="2:4" x14ac:dyDescent="0.3">
      <c r="B259" s="23" t="s">
        <v>834</v>
      </c>
      <c r="C259" s="23" t="s">
        <v>376</v>
      </c>
      <c r="D259" s="24" t="str">
        <f>INDEX(tbUnitTypeToIndex[Index],MATCH(tbUnitNameToType[[#This Row],[Type]],tbUnitTypeToIndex[Type],))</f>
        <v>盾英</v>
      </c>
    </row>
    <row r="260" spans="2:4" x14ac:dyDescent="0.3">
      <c r="B260" s="23" t="s">
        <v>835</v>
      </c>
      <c r="C260" s="23" t="s">
        <v>376</v>
      </c>
      <c r="D260" s="24" t="str">
        <f>INDEX(tbUnitTypeToIndex[Index],MATCH(tbUnitNameToType[[#This Row],[Type]],tbUnitTypeToIndex[Type],))</f>
        <v>盾英</v>
      </c>
    </row>
    <row r="261" spans="2:4" x14ac:dyDescent="0.3">
      <c r="B261" s="23" t="s">
        <v>836</v>
      </c>
      <c r="C261" s="23" t="s">
        <v>378</v>
      </c>
      <c r="D261" s="24" t="str">
        <f>INDEX(tbUnitTypeToIndex[Index],MATCH(tbUnitNameToType[[#This Row],[Type]],tbUnitTypeToIndex[Type],))</f>
        <v>铁英</v>
      </c>
    </row>
    <row r="262" spans="2:4" x14ac:dyDescent="0.3">
      <c r="B262" s="23" t="s">
        <v>837</v>
      </c>
      <c r="C262" s="23" t="s">
        <v>377</v>
      </c>
      <c r="D262" s="24" t="str">
        <f>INDEX(tbUnitTypeToIndex[Index],MATCH(tbUnitNameToType[[#This Row],[Type]],tbUnitTypeToIndex[Type],))</f>
        <v>强英</v>
      </c>
    </row>
    <row r="263" spans="2:4" x14ac:dyDescent="0.3">
      <c r="B263" s="23" t="s">
        <v>838</v>
      </c>
      <c r="C263" s="23" t="s">
        <v>376</v>
      </c>
      <c r="D263" s="24" t="str">
        <f>INDEX(tbUnitTypeToIndex[Index],MATCH(tbUnitNameToType[[#This Row],[Type]],tbUnitTypeToIndex[Type],))</f>
        <v>盾英</v>
      </c>
    </row>
    <row r="264" spans="2:4" x14ac:dyDescent="0.3">
      <c r="B264" s="23" t="s">
        <v>839</v>
      </c>
      <c r="C264" s="23" t="s">
        <v>378</v>
      </c>
      <c r="D264" s="24" t="str">
        <f>INDEX(tbUnitTypeToIndex[Index],MATCH(tbUnitNameToType[[#This Row],[Type]],tbUnitTypeToIndex[Type],))</f>
        <v>铁英</v>
      </c>
    </row>
    <row r="265" spans="2:4" x14ac:dyDescent="0.3">
      <c r="B265" s="23" t="s">
        <v>840</v>
      </c>
      <c r="C265" s="23" t="s">
        <v>378</v>
      </c>
      <c r="D265" s="24" t="str">
        <f>INDEX(tbUnitTypeToIndex[Index],MATCH(tbUnitNameToType[[#This Row],[Type]],tbUnitTypeToIndex[Type],))</f>
        <v>铁英</v>
      </c>
    </row>
    <row r="266" spans="2:4" x14ac:dyDescent="0.3">
      <c r="B266" s="23" t="s">
        <v>841</v>
      </c>
      <c r="C266" s="23" t="s">
        <v>376</v>
      </c>
      <c r="D266" s="24" t="str">
        <f>INDEX(tbUnitTypeToIndex[Index],MATCH(tbUnitNameToType[[#This Row],[Type]],tbUnitTypeToIndex[Type],))</f>
        <v>盾英</v>
      </c>
    </row>
    <row r="267" spans="2:4" x14ac:dyDescent="0.3">
      <c r="B267" s="23" t="s">
        <v>842</v>
      </c>
      <c r="C267" s="23" t="s">
        <v>381</v>
      </c>
      <c r="D267" s="24" t="str">
        <f>INDEX(tbUnitTypeToIndex[Index],MATCH(tbUnitNameToType[[#This Row],[Type]],tbUnitTypeToIndex[Type],))</f>
        <v>刺英</v>
      </c>
    </row>
    <row r="268" spans="2:4" x14ac:dyDescent="0.3">
      <c r="B268" s="23" t="s">
        <v>843</v>
      </c>
      <c r="C268" s="23" t="s">
        <v>377</v>
      </c>
      <c r="D268" s="24" t="str">
        <f>INDEX(tbUnitTypeToIndex[Index],MATCH(tbUnitNameToType[[#This Row],[Type]],tbUnitTypeToIndex[Type],))</f>
        <v>强英</v>
      </c>
    </row>
    <row r="269" spans="2:4" x14ac:dyDescent="0.3">
      <c r="B269" s="23" t="s">
        <v>844</v>
      </c>
      <c r="C269" s="23" t="s">
        <v>379</v>
      </c>
      <c r="D269" s="24" t="str">
        <f>INDEX(tbUnitTypeToIndex[Index],MATCH(tbUnitNameToType[[#This Row],[Type]],tbUnitTypeToIndex[Type],))</f>
        <v>炼英</v>
      </c>
    </row>
    <row r="270" spans="2:4" x14ac:dyDescent="0.3">
      <c r="B270" s="23" t="s">
        <v>845</v>
      </c>
      <c r="C270" s="23" t="s">
        <v>376</v>
      </c>
      <c r="D270" s="24" t="str">
        <f>INDEX(tbUnitTypeToIndex[Index],MATCH(tbUnitNameToType[[#This Row],[Type]],tbUnitTypeToIndex[Type],))</f>
        <v>盾英</v>
      </c>
    </row>
    <row r="271" spans="2:4" x14ac:dyDescent="0.3">
      <c r="B271" s="23" t="s">
        <v>846</v>
      </c>
      <c r="C271" s="23" t="s">
        <v>380</v>
      </c>
      <c r="D271" s="24" t="str">
        <f>INDEX(tbUnitTypeToIndex[Index],MATCH(tbUnitNameToType[[#This Row],[Type]],tbUnitTypeToIndex[Type],))</f>
        <v>法英</v>
      </c>
    </row>
    <row r="272" spans="2:4" x14ac:dyDescent="0.3">
      <c r="B272" s="23" t="s">
        <v>847</v>
      </c>
      <c r="C272" s="23" t="s">
        <v>379</v>
      </c>
      <c r="D272" s="24" t="str">
        <f>INDEX(tbUnitTypeToIndex[Index],MATCH(tbUnitNameToType[[#This Row],[Type]],tbUnitTypeToIndex[Type],))</f>
        <v>炼英</v>
      </c>
    </row>
    <row r="273" spans="2:4" x14ac:dyDescent="0.3">
      <c r="B273" s="23" t="s">
        <v>848</v>
      </c>
      <c r="C273" s="23" t="s">
        <v>381</v>
      </c>
      <c r="D273" s="24" t="str">
        <f>INDEX(tbUnitTypeToIndex[Index],MATCH(tbUnitNameToType[[#This Row],[Type]],tbUnitTypeToIndex[Type],))</f>
        <v>刺英</v>
      </c>
    </row>
    <row r="274" spans="2:4" x14ac:dyDescent="0.3">
      <c r="B274" s="23" t="s">
        <v>849</v>
      </c>
      <c r="C274" s="23" t="s">
        <v>377</v>
      </c>
      <c r="D274" s="24" t="str">
        <f>INDEX(tbUnitTypeToIndex[Index],MATCH(tbUnitNameToType[[#This Row],[Type]],tbUnitTypeToIndex[Type],))</f>
        <v>强英</v>
      </c>
    </row>
    <row r="275" spans="2:4" x14ac:dyDescent="0.3">
      <c r="B275" s="23" t="s">
        <v>850</v>
      </c>
      <c r="C275" s="23" t="s">
        <v>378</v>
      </c>
      <c r="D275" s="24" t="str">
        <f>INDEX(tbUnitTypeToIndex[Index],MATCH(tbUnitNameToType[[#This Row],[Type]],tbUnitTypeToIndex[Type],))</f>
        <v>铁英</v>
      </c>
    </row>
    <row r="276" spans="2:4" x14ac:dyDescent="0.3">
      <c r="B276" s="23" t="s">
        <v>851</v>
      </c>
      <c r="C276" s="23" t="s">
        <v>380</v>
      </c>
      <c r="D276" s="24" t="str">
        <f>INDEX(tbUnitTypeToIndex[Index],MATCH(tbUnitNameToType[[#This Row],[Type]],tbUnitTypeToIndex[Type],))</f>
        <v>法英</v>
      </c>
    </row>
    <row r="277" spans="2:4" x14ac:dyDescent="0.3">
      <c r="B277" s="23" t="s">
        <v>852</v>
      </c>
      <c r="C277" s="23" t="s">
        <v>377</v>
      </c>
      <c r="D277" s="24" t="str">
        <f>INDEX(tbUnitTypeToIndex[Index],MATCH(tbUnitNameToType[[#This Row],[Type]],tbUnitTypeToIndex[Type],))</f>
        <v>强英</v>
      </c>
    </row>
    <row r="278" spans="2:4" x14ac:dyDescent="0.3">
      <c r="B278" s="23" t="s">
        <v>853</v>
      </c>
      <c r="C278" s="23" t="s">
        <v>376</v>
      </c>
      <c r="D278" s="24" t="str">
        <f>INDEX(tbUnitTypeToIndex[Index],MATCH(tbUnitNameToType[[#This Row],[Type]],tbUnitTypeToIndex[Type],))</f>
        <v>盾英</v>
      </c>
    </row>
    <row r="279" spans="2:4" x14ac:dyDescent="0.3">
      <c r="B279" s="23" t="s">
        <v>854</v>
      </c>
      <c r="C279" s="23" t="s">
        <v>379</v>
      </c>
      <c r="D279" s="24" t="str">
        <f>INDEX(tbUnitTypeToIndex[Index],MATCH(tbUnitNameToType[[#This Row],[Type]],tbUnitTypeToIndex[Type],))</f>
        <v>炼英</v>
      </c>
    </row>
    <row r="280" spans="2:4" x14ac:dyDescent="0.3">
      <c r="B280" s="23" t="s">
        <v>855</v>
      </c>
      <c r="C280" s="23" t="s">
        <v>376</v>
      </c>
      <c r="D280" s="24" t="str">
        <f>INDEX(tbUnitTypeToIndex[Index],MATCH(tbUnitNameToType[[#This Row],[Type]],tbUnitTypeToIndex[Type],))</f>
        <v>盾英</v>
      </c>
    </row>
    <row r="281" spans="2:4" x14ac:dyDescent="0.3">
      <c r="B281" s="23" t="s">
        <v>856</v>
      </c>
      <c r="C281" s="23" t="s">
        <v>377</v>
      </c>
      <c r="D281" s="24" t="str">
        <f>INDEX(tbUnitTypeToIndex[Index],MATCH(tbUnitNameToType[[#This Row],[Type]],tbUnitTypeToIndex[Type],))</f>
        <v>强英</v>
      </c>
    </row>
    <row r="282" spans="2:4" x14ac:dyDescent="0.3">
      <c r="B282" s="23" t="s">
        <v>857</v>
      </c>
      <c r="C282" s="23" t="s">
        <v>376</v>
      </c>
      <c r="D282" s="24" t="str">
        <f>INDEX(tbUnitTypeToIndex[Index],MATCH(tbUnitNameToType[[#This Row],[Type]],tbUnitTypeToIndex[Type],))</f>
        <v>盾英</v>
      </c>
    </row>
    <row r="283" spans="2:4" x14ac:dyDescent="0.3">
      <c r="B283" s="23" t="s">
        <v>858</v>
      </c>
      <c r="C283" s="23" t="s">
        <v>379</v>
      </c>
      <c r="D283" s="24" t="str">
        <f>INDEX(tbUnitTypeToIndex[Index],MATCH(tbUnitNameToType[[#This Row],[Type]],tbUnitTypeToIndex[Type],))</f>
        <v>炼英</v>
      </c>
    </row>
    <row r="284" spans="2:4" x14ac:dyDescent="0.3">
      <c r="B284" s="23" t="s">
        <v>859</v>
      </c>
      <c r="C284" s="23" t="s">
        <v>378</v>
      </c>
      <c r="D284" s="24" t="str">
        <f>INDEX(tbUnitTypeToIndex[Index],MATCH(tbUnitNameToType[[#This Row],[Type]],tbUnitTypeToIndex[Type],))</f>
        <v>铁英</v>
      </c>
    </row>
    <row r="285" spans="2:4" x14ac:dyDescent="0.3">
      <c r="B285" s="23" t="s">
        <v>860</v>
      </c>
      <c r="C285" s="23" t="s">
        <v>381</v>
      </c>
      <c r="D285" s="24" t="str">
        <f>INDEX(tbUnitTypeToIndex[Index],MATCH(tbUnitNameToType[[#This Row],[Type]],tbUnitTypeToIndex[Type],))</f>
        <v>刺英</v>
      </c>
    </row>
    <row r="286" spans="2:4" x14ac:dyDescent="0.3">
      <c r="B286" s="23" t="s">
        <v>861</v>
      </c>
      <c r="C286" s="23" t="s">
        <v>376</v>
      </c>
      <c r="D286" s="24" t="str">
        <f>INDEX(tbUnitTypeToIndex[Index],MATCH(tbUnitNameToType[[#This Row],[Type]],tbUnitTypeToIndex[Type],))</f>
        <v>盾英</v>
      </c>
    </row>
    <row r="287" spans="2:4" x14ac:dyDescent="0.3">
      <c r="B287" s="23" t="s">
        <v>862</v>
      </c>
      <c r="C287" s="23" t="s">
        <v>378</v>
      </c>
      <c r="D287" s="24" t="str">
        <f>INDEX(tbUnitTypeToIndex[Index],MATCH(tbUnitNameToType[[#This Row],[Type]],tbUnitTypeToIndex[Type],))</f>
        <v>铁英</v>
      </c>
    </row>
    <row r="288" spans="2:4" x14ac:dyDescent="0.3">
      <c r="B288" s="23" t="s">
        <v>863</v>
      </c>
      <c r="C288" s="23" t="s">
        <v>378</v>
      </c>
      <c r="D288" s="24" t="str">
        <f>INDEX(tbUnitTypeToIndex[Index],MATCH(tbUnitNameToType[[#This Row],[Type]],tbUnitTypeToIndex[Type],))</f>
        <v>铁英</v>
      </c>
    </row>
    <row r="289" spans="2:4" x14ac:dyDescent="0.3">
      <c r="B289" s="23" t="s">
        <v>864</v>
      </c>
      <c r="C289" s="23" t="s">
        <v>378</v>
      </c>
      <c r="D289" s="24" t="str">
        <f>INDEX(tbUnitTypeToIndex[Index],MATCH(tbUnitNameToType[[#This Row],[Type]],tbUnitTypeToIndex[Type],))</f>
        <v>铁英</v>
      </c>
    </row>
    <row r="290" spans="2:4" x14ac:dyDescent="0.3">
      <c r="B290" s="23" t="s">
        <v>865</v>
      </c>
      <c r="C290" s="23" t="s">
        <v>376</v>
      </c>
      <c r="D290" s="24" t="str">
        <f>INDEX(tbUnitTypeToIndex[Index],MATCH(tbUnitNameToType[[#This Row],[Type]],tbUnitTypeToIndex[Type],))</f>
        <v>盾英</v>
      </c>
    </row>
    <row r="291" spans="2:4" x14ac:dyDescent="0.3">
      <c r="B291" s="23" t="s">
        <v>866</v>
      </c>
      <c r="C291" s="23" t="s">
        <v>377</v>
      </c>
      <c r="D291" s="24" t="str">
        <f>INDEX(tbUnitTypeToIndex[Index],MATCH(tbUnitNameToType[[#This Row],[Type]],tbUnitTypeToIndex[Type],))</f>
        <v>强英</v>
      </c>
    </row>
    <row r="292" spans="2:4" x14ac:dyDescent="0.3">
      <c r="B292" s="23" t="s">
        <v>867</v>
      </c>
      <c r="C292" s="23" t="s">
        <v>380</v>
      </c>
      <c r="D292" s="24" t="str">
        <f>INDEX(tbUnitTypeToIndex[Index],MATCH(tbUnitNameToType[[#This Row],[Type]],tbUnitTypeToIndex[Type],))</f>
        <v>法英</v>
      </c>
    </row>
    <row r="293" spans="2:4" x14ac:dyDescent="0.3">
      <c r="B293" s="23" t="s">
        <v>868</v>
      </c>
      <c r="C293" s="23" t="s">
        <v>377</v>
      </c>
      <c r="D293" s="24" t="str">
        <f>INDEX(tbUnitTypeToIndex[Index],MATCH(tbUnitNameToType[[#This Row],[Type]],tbUnitTypeToIndex[Type],))</f>
        <v>强英</v>
      </c>
    </row>
    <row r="294" spans="2:4" x14ac:dyDescent="0.3">
      <c r="B294" s="23" t="s">
        <v>869</v>
      </c>
      <c r="C294" s="23" t="s">
        <v>379</v>
      </c>
      <c r="D294" s="24" t="str">
        <f>INDEX(tbUnitTypeToIndex[Index],MATCH(tbUnitNameToType[[#This Row],[Type]],tbUnitTypeToIndex[Type],))</f>
        <v>炼英</v>
      </c>
    </row>
    <row r="295" spans="2:4" x14ac:dyDescent="0.3">
      <c r="B295" s="23" t="s">
        <v>870</v>
      </c>
      <c r="C295" s="23" t="s">
        <v>379</v>
      </c>
      <c r="D295" s="24" t="str">
        <f>INDEX(tbUnitTypeToIndex[Index],MATCH(tbUnitNameToType[[#This Row],[Type]],tbUnitTypeToIndex[Type],))</f>
        <v>炼英</v>
      </c>
    </row>
    <row r="296" spans="2:4" x14ac:dyDescent="0.3">
      <c r="B296" s="23" t="s">
        <v>871</v>
      </c>
      <c r="C296" s="23" t="s">
        <v>376</v>
      </c>
      <c r="D296" s="24" t="str">
        <f>INDEX(tbUnitTypeToIndex[Index],MATCH(tbUnitNameToType[[#This Row],[Type]],tbUnitTypeToIndex[Type],))</f>
        <v>盾英</v>
      </c>
    </row>
    <row r="297" spans="2:4" x14ac:dyDescent="0.3">
      <c r="B297" s="23" t="s">
        <v>872</v>
      </c>
      <c r="C297" s="23" t="s">
        <v>376</v>
      </c>
      <c r="D297" s="24" t="str">
        <f>INDEX(tbUnitTypeToIndex[Index],MATCH(tbUnitNameToType[[#This Row],[Type]],tbUnitTypeToIndex[Type],))</f>
        <v>盾英</v>
      </c>
    </row>
    <row r="298" spans="2:4" x14ac:dyDescent="0.3">
      <c r="B298" s="23" t="s">
        <v>873</v>
      </c>
      <c r="C298" s="23" t="s">
        <v>377</v>
      </c>
      <c r="D298" s="24" t="str">
        <f>INDEX(tbUnitTypeToIndex[Index],MATCH(tbUnitNameToType[[#This Row],[Type]],tbUnitTypeToIndex[Type],))</f>
        <v>强英</v>
      </c>
    </row>
    <row r="299" spans="2:4" x14ac:dyDescent="0.3">
      <c r="B299" s="23" t="s">
        <v>874</v>
      </c>
      <c r="C299" s="23" t="s">
        <v>378</v>
      </c>
      <c r="D299" s="24" t="str">
        <f>INDEX(tbUnitTypeToIndex[Index],MATCH(tbUnitNameToType[[#This Row],[Type]],tbUnitTypeToIndex[Type],))</f>
        <v>铁英</v>
      </c>
    </row>
    <row r="300" spans="2:4" x14ac:dyDescent="0.3">
      <c r="B300" s="23" t="s">
        <v>875</v>
      </c>
      <c r="C300" s="23" t="s">
        <v>378</v>
      </c>
      <c r="D300" s="24" t="str">
        <f>INDEX(tbUnitTypeToIndex[Index],MATCH(tbUnitNameToType[[#This Row],[Type]],tbUnitTypeToIndex[Type],))</f>
        <v>铁英</v>
      </c>
    </row>
    <row r="301" spans="2:4" x14ac:dyDescent="0.3">
      <c r="B301" s="23" t="s">
        <v>876</v>
      </c>
      <c r="C301" s="23" t="s">
        <v>376</v>
      </c>
      <c r="D301" s="24" t="str">
        <f>INDEX(tbUnitTypeToIndex[Index],MATCH(tbUnitNameToType[[#This Row],[Type]],tbUnitTypeToIndex[Type],))</f>
        <v>盾英</v>
      </c>
    </row>
    <row r="302" spans="2:4" x14ac:dyDescent="0.3">
      <c r="B302" s="23" t="s">
        <v>877</v>
      </c>
      <c r="C302" s="23" t="s">
        <v>376</v>
      </c>
      <c r="D302" s="24" t="str">
        <f>INDEX(tbUnitTypeToIndex[Index],MATCH(tbUnitNameToType[[#This Row],[Type]],tbUnitTypeToIndex[Type],))</f>
        <v>盾英</v>
      </c>
    </row>
    <row r="303" spans="2:4" x14ac:dyDescent="0.3">
      <c r="B303" s="23" t="s">
        <v>878</v>
      </c>
      <c r="C303" s="23" t="s">
        <v>376</v>
      </c>
      <c r="D303" s="24" t="str">
        <f>INDEX(tbUnitTypeToIndex[Index],MATCH(tbUnitNameToType[[#This Row],[Type]],tbUnitTypeToIndex[Type],))</f>
        <v>盾英</v>
      </c>
    </row>
    <row r="304" spans="2:4" x14ac:dyDescent="0.3">
      <c r="B304" s="23" t="s">
        <v>879</v>
      </c>
      <c r="C304" s="23" t="s">
        <v>377</v>
      </c>
      <c r="D304" s="24" t="str">
        <f>INDEX(tbUnitTypeToIndex[Index],MATCH(tbUnitNameToType[[#This Row],[Type]],tbUnitTypeToIndex[Type],))</f>
        <v>强英</v>
      </c>
    </row>
    <row r="305" spans="2:4" x14ac:dyDescent="0.3">
      <c r="B305" s="23" t="s">
        <v>880</v>
      </c>
      <c r="C305" s="23" t="s">
        <v>381</v>
      </c>
      <c r="D305" s="24" t="str">
        <f>INDEX(tbUnitTypeToIndex[Index],MATCH(tbUnitNameToType[[#This Row],[Type]],tbUnitTypeToIndex[Type],))</f>
        <v>刺英</v>
      </c>
    </row>
    <row r="306" spans="2:4" x14ac:dyDescent="0.3">
      <c r="B306" s="23" t="s">
        <v>881</v>
      </c>
      <c r="C306" s="23" t="s">
        <v>379</v>
      </c>
      <c r="D306" s="24" t="str">
        <f>INDEX(tbUnitTypeToIndex[Index],MATCH(tbUnitNameToType[[#This Row],[Type]],tbUnitTypeToIndex[Type],))</f>
        <v>炼英</v>
      </c>
    </row>
    <row r="307" spans="2:4" x14ac:dyDescent="0.3">
      <c r="B307" s="23" t="s">
        <v>882</v>
      </c>
      <c r="C307" s="23" t="s">
        <v>376</v>
      </c>
      <c r="D307" s="24" t="str">
        <f>INDEX(tbUnitTypeToIndex[Index],MATCH(tbUnitNameToType[[#This Row],[Type]],tbUnitTypeToIndex[Type],))</f>
        <v>盾英</v>
      </c>
    </row>
    <row r="308" spans="2:4" x14ac:dyDescent="0.3">
      <c r="B308" s="23" t="s">
        <v>883</v>
      </c>
      <c r="C308" s="23" t="s">
        <v>378</v>
      </c>
      <c r="D308" s="24" t="str">
        <f>INDEX(tbUnitTypeToIndex[Index],MATCH(tbUnitNameToType[[#This Row],[Type]],tbUnitTypeToIndex[Type],))</f>
        <v>铁英</v>
      </c>
    </row>
    <row r="309" spans="2:4" x14ac:dyDescent="0.3">
      <c r="B309" s="23" t="s">
        <v>884</v>
      </c>
      <c r="C309" s="23" t="s">
        <v>376</v>
      </c>
      <c r="D309" s="24" t="str">
        <f>INDEX(tbUnitTypeToIndex[Index],MATCH(tbUnitNameToType[[#This Row],[Type]],tbUnitTypeToIndex[Type],))</f>
        <v>盾英</v>
      </c>
    </row>
    <row r="310" spans="2:4" x14ac:dyDescent="0.3">
      <c r="B310" s="23" t="s">
        <v>885</v>
      </c>
      <c r="C310" s="23" t="s">
        <v>377</v>
      </c>
      <c r="D310" s="24" t="str">
        <f>INDEX(tbUnitTypeToIndex[Index],MATCH(tbUnitNameToType[[#This Row],[Type]],tbUnitTypeToIndex[Type],))</f>
        <v>强英</v>
      </c>
    </row>
    <row r="311" spans="2:4" x14ac:dyDescent="0.3">
      <c r="B311" s="23" t="s">
        <v>886</v>
      </c>
      <c r="C311" s="23" t="s">
        <v>376</v>
      </c>
      <c r="D311" s="24" t="str">
        <f>INDEX(tbUnitTypeToIndex[Index],MATCH(tbUnitNameToType[[#This Row],[Type]],tbUnitTypeToIndex[Type],))</f>
        <v>盾英</v>
      </c>
    </row>
    <row r="312" spans="2:4" x14ac:dyDescent="0.3">
      <c r="B312" s="23" t="s">
        <v>887</v>
      </c>
      <c r="C312" s="23" t="s">
        <v>378</v>
      </c>
      <c r="D312" s="24" t="str">
        <f>INDEX(tbUnitTypeToIndex[Index],MATCH(tbUnitNameToType[[#This Row],[Type]],tbUnitTypeToIndex[Type],))</f>
        <v>铁英</v>
      </c>
    </row>
    <row r="313" spans="2:4" x14ac:dyDescent="0.3">
      <c r="B313" s="23" t="s">
        <v>888</v>
      </c>
      <c r="C313" s="23" t="s">
        <v>376</v>
      </c>
      <c r="D313" s="24" t="str">
        <f>INDEX(tbUnitTypeToIndex[Index],MATCH(tbUnitNameToType[[#This Row],[Type]],tbUnitTypeToIndex[Type],))</f>
        <v>盾英</v>
      </c>
    </row>
    <row r="314" spans="2:4" x14ac:dyDescent="0.3">
      <c r="B314" s="23" t="s">
        <v>889</v>
      </c>
      <c r="C314" s="23" t="s">
        <v>378</v>
      </c>
      <c r="D314" s="24" t="str">
        <f>INDEX(tbUnitTypeToIndex[Index],MATCH(tbUnitNameToType[[#This Row],[Type]],tbUnitTypeToIndex[Type],))</f>
        <v>铁英</v>
      </c>
    </row>
    <row r="315" spans="2:4" x14ac:dyDescent="0.3">
      <c r="B315" s="23" t="s">
        <v>890</v>
      </c>
      <c r="C315" s="23" t="s">
        <v>377</v>
      </c>
      <c r="D315" s="24" t="str">
        <f>INDEX(tbUnitTypeToIndex[Index],MATCH(tbUnitNameToType[[#This Row],[Type]],tbUnitTypeToIndex[Type],))</f>
        <v>强英</v>
      </c>
    </row>
    <row r="316" spans="2:4" x14ac:dyDescent="0.3">
      <c r="B316" s="23" t="s">
        <v>891</v>
      </c>
      <c r="C316" s="23" t="s">
        <v>378</v>
      </c>
      <c r="D316" s="24" t="str">
        <f>INDEX(tbUnitTypeToIndex[Index],MATCH(tbUnitNameToType[[#This Row],[Type]],tbUnitTypeToIndex[Type],))</f>
        <v>铁英</v>
      </c>
    </row>
    <row r="317" spans="2:4" x14ac:dyDescent="0.3">
      <c r="B317" s="23" t="s">
        <v>892</v>
      </c>
      <c r="C317" s="23" t="s">
        <v>378</v>
      </c>
      <c r="D317" s="24" t="str">
        <f>INDEX(tbUnitTypeToIndex[Index],MATCH(tbUnitNameToType[[#This Row],[Type]],tbUnitTypeToIndex[Type],))</f>
        <v>铁英</v>
      </c>
    </row>
    <row r="318" spans="2:4" x14ac:dyDescent="0.3">
      <c r="B318" s="23" t="s">
        <v>893</v>
      </c>
      <c r="C318" s="23" t="s">
        <v>378</v>
      </c>
      <c r="D318" s="24" t="str">
        <f>INDEX(tbUnitTypeToIndex[Index],MATCH(tbUnitNameToType[[#This Row],[Type]],tbUnitTypeToIndex[Type],))</f>
        <v>铁英</v>
      </c>
    </row>
    <row r="319" spans="2:4" x14ac:dyDescent="0.3">
      <c r="B319" s="23" t="s">
        <v>894</v>
      </c>
      <c r="C319" s="23" t="s">
        <v>380</v>
      </c>
      <c r="D319" s="24" t="str">
        <f>INDEX(tbUnitTypeToIndex[Index],MATCH(tbUnitNameToType[[#This Row],[Type]],tbUnitTypeToIndex[Type],))</f>
        <v>法英</v>
      </c>
    </row>
    <row r="320" spans="2:4" x14ac:dyDescent="0.3">
      <c r="B320" s="23" t="s">
        <v>895</v>
      </c>
      <c r="C320" s="23" t="s">
        <v>376</v>
      </c>
      <c r="D320" s="24" t="str">
        <f>INDEX(tbUnitTypeToIndex[Index],MATCH(tbUnitNameToType[[#This Row],[Type]],tbUnitTypeToIndex[Type],))</f>
        <v>盾英</v>
      </c>
    </row>
    <row r="321" spans="2:4" x14ac:dyDescent="0.3">
      <c r="B321" s="23" t="s">
        <v>896</v>
      </c>
      <c r="C321" s="23" t="s">
        <v>376</v>
      </c>
      <c r="D321" s="24" t="str">
        <f>INDEX(tbUnitTypeToIndex[Index],MATCH(tbUnitNameToType[[#This Row],[Type]],tbUnitTypeToIndex[Type],))</f>
        <v>盾英</v>
      </c>
    </row>
    <row r="322" spans="2:4" x14ac:dyDescent="0.3">
      <c r="B322" s="23" t="s">
        <v>897</v>
      </c>
      <c r="C322" s="23" t="s">
        <v>380</v>
      </c>
      <c r="D322" s="24" t="str">
        <f>INDEX(tbUnitTypeToIndex[Index],MATCH(tbUnitNameToType[[#This Row],[Type]],tbUnitTypeToIndex[Type],))</f>
        <v>法英</v>
      </c>
    </row>
    <row r="323" spans="2:4" x14ac:dyDescent="0.3">
      <c r="B323" s="23" t="s">
        <v>898</v>
      </c>
      <c r="C323" s="23" t="s">
        <v>376</v>
      </c>
      <c r="D323" s="24" t="str">
        <f>INDEX(tbUnitTypeToIndex[Index],MATCH(tbUnitNameToType[[#This Row],[Type]],tbUnitTypeToIndex[Type],))</f>
        <v>盾英</v>
      </c>
    </row>
    <row r="324" spans="2:4" x14ac:dyDescent="0.3">
      <c r="B324" s="23" t="s">
        <v>899</v>
      </c>
      <c r="C324" s="23" t="s">
        <v>378</v>
      </c>
      <c r="D324" s="24" t="str">
        <f>INDEX(tbUnitTypeToIndex[Index],MATCH(tbUnitNameToType[[#This Row],[Type]],tbUnitTypeToIndex[Type],))</f>
        <v>铁英</v>
      </c>
    </row>
    <row r="325" spans="2:4" x14ac:dyDescent="0.3">
      <c r="B325" s="23" t="s">
        <v>900</v>
      </c>
      <c r="C325" s="23" t="s">
        <v>376</v>
      </c>
      <c r="D325" s="24" t="str">
        <f>INDEX(tbUnitTypeToIndex[Index],MATCH(tbUnitNameToType[[#This Row],[Type]],tbUnitTypeToIndex[Type],))</f>
        <v>盾英</v>
      </c>
    </row>
    <row r="326" spans="2:4" x14ac:dyDescent="0.3">
      <c r="B326" s="23" t="s">
        <v>901</v>
      </c>
      <c r="C326" s="23" t="s">
        <v>377</v>
      </c>
      <c r="D326" s="24" t="str">
        <f>INDEX(tbUnitTypeToIndex[Index],MATCH(tbUnitNameToType[[#This Row],[Type]],tbUnitTypeToIndex[Type],))</f>
        <v>强英</v>
      </c>
    </row>
    <row r="327" spans="2:4" x14ac:dyDescent="0.3">
      <c r="B327" s="23" t="s">
        <v>902</v>
      </c>
      <c r="C327" s="23" t="s">
        <v>377</v>
      </c>
      <c r="D327" s="24" t="str">
        <f>INDEX(tbUnitTypeToIndex[Index],MATCH(tbUnitNameToType[[#This Row],[Type]],tbUnitTypeToIndex[Type],))</f>
        <v>强英</v>
      </c>
    </row>
    <row r="328" spans="2:4" x14ac:dyDescent="0.3">
      <c r="B328" s="23" t="s">
        <v>903</v>
      </c>
      <c r="C328" s="23" t="s">
        <v>378</v>
      </c>
      <c r="D328" s="24" t="str">
        <f>INDEX(tbUnitTypeToIndex[Index],MATCH(tbUnitNameToType[[#This Row],[Type]],tbUnitTypeToIndex[Type],))</f>
        <v>铁英</v>
      </c>
    </row>
    <row r="329" spans="2:4" x14ac:dyDescent="0.3">
      <c r="B329" s="23" t="s">
        <v>904</v>
      </c>
      <c r="C329" s="23" t="s">
        <v>377</v>
      </c>
      <c r="D329" s="24" t="str">
        <f>INDEX(tbUnitTypeToIndex[Index],MATCH(tbUnitNameToType[[#This Row],[Type]],tbUnitTypeToIndex[Type],))</f>
        <v>强英</v>
      </c>
    </row>
    <row r="330" spans="2:4" x14ac:dyDescent="0.3">
      <c r="B330" s="23" t="s">
        <v>905</v>
      </c>
      <c r="C330" s="23" t="s">
        <v>378</v>
      </c>
      <c r="D330" s="24" t="str">
        <f>INDEX(tbUnitTypeToIndex[Index],MATCH(tbUnitNameToType[[#This Row],[Type]],tbUnitTypeToIndex[Type],))</f>
        <v>铁英</v>
      </c>
    </row>
    <row r="331" spans="2:4" x14ac:dyDescent="0.3">
      <c r="B331" s="23" t="s">
        <v>906</v>
      </c>
      <c r="C331" s="23" t="s">
        <v>376</v>
      </c>
      <c r="D331" s="24" t="str">
        <f>INDEX(tbUnitTypeToIndex[Index],MATCH(tbUnitNameToType[[#This Row],[Type]],tbUnitTypeToIndex[Type],))</f>
        <v>盾英</v>
      </c>
    </row>
    <row r="332" spans="2:4" x14ac:dyDescent="0.3">
      <c r="B332" s="23" t="s">
        <v>907</v>
      </c>
      <c r="C332" s="23" t="s">
        <v>376</v>
      </c>
      <c r="D332" s="24" t="str">
        <f>INDEX(tbUnitTypeToIndex[Index],MATCH(tbUnitNameToType[[#This Row],[Type]],tbUnitTypeToIndex[Type],))</f>
        <v>盾英</v>
      </c>
    </row>
    <row r="333" spans="2:4" x14ac:dyDescent="0.3">
      <c r="B333" s="23" t="s">
        <v>908</v>
      </c>
      <c r="C333" s="23" t="s">
        <v>380</v>
      </c>
      <c r="D333" s="24" t="str">
        <f>INDEX(tbUnitTypeToIndex[Index],MATCH(tbUnitNameToType[[#This Row],[Type]],tbUnitTypeToIndex[Type],))</f>
        <v>法英</v>
      </c>
    </row>
    <row r="334" spans="2:4" x14ac:dyDescent="0.3">
      <c r="B334" s="23" t="s">
        <v>909</v>
      </c>
      <c r="C334" s="23" t="s">
        <v>376</v>
      </c>
      <c r="D334" s="24" t="str">
        <f>INDEX(tbUnitTypeToIndex[Index],MATCH(tbUnitNameToType[[#This Row],[Type]],tbUnitTypeToIndex[Type],))</f>
        <v>盾英</v>
      </c>
    </row>
    <row r="335" spans="2:4" x14ac:dyDescent="0.3">
      <c r="B335" s="23" t="s">
        <v>910</v>
      </c>
      <c r="C335" s="23" t="s">
        <v>376</v>
      </c>
      <c r="D335" s="24" t="str">
        <f>INDEX(tbUnitTypeToIndex[Index],MATCH(tbUnitNameToType[[#This Row],[Type]],tbUnitTypeToIndex[Type],))</f>
        <v>盾英</v>
      </c>
    </row>
    <row r="336" spans="2:4" x14ac:dyDescent="0.3">
      <c r="B336" s="23" t="s">
        <v>911</v>
      </c>
      <c r="C336" s="23" t="s">
        <v>378</v>
      </c>
      <c r="D336" s="24" t="str">
        <f>INDEX(tbUnitTypeToIndex[Index],MATCH(tbUnitNameToType[[#This Row],[Type]],tbUnitTypeToIndex[Type],))</f>
        <v>铁英</v>
      </c>
    </row>
    <row r="337" spans="2:4" x14ac:dyDescent="0.3">
      <c r="B337" s="23" t="s">
        <v>912</v>
      </c>
      <c r="C337" s="23" t="s">
        <v>376</v>
      </c>
      <c r="D337" s="24" t="str">
        <f>INDEX(tbUnitTypeToIndex[Index],MATCH(tbUnitNameToType[[#This Row],[Type]],tbUnitTypeToIndex[Type],))</f>
        <v>盾英</v>
      </c>
    </row>
    <row r="338" spans="2:4" x14ac:dyDescent="0.3">
      <c r="B338" s="23" t="s">
        <v>913</v>
      </c>
      <c r="C338" s="23" t="s">
        <v>377</v>
      </c>
      <c r="D338" s="24" t="str">
        <f>INDEX(tbUnitTypeToIndex[Index],MATCH(tbUnitNameToType[[#This Row],[Type]],tbUnitTypeToIndex[Type],))</f>
        <v>强英</v>
      </c>
    </row>
    <row r="339" spans="2:4" x14ac:dyDescent="0.3">
      <c r="B339" s="23" t="s">
        <v>914</v>
      </c>
      <c r="C339" s="23" t="s">
        <v>382</v>
      </c>
      <c r="D339" s="24" t="str">
        <f>INDEX(tbUnitTypeToIndex[Index],MATCH(tbUnitNameToType[[#This Row],[Type]],tbUnitTypeToIndex[Type],))</f>
        <v>铁英</v>
      </c>
    </row>
    <row r="340" spans="2:4" x14ac:dyDescent="0.3">
      <c r="B340" s="23" t="s">
        <v>915</v>
      </c>
      <c r="C340" s="23" t="s">
        <v>450</v>
      </c>
      <c r="D340" s="24" t="str">
        <f>INDEX(tbUnitTypeToIndex[Index],MATCH(tbUnitNameToType[[#This Row],[Type]],tbUnitTypeToIndex[Type],))</f>
        <v>强英</v>
      </c>
    </row>
    <row r="341" spans="2:4" x14ac:dyDescent="0.3">
      <c r="B341" s="23" t="s">
        <v>916</v>
      </c>
      <c r="C341" s="23" t="s">
        <v>377</v>
      </c>
      <c r="D341" s="24" t="str">
        <f>INDEX(tbUnitTypeToIndex[Index],MATCH(tbUnitNameToType[[#This Row],[Type]],tbUnitTypeToIndex[Type],))</f>
        <v>强英</v>
      </c>
    </row>
    <row r="342" spans="2:4" x14ac:dyDescent="0.3">
      <c r="B342" s="23" t="s">
        <v>917</v>
      </c>
      <c r="C342" s="23" t="s">
        <v>376</v>
      </c>
      <c r="D342" s="24" t="str">
        <f>INDEX(tbUnitTypeToIndex[Index],MATCH(tbUnitNameToType[[#This Row],[Type]],tbUnitTypeToIndex[Type],))</f>
        <v>盾英</v>
      </c>
    </row>
    <row r="343" spans="2:4" x14ac:dyDescent="0.3">
      <c r="B343" s="23" t="s">
        <v>918</v>
      </c>
      <c r="C343" s="23" t="s">
        <v>376</v>
      </c>
      <c r="D343" s="24" t="str">
        <f>INDEX(tbUnitTypeToIndex[Index],MATCH(tbUnitNameToType[[#This Row],[Type]],tbUnitTypeToIndex[Type],))</f>
        <v>盾英</v>
      </c>
    </row>
    <row r="344" spans="2:4" x14ac:dyDescent="0.3">
      <c r="B344" s="26" t="s">
        <v>926</v>
      </c>
      <c r="C344" s="26" t="s">
        <v>929</v>
      </c>
      <c r="D344" s="27" t="str">
        <f>INDEX(tbUnitTypeToIndex[Index],MATCH(tbUnitNameToType[[#This Row],[Type]],tbUnitTypeToIndex[Type],))</f>
        <v>炼英</v>
      </c>
    </row>
    <row r="345" spans="2:4" x14ac:dyDescent="0.3">
      <c r="B345" s="26" t="s">
        <v>927</v>
      </c>
      <c r="C345" s="26" t="s">
        <v>930</v>
      </c>
      <c r="D345" s="27" t="str">
        <f>INDEX(tbUnitTypeToIndex[Index],MATCH(tbUnitNameToType[[#This Row],[Type]],tbUnitTypeToIndex[Type],))</f>
        <v>盾英</v>
      </c>
    </row>
  </sheetData>
  <dataConsolidate/>
  <phoneticPr fontId="22" type="noConversion"/>
  <conditionalFormatting sqref="B3:B345">
    <cfRule type="duplicateValues" dxfId="40" priority="74"/>
  </conditionalFormatting>
  <dataValidations count="1">
    <dataValidation type="list" allowBlank="1" showInputMessage="1" showErrorMessage="1" sqref="I5 I10:I15 J14 I17:I19">
      <formula1>UnitNames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H29" sqref="H29"/>
    </sheetView>
  </sheetViews>
  <sheetFormatPr defaultColWidth="9"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2" t="s">
        <v>185</v>
      </c>
    </row>
    <row r="3" spans="2:11" x14ac:dyDescent="0.3">
      <c r="B3" s="2"/>
    </row>
    <row r="4" spans="2:11" x14ac:dyDescent="0.3">
      <c r="B4" s="3" t="s">
        <v>464</v>
      </c>
      <c r="D4" s="3" t="s">
        <v>477</v>
      </c>
      <c r="F4" s="5" t="s">
        <v>586</v>
      </c>
      <c r="G4" s="5"/>
      <c r="H4" s="8" t="s">
        <v>615</v>
      </c>
      <c r="J4" s="7" t="s">
        <v>606</v>
      </c>
      <c r="K4" s="7" t="s">
        <v>607</v>
      </c>
    </row>
    <row r="5" spans="2:11" x14ac:dyDescent="0.3">
      <c r="B5" s="1" t="s">
        <v>152</v>
      </c>
      <c r="D5" s="1" t="s">
        <v>158</v>
      </c>
      <c r="F5" s="5" t="s">
        <v>587</v>
      </c>
      <c r="G5" s="5"/>
      <c r="H5" s="8" t="s">
        <v>621</v>
      </c>
      <c r="J5" s="15" t="s">
        <v>603</v>
      </c>
      <c r="K5" s="15" t="s">
        <v>608</v>
      </c>
    </row>
    <row r="6" spans="2:11" x14ac:dyDescent="0.3">
      <c r="B6" s="4" t="s">
        <v>153</v>
      </c>
      <c r="D6" s="1" t="s">
        <v>159</v>
      </c>
      <c r="F6" s="5" t="s">
        <v>588</v>
      </c>
      <c r="G6" s="5"/>
      <c r="H6" s="8" t="s">
        <v>622</v>
      </c>
      <c r="J6" s="15" t="s">
        <v>604</v>
      </c>
      <c r="K6" s="15" t="s">
        <v>609</v>
      </c>
    </row>
    <row r="7" spans="2:11" x14ac:dyDescent="0.3">
      <c r="B7" s="4" t="s">
        <v>154</v>
      </c>
      <c r="D7" s="1" t="s">
        <v>160</v>
      </c>
      <c r="F7" s="5" t="s">
        <v>589</v>
      </c>
      <c r="G7" s="5"/>
      <c r="H7" s="8" t="s">
        <v>616</v>
      </c>
      <c r="J7" s="15" t="s">
        <v>605</v>
      </c>
      <c r="K7" s="15" t="s">
        <v>610</v>
      </c>
    </row>
    <row r="8" spans="2:11" x14ac:dyDescent="0.3">
      <c r="B8" s="4" t="s">
        <v>155</v>
      </c>
      <c r="D8" s="1" t="s">
        <v>161</v>
      </c>
      <c r="F8" s="5" t="s">
        <v>590</v>
      </c>
      <c r="G8" s="5"/>
      <c r="H8" s="8" t="s">
        <v>617</v>
      </c>
      <c r="J8" s="15" t="s">
        <v>713</v>
      </c>
      <c r="K8" s="15" t="s">
        <v>714</v>
      </c>
    </row>
    <row r="9" spans="2:11" x14ac:dyDescent="0.3">
      <c r="B9" s="4" t="s">
        <v>156</v>
      </c>
      <c r="D9" s="1" t="s">
        <v>162</v>
      </c>
      <c r="F9" s="5" t="s">
        <v>591</v>
      </c>
      <c r="G9" s="5"/>
      <c r="H9" s="8" t="s">
        <v>618</v>
      </c>
    </row>
    <row r="10" spans="2:11" x14ac:dyDescent="0.3">
      <c r="B10" s="4" t="s">
        <v>157</v>
      </c>
      <c r="D10" s="1" t="s">
        <v>163</v>
      </c>
      <c r="F10" s="5" t="s">
        <v>592</v>
      </c>
      <c r="G10" s="5"/>
      <c r="H10" s="8" t="s">
        <v>619</v>
      </c>
    </row>
    <row r="11" spans="2:11" x14ac:dyDescent="0.3">
      <c r="B11" s="4"/>
      <c r="D11" s="1" t="s">
        <v>164</v>
      </c>
      <c r="F11" s="5" t="s">
        <v>593</v>
      </c>
      <c r="G11" s="5"/>
      <c r="H11" s="8" t="s">
        <v>620</v>
      </c>
    </row>
    <row r="12" spans="2:11" x14ac:dyDescent="0.3">
      <c r="B12" s="4"/>
    </row>
    <row r="13" spans="2:11" x14ac:dyDescent="0.3">
      <c r="B13" s="4"/>
    </row>
    <row r="14" spans="2:11" x14ac:dyDescent="0.3">
      <c r="B14" s="4"/>
    </row>
  </sheetData>
  <dataConsolidate/>
  <phoneticPr fontId="22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I114"/>
  <sheetViews>
    <sheetView showGridLines="0" zoomScale="90" zoomScaleNormal="90" workbookViewId="0">
      <pane ySplit="2" topLeftCell="A3" activePane="bottomLeft" state="frozen"/>
      <selection pane="bottomLeft" activeCell="J20" sqref="J20"/>
    </sheetView>
  </sheetViews>
  <sheetFormatPr defaultRowHeight="16.5" x14ac:dyDescent="0.3"/>
  <cols>
    <col min="1" max="1" width="5" style="15" customWidth="1"/>
    <col min="2" max="2" width="9" style="15"/>
    <col min="3" max="3" width="11" style="15" customWidth="1"/>
    <col min="4" max="4" width="9" style="15"/>
    <col min="5" max="5" width="16.25" style="15" customWidth="1"/>
    <col min="6" max="6" width="10.75" style="15" bestFit="1" customWidth="1"/>
    <col min="7" max="8" width="9" style="15"/>
    <col min="9" max="9" width="9.25" style="15" customWidth="1"/>
    <col min="10" max="16384" width="9" style="15"/>
  </cols>
  <sheetData>
    <row r="2" spans="2:9" s="17" customFormat="1" x14ac:dyDescent="0.3">
      <c r="B2" s="17" t="s">
        <v>712</v>
      </c>
      <c r="C2" s="17" t="s">
        <v>466</v>
      </c>
      <c r="D2" s="17" t="s">
        <v>478</v>
      </c>
      <c r="E2" s="17" t="s">
        <v>715</v>
      </c>
      <c r="F2" s="17" t="s">
        <v>724</v>
      </c>
      <c r="H2" s="21" t="s">
        <v>741</v>
      </c>
      <c r="I2" s="21" t="s">
        <v>742</v>
      </c>
    </row>
    <row r="3" spans="2:9" x14ac:dyDescent="0.3">
      <c r="B3" s="15" t="s">
        <v>711</v>
      </c>
      <c r="C3" s="15" t="s">
        <v>672</v>
      </c>
      <c r="D3" s="15">
        <v>1</v>
      </c>
      <c r="E3" s="15" t="str">
        <f>VLOOKUP2(tbTestEnemy[Difficulty],tbTestEnemy[StageName],表14[[#This Row],[Play]]&amp;"-"&amp;表14[[#This Row],[Difficulty]],tbTestEnemy[Wave],表14[[#This Row],[Wave]])</f>
        <v>普通</v>
      </c>
      <c r="F3" s="17">
        <f>VLOOKUP2(tbTestEnemy[WaitTime],tbTestEnemy[StageName],表14[[#This Row],[Play]]&amp;"-"&amp;表14[[#This Row],[Difficulty]],tbTestEnemy[Wave],表14[[#This Row],[Wave]])</f>
        <v>0</v>
      </c>
      <c r="H3" s="21" t="s">
        <v>743</v>
      </c>
      <c r="I3" s="15">
        <v>2</v>
      </c>
    </row>
    <row r="4" spans="2:9" x14ac:dyDescent="0.3">
      <c r="B4" s="15" t="s">
        <v>711</v>
      </c>
      <c r="C4" s="15" t="s">
        <v>672</v>
      </c>
      <c r="D4" s="15">
        <v>2</v>
      </c>
      <c r="E4" s="15" t="str">
        <f>VLOOKUP2(tbTestEnemy[Difficulty],tbTestEnemy[StageName],表14[[#This Row],[Play]]&amp;"-"&amp;表14[[#This Row],[Difficulty]],tbTestEnemy[Wave],表14[[#This Row],[Wave]])</f>
        <v>困难</v>
      </c>
      <c r="F4" s="17">
        <f>VLOOKUP2(tbTestEnemy[WaitTime],tbTestEnemy[StageName],表14[[#This Row],[Play]]&amp;"-"&amp;表14[[#This Row],[Difficulty]],tbTestEnemy[Wave],表14[[#This Row],[Wave]])</f>
        <v>0</v>
      </c>
      <c r="H4" s="21" t="s">
        <v>744</v>
      </c>
      <c r="I4" s="15">
        <v>3</v>
      </c>
    </row>
    <row r="5" spans="2:9" x14ac:dyDescent="0.3">
      <c r="B5" s="15" t="s">
        <v>711</v>
      </c>
      <c r="C5" s="15" t="s">
        <v>670</v>
      </c>
      <c r="D5" s="15">
        <v>1</v>
      </c>
      <c r="E5" s="15" t="str">
        <f>VLOOKUP2(tbTestEnemy[Difficulty],tbTestEnemy[StageName],表14[[#This Row],[Play]]&amp;"-"&amp;表14[[#This Row],[Difficulty]],tbTestEnemy[Wave],表14[[#This Row],[Wave]])</f>
        <v>困难</v>
      </c>
      <c r="F5" s="17">
        <f>VLOOKUP2(tbTestEnemy[WaitTime],tbTestEnemy[StageName],表14[[#This Row],[Play]]&amp;"-"&amp;表14[[#This Row],[Difficulty]],tbTestEnemy[Wave],表14[[#This Row],[Wave]])</f>
        <v>0</v>
      </c>
      <c r="H5" s="21" t="s">
        <v>745</v>
      </c>
      <c r="I5" s="15">
        <v>5</v>
      </c>
    </row>
    <row r="6" spans="2:9" x14ac:dyDescent="0.3">
      <c r="B6" s="15" t="s">
        <v>711</v>
      </c>
      <c r="C6" s="15" t="s">
        <v>670</v>
      </c>
      <c r="D6" s="15">
        <v>2</v>
      </c>
      <c r="E6" s="15" t="str">
        <f>VLOOKUP2(tbTestEnemy[Difficulty],tbTestEnemy[StageName],表14[[#This Row],[Play]]&amp;"-"&amp;表14[[#This Row],[Difficulty]],tbTestEnemy[Wave],表14[[#This Row],[Wave]])</f>
        <v>困难</v>
      </c>
      <c r="F6" s="17">
        <f>VLOOKUP2(tbTestEnemy[WaitTime],tbTestEnemy[StageName],表14[[#This Row],[Play]]&amp;"-"&amp;表14[[#This Row],[Difficulty]],tbTestEnemy[Wave],表14[[#This Row],[Wave]])</f>
        <v>0</v>
      </c>
      <c r="H6" s="21" t="s">
        <v>732</v>
      </c>
      <c r="I6" s="15">
        <v>4</v>
      </c>
    </row>
    <row r="7" spans="2:9" x14ac:dyDescent="0.3">
      <c r="B7" s="15" t="s">
        <v>711</v>
      </c>
      <c r="C7" s="15" t="s">
        <v>667</v>
      </c>
      <c r="D7" s="15">
        <v>1</v>
      </c>
      <c r="E7" s="15" t="str">
        <f>VLOOKUP2(tbTestEnemy[Difficulty],tbTestEnemy[StageName],表14[[#This Row],[Play]]&amp;"-"&amp;表14[[#This Row],[Difficulty]],tbTestEnemy[Wave],表14[[#This Row],[Wave]])</f>
        <v>困难</v>
      </c>
      <c r="F7" s="17">
        <f>VLOOKUP2(tbTestEnemy[WaitTime],tbTestEnemy[StageName],表14[[#This Row],[Play]]&amp;"-"&amp;表14[[#This Row],[Difficulty]],tbTestEnemy[Wave],表14[[#This Row],[Wave]])</f>
        <v>0</v>
      </c>
      <c r="H7" s="21" t="s">
        <v>737</v>
      </c>
      <c r="I7" s="15">
        <v>3</v>
      </c>
    </row>
    <row r="8" spans="2:9" x14ac:dyDescent="0.3">
      <c r="B8" s="15" t="s">
        <v>711</v>
      </c>
      <c r="C8" s="15" t="s">
        <v>667</v>
      </c>
      <c r="D8" s="15">
        <v>2</v>
      </c>
      <c r="E8" s="15" t="str">
        <f>VLOOKUP2(tbTestEnemy[Difficulty],tbTestEnemy[StageName],表14[[#This Row],[Play]]&amp;"-"&amp;表14[[#This Row],[Difficulty]],tbTestEnemy[Wave],表14[[#This Row],[Wave]])</f>
        <v>超难</v>
      </c>
      <c r="F8" s="17">
        <f>VLOOKUP2(tbTestEnemy[WaitTime],tbTestEnemy[StageName],表14[[#This Row],[Play]]&amp;"-"&amp;表14[[#This Row],[Difficulty]],tbTestEnemy[Wave],表14[[#This Row],[Wave]])</f>
        <v>0</v>
      </c>
      <c r="H8" s="21" t="s">
        <v>739</v>
      </c>
      <c r="I8" s="15">
        <v>1</v>
      </c>
    </row>
    <row r="9" spans="2:9" x14ac:dyDescent="0.3">
      <c r="B9" s="15" t="s">
        <v>711</v>
      </c>
      <c r="C9" s="15" t="s">
        <v>179</v>
      </c>
      <c r="D9" s="15">
        <v>1</v>
      </c>
      <c r="E9" s="15" t="str">
        <f>VLOOKUP2(tbTestEnemy[Difficulty],tbTestEnemy[StageName],表14[[#This Row],[Play]]&amp;"-"&amp;表14[[#This Row],[Difficulty]],tbTestEnemy[Wave],表14[[#This Row],[Wave]])</f>
        <v>超难</v>
      </c>
      <c r="F9" s="17">
        <f>VLOOKUP2(tbTestEnemy[WaitTime],tbTestEnemy[StageName],表14[[#This Row],[Play]]&amp;"-"&amp;表14[[#This Row],[Difficulty]],tbTestEnemy[Wave],表14[[#This Row],[Wave]])</f>
        <v>0</v>
      </c>
      <c r="H9" s="21" t="s">
        <v>738</v>
      </c>
      <c r="I9" s="15">
        <v>1</v>
      </c>
    </row>
    <row r="10" spans="2:9" x14ac:dyDescent="0.3">
      <c r="B10" s="15" t="s">
        <v>711</v>
      </c>
      <c r="C10" s="15" t="s">
        <v>179</v>
      </c>
      <c r="D10" s="15">
        <v>2</v>
      </c>
      <c r="E10" s="15" t="str">
        <f>VLOOKUP2(tbTestEnemy[Difficulty],tbTestEnemy[StageName],表14[[#This Row],[Play]]&amp;"-"&amp;表14[[#This Row],[Difficulty]],tbTestEnemy[Wave],表14[[#This Row],[Wave]])</f>
        <v>超难</v>
      </c>
      <c r="F10" s="17">
        <f>VLOOKUP2(tbTestEnemy[WaitTime],tbTestEnemy[StageName],表14[[#This Row],[Play]]&amp;"-"&amp;表14[[#This Row],[Difficulty]],tbTestEnemy[Wave],表14[[#This Row],[Wave]])</f>
        <v>0</v>
      </c>
      <c r="H10" s="21" t="s">
        <v>740</v>
      </c>
      <c r="I10" s="15">
        <v>5</v>
      </c>
    </row>
    <row r="11" spans="2:9" x14ac:dyDescent="0.3">
      <c r="B11" s="21" t="s">
        <v>744</v>
      </c>
      <c r="C11" s="15" t="s">
        <v>672</v>
      </c>
      <c r="D11" s="15">
        <v>1</v>
      </c>
      <c r="E11" s="15" t="str">
        <f>VLOOKUP2(tbTestEnemy[Difficulty],tbTestEnemy[StageName],表14[[#This Row],[Play]]&amp;"-"&amp;表14[[#This Row],[Difficulty]],tbTestEnemy[Wave],表14[[#This Row],[Wave]])</f>
        <v>简单</v>
      </c>
      <c r="F11" s="17">
        <f>VLOOKUP2(tbTestEnemy[WaitTime],tbTestEnemy[StageName],表14[[#This Row],[Play]]&amp;"-"&amp;表14[[#This Row],[Difficulty]],tbTestEnemy[Wave],表14[[#This Row],[Wave]])</f>
        <v>0</v>
      </c>
      <c r="H11" s="22" t="s">
        <v>748</v>
      </c>
      <c r="I11" s="22">
        <v>2</v>
      </c>
    </row>
    <row r="12" spans="2:9" x14ac:dyDescent="0.3">
      <c r="B12" s="21" t="s">
        <v>744</v>
      </c>
      <c r="C12" s="15" t="s">
        <v>672</v>
      </c>
      <c r="D12" s="15">
        <v>2</v>
      </c>
      <c r="E12" s="15" t="str">
        <f>VLOOKUP2(tbTestEnemy[Difficulty],tbTestEnemy[StageName],表14[[#This Row],[Play]]&amp;"-"&amp;表14[[#This Row],[Difficulty]],tbTestEnemy[Wave],表14[[#This Row],[Wave]])</f>
        <v>普通</v>
      </c>
      <c r="F12" s="17">
        <f>VLOOKUP2(tbTestEnemy[WaitTime],tbTestEnemy[StageName],表14[[#This Row],[Play]]&amp;"-"&amp;表14[[#This Row],[Difficulty]],tbTestEnemy[Wave],表14[[#This Row],[Wave]])</f>
        <v>0</v>
      </c>
      <c r="H12" s="21"/>
    </row>
    <row r="13" spans="2:9" x14ac:dyDescent="0.3">
      <c r="B13" s="21" t="s">
        <v>744</v>
      </c>
      <c r="C13" s="15" t="s">
        <v>672</v>
      </c>
      <c r="D13" s="15">
        <v>3</v>
      </c>
      <c r="E13" s="15" t="str">
        <f>VLOOKUP2(tbTestEnemy[Difficulty],tbTestEnemy[StageName],表14[[#This Row],[Play]]&amp;"-"&amp;表14[[#This Row],[Difficulty]],tbTestEnemy[Wave],表14[[#This Row],[Wave]])</f>
        <v>困难</v>
      </c>
      <c r="F13" s="17">
        <f>VLOOKUP2(tbTestEnemy[WaitTime],tbTestEnemy[StageName],表14[[#This Row],[Play]]&amp;"-"&amp;表14[[#This Row],[Difficulty]],tbTestEnemy[Wave],表14[[#This Row],[Wave]])</f>
        <v>0</v>
      </c>
      <c r="H13" s="21"/>
    </row>
    <row r="14" spans="2:9" x14ac:dyDescent="0.3">
      <c r="B14" s="21" t="s">
        <v>744</v>
      </c>
      <c r="C14" s="15" t="s">
        <v>670</v>
      </c>
      <c r="D14" s="15">
        <v>1</v>
      </c>
      <c r="E14" s="15" t="str">
        <f>VLOOKUP2(tbTestEnemy[Difficulty],tbTestEnemy[StageName],表14[[#This Row],[Play]]&amp;"-"&amp;表14[[#This Row],[Difficulty]],tbTestEnemy[Wave],表14[[#This Row],[Wave]])</f>
        <v>普通</v>
      </c>
      <c r="F14" s="17">
        <f>VLOOKUP2(tbTestEnemy[WaitTime],tbTestEnemy[StageName],表14[[#This Row],[Play]]&amp;"-"&amp;表14[[#This Row],[Difficulty]],tbTestEnemy[Wave],表14[[#This Row],[Wave]])</f>
        <v>0</v>
      </c>
      <c r="H14" s="21"/>
    </row>
    <row r="15" spans="2:9" x14ac:dyDescent="0.3">
      <c r="B15" s="21" t="s">
        <v>744</v>
      </c>
      <c r="C15" s="15" t="s">
        <v>670</v>
      </c>
      <c r="D15" s="15">
        <v>2</v>
      </c>
      <c r="E15" s="15" t="str">
        <f>VLOOKUP2(tbTestEnemy[Difficulty],tbTestEnemy[StageName],表14[[#This Row],[Play]]&amp;"-"&amp;表14[[#This Row],[Difficulty]],tbTestEnemy[Wave],表14[[#This Row],[Wave]])</f>
        <v>普通</v>
      </c>
      <c r="F15" s="17">
        <f>VLOOKUP2(tbTestEnemy[WaitTime],tbTestEnemy[StageName],表14[[#This Row],[Play]]&amp;"-"&amp;表14[[#This Row],[Difficulty]],tbTestEnemy[Wave],表14[[#This Row],[Wave]])</f>
        <v>0</v>
      </c>
      <c r="H15" s="21"/>
    </row>
    <row r="16" spans="2:9" x14ac:dyDescent="0.3">
      <c r="B16" s="21" t="s">
        <v>744</v>
      </c>
      <c r="C16" s="15" t="s">
        <v>670</v>
      </c>
      <c r="D16" s="15">
        <v>3</v>
      </c>
      <c r="E16" s="15" t="str">
        <f>VLOOKUP2(tbTestEnemy[Difficulty],tbTestEnemy[StageName],表14[[#This Row],[Play]]&amp;"-"&amp;表14[[#This Row],[Difficulty]],tbTestEnemy[Wave],表14[[#This Row],[Wave]])</f>
        <v>困难</v>
      </c>
      <c r="F16" s="17">
        <f>VLOOKUP2(tbTestEnemy[WaitTime],tbTestEnemy[StageName],表14[[#This Row],[Play]]&amp;"-"&amp;表14[[#This Row],[Difficulty]],tbTestEnemy[Wave],表14[[#This Row],[Wave]])</f>
        <v>0</v>
      </c>
      <c r="H16" s="21"/>
    </row>
    <row r="17" spans="2:8" x14ac:dyDescent="0.3">
      <c r="B17" s="21" t="s">
        <v>744</v>
      </c>
      <c r="C17" s="15" t="s">
        <v>667</v>
      </c>
      <c r="D17" s="15">
        <v>1</v>
      </c>
      <c r="E17" s="15" t="str">
        <f>VLOOKUP2(tbTestEnemy[Difficulty],tbTestEnemy[StageName],表14[[#This Row],[Play]]&amp;"-"&amp;表14[[#This Row],[Difficulty]],tbTestEnemy[Wave],表14[[#This Row],[Wave]])</f>
        <v>普通</v>
      </c>
      <c r="F17" s="17">
        <f>VLOOKUP2(tbTestEnemy[WaitTime],tbTestEnemy[StageName],表14[[#This Row],[Play]]&amp;"-"&amp;表14[[#This Row],[Difficulty]],tbTestEnemy[Wave],表14[[#This Row],[Wave]])</f>
        <v>0</v>
      </c>
      <c r="H17" s="21"/>
    </row>
    <row r="18" spans="2:8" x14ac:dyDescent="0.3">
      <c r="B18" s="21" t="s">
        <v>744</v>
      </c>
      <c r="C18" s="15" t="s">
        <v>667</v>
      </c>
      <c r="D18" s="15">
        <v>2</v>
      </c>
      <c r="E18" s="15" t="str">
        <f>VLOOKUP2(tbTestEnemy[Difficulty],tbTestEnemy[StageName],表14[[#This Row],[Play]]&amp;"-"&amp;表14[[#This Row],[Difficulty]],tbTestEnemy[Wave],表14[[#This Row],[Wave]])</f>
        <v>困难</v>
      </c>
      <c r="F18" s="17">
        <f>VLOOKUP2(tbTestEnemy[WaitTime],tbTestEnemy[StageName],表14[[#This Row],[Play]]&amp;"-"&amp;表14[[#This Row],[Difficulty]],tbTestEnemy[Wave],表14[[#This Row],[Wave]])</f>
        <v>0</v>
      </c>
      <c r="H18" s="21"/>
    </row>
    <row r="19" spans="2:8" x14ac:dyDescent="0.3">
      <c r="B19" s="21" t="s">
        <v>744</v>
      </c>
      <c r="C19" s="15" t="s">
        <v>667</v>
      </c>
      <c r="D19" s="15">
        <v>3</v>
      </c>
      <c r="E19" s="15" t="str">
        <f>VLOOKUP2(tbTestEnemy[Difficulty],tbTestEnemy[StageName],表14[[#This Row],[Play]]&amp;"-"&amp;表14[[#This Row],[Difficulty]],tbTestEnemy[Wave],表14[[#This Row],[Wave]])</f>
        <v>超难</v>
      </c>
      <c r="F19" s="17">
        <f>VLOOKUP2(tbTestEnemy[WaitTime],tbTestEnemy[StageName],表14[[#This Row],[Play]]&amp;"-"&amp;表14[[#This Row],[Difficulty]],tbTestEnemy[Wave],表14[[#This Row],[Wave]])</f>
        <v>0</v>
      </c>
      <c r="H19" s="21"/>
    </row>
    <row r="20" spans="2:8" x14ac:dyDescent="0.3">
      <c r="B20" s="21" t="s">
        <v>744</v>
      </c>
      <c r="C20" s="15" t="s">
        <v>179</v>
      </c>
      <c r="D20" s="15">
        <v>1</v>
      </c>
      <c r="E20" s="15" t="str">
        <f>VLOOKUP2(tbTestEnemy[Difficulty],tbTestEnemy[StageName],表14[[#This Row],[Play]]&amp;"-"&amp;表14[[#This Row],[Difficulty]],tbTestEnemy[Wave],表14[[#This Row],[Wave]])</f>
        <v>困难</v>
      </c>
      <c r="F20" s="17">
        <f>VLOOKUP2(tbTestEnemy[WaitTime],tbTestEnemy[StageName],表14[[#This Row],[Play]]&amp;"-"&amp;表14[[#This Row],[Difficulty]],tbTestEnemy[Wave],表14[[#This Row],[Wave]])</f>
        <v>0</v>
      </c>
      <c r="H20" s="21"/>
    </row>
    <row r="21" spans="2:8" x14ac:dyDescent="0.3">
      <c r="B21" s="21" t="s">
        <v>744</v>
      </c>
      <c r="C21" s="15" t="s">
        <v>179</v>
      </c>
      <c r="D21" s="15">
        <v>2</v>
      </c>
      <c r="E21" s="15" t="str">
        <f>VLOOKUP2(tbTestEnemy[Difficulty],tbTestEnemy[StageName],表14[[#This Row],[Play]]&amp;"-"&amp;表14[[#This Row],[Difficulty]],tbTestEnemy[Wave],表14[[#This Row],[Wave]])</f>
        <v>困难</v>
      </c>
      <c r="F21" s="17">
        <f>VLOOKUP2(tbTestEnemy[WaitTime],tbTestEnemy[StageName],表14[[#This Row],[Play]]&amp;"-"&amp;表14[[#This Row],[Difficulty]],tbTestEnemy[Wave],表14[[#This Row],[Wave]])</f>
        <v>0</v>
      </c>
      <c r="H21" s="21"/>
    </row>
    <row r="22" spans="2:8" x14ac:dyDescent="0.3">
      <c r="B22" s="21" t="s">
        <v>744</v>
      </c>
      <c r="C22" s="15" t="s">
        <v>179</v>
      </c>
      <c r="D22" s="15">
        <v>3</v>
      </c>
      <c r="E22" s="15" t="str">
        <f>VLOOKUP2(tbTestEnemy[Difficulty],tbTestEnemy[StageName],表14[[#This Row],[Play]]&amp;"-"&amp;表14[[#This Row],[Difficulty]],tbTestEnemy[Wave],表14[[#This Row],[Wave]])</f>
        <v>超难</v>
      </c>
      <c r="F22" s="17">
        <f>VLOOKUP2(tbTestEnemy[WaitTime],tbTestEnemy[StageName],表14[[#This Row],[Play]]&amp;"-"&amp;表14[[#This Row],[Difficulty]],tbTestEnemy[Wave],表14[[#This Row],[Wave]])</f>
        <v>0</v>
      </c>
      <c r="H22" s="21"/>
    </row>
    <row r="23" spans="2:8" x14ac:dyDescent="0.3">
      <c r="B23" s="17" t="s">
        <v>723</v>
      </c>
      <c r="C23" s="17" t="s">
        <v>29</v>
      </c>
      <c r="D23" s="17">
        <v>1</v>
      </c>
      <c r="E23" s="15" t="str">
        <f>VLOOKUP2(tbTestEnemy[Difficulty],tbTestEnemy[StageName],表14[[#This Row],[Play]]&amp;"-"&amp;表14[[#This Row],[Difficulty]],tbTestEnemy[Wave],表14[[#This Row],[Wave]])</f>
        <v>简单</v>
      </c>
      <c r="F23" s="17">
        <f>VLOOKUP2(tbTestEnemy[WaitTime],tbTestEnemy[StageName],表14[[#This Row],[Play]]&amp;"-"&amp;表14[[#This Row],[Difficulty]],tbTestEnemy[Wave],表14[[#This Row],[Wave]])</f>
        <v>5</v>
      </c>
    </row>
    <row r="24" spans="2:8" x14ac:dyDescent="0.3">
      <c r="B24" s="17" t="s">
        <v>723</v>
      </c>
      <c r="C24" s="17" t="s">
        <v>29</v>
      </c>
      <c r="D24" s="17">
        <v>2</v>
      </c>
      <c r="E24" s="15" t="str">
        <f>VLOOKUP2(tbTestEnemy[Difficulty],tbTestEnemy[StageName],表14[[#This Row],[Play]]&amp;"-"&amp;表14[[#This Row],[Difficulty]],tbTestEnemy[Wave],表14[[#This Row],[Wave]])</f>
        <v>简单</v>
      </c>
      <c r="F24" s="17">
        <f>VLOOKUP2(tbTestEnemy[WaitTime],tbTestEnemy[StageName],表14[[#This Row],[Play]]&amp;"-"&amp;表14[[#This Row],[Difficulty]],tbTestEnemy[Wave],表14[[#This Row],[Wave]])</f>
        <v>10</v>
      </c>
    </row>
    <row r="25" spans="2:8" x14ac:dyDescent="0.3">
      <c r="B25" s="17" t="s">
        <v>723</v>
      </c>
      <c r="C25" s="17" t="s">
        <v>29</v>
      </c>
      <c r="D25" s="17">
        <v>3</v>
      </c>
      <c r="E25" s="15" t="str">
        <f>VLOOKUP2(tbTestEnemy[Difficulty],tbTestEnemy[StageName],表14[[#This Row],[Play]]&amp;"-"&amp;表14[[#This Row],[Difficulty]],tbTestEnemy[Wave],表14[[#This Row],[Wave]])</f>
        <v>普通</v>
      </c>
      <c r="F25" s="17">
        <f>VLOOKUP2(tbTestEnemy[WaitTime],tbTestEnemy[StageName],表14[[#This Row],[Play]]&amp;"-"&amp;表14[[#This Row],[Difficulty]],tbTestEnemy[Wave],表14[[#This Row],[Wave]])</f>
        <v>10</v>
      </c>
    </row>
    <row r="26" spans="2:8" x14ac:dyDescent="0.3">
      <c r="B26" s="17" t="s">
        <v>723</v>
      </c>
      <c r="C26" s="17" t="s">
        <v>29</v>
      </c>
      <c r="D26" s="17">
        <v>4</v>
      </c>
      <c r="E26" s="15" t="str">
        <f>VLOOKUP2(tbTestEnemy[Difficulty],tbTestEnemy[StageName],表14[[#This Row],[Play]]&amp;"-"&amp;表14[[#This Row],[Difficulty]],tbTestEnemy[Wave],表14[[#This Row],[Wave]])</f>
        <v>普通</v>
      </c>
      <c r="F26" s="17">
        <f>VLOOKUP2(tbTestEnemy[WaitTime],tbTestEnemy[StageName],表14[[#This Row],[Play]]&amp;"-"&amp;表14[[#This Row],[Difficulty]],tbTestEnemy[Wave],表14[[#This Row],[Wave]])</f>
        <v>10</v>
      </c>
    </row>
    <row r="27" spans="2:8" x14ac:dyDescent="0.3">
      <c r="B27" s="17" t="s">
        <v>723</v>
      </c>
      <c r="C27" s="17" t="s">
        <v>29</v>
      </c>
      <c r="D27" s="17">
        <v>5</v>
      </c>
      <c r="E27" s="15" t="str">
        <f>VLOOKUP2(tbTestEnemy[Difficulty],tbTestEnemy[StageName],表14[[#This Row],[Play]]&amp;"-"&amp;表14[[#This Row],[Difficulty]],tbTestEnemy[Wave],表14[[#This Row],[Wave]])</f>
        <v>困难</v>
      </c>
      <c r="F27" s="17">
        <f>VLOOKUP2(tbTestEnemy[WaitTime],tbTestEnemy[StageName],表14[[#This Row],[Play]]&amp;"-"&amp;表14[[#This Row],[Difficulty]],tbTestEnemy[Wave],表14[[#This Row],[Wave]])</f>
        <v>10</v>
      </c>
    </row>
    <row r="28" spans="2:8" x14ac:dyDescent="0.3">
      <c r="B28" s="17" t="s">
        <v>723</v>
      </c>
      <c r="C28" s="17" t="s">
        <v>33</v>
      </c>
      <c r="D28" s="17">
        <v>1</v>
      </c>
      <c r="E28" s="15" t="str">
        <f>VLOOKUP2(tbTestEnemy[Difficulty],tbTestEnemy[StageName],表14[[#This Row],[Play]]&amp;"-"&amp;表14[[#This Row],[Difficulty]],tbTestEnemy[Wave],表14[[#This Row],[Wave]])</f>
        <v>简单</v>
      </c>
      <c r="F28" s="17">
        <f>VLOOKUP2(tbTestEnemy[WaitTime],tbTestEnemy[StageName],表14[[#This Row],[Play]]&amp;"-"&amp;表14[[#This Row],[Difficulty]],tbTestEnemy[Wave],表14[[#This Row],[Wave]])</f>
        <v>5</v>
      </c>
    </row>
    <row r="29" spans="2:8" x14ac:dyDescent="0.3">
      <c r="B29" s="17" t="s">
        <v>723</v>
      </c>
      <c r="C29" s="17" t="s">
        <v>33</v>
      </c>
      <c r="D29" s="17">
        <v>2</v>
      </c>
      <c r="E29" s="15" t="str">
        <f>VLOOKUP2(tbTestEnemy[Difficulty],tbTestEnemy[StageName],表14[[#This Row],[Play]]&amp;"-"&amp;表14[[#This Row],[Difficulty]],tbTestEnemy[Wave],表14[[#This Row],[Wave]])</f>
        <v>普通</v>
      </c>
      <c r="F29" s="17">
        <f>VLOOKUP2(tbTestEnemy[WaitTime],tbTestEnemy[StageName],表14[[#This Row],[Play]]&amp;"-"&amp;表14[[#This Row],[Difficulty]],tbTestEnemy[Wave],表14[[#This Row],[Wave]])</f>
        <v>10</v>
      </c>
    </row>
    <row r="30" spans="2:8" x14ac:dyDescent="0.3">
      <c r="B30" s="17" t="s">
        <v>723</v>
      </c>
      <c r="C30" s="17" t="s">
        <v>33</v>
      </c>
      <c r="D30" s="17">
        <v>3</v>
      </c>
      <c r="E30" s="15" t="str">
        <f>VLOOKUP2(tbTestEnemy[Difficulty],tbTestEnemy[StageName],表14[[#This Row],[Play]]&amp;"-"&amp;表14[[#This Row],[Difficulty]],tbTestEnemy[Wave],表14[[#This Row],[Wave]])</f>
        <v>普通</v>
      </c>
      <c r="F30" s="17">
        <f>VLOOKUP2(tbTestEnemy[WaitTime],tbTestEnemy[StageName],表14[[#This Row],[Play]]&amp;"-"&amp;表14[[#This Row],[Difficulty]],tbTestEnemy[Wave],表14[[#This Row],[Wave]])</f>
        <v>10</v>
      </c>
    </row>
    <row r="31" spans="2:8" x14ac:dyDescent="0.3">
      <c r="B31" s="17" t="s">
        <v>723</v>
      </c>
      <c r="C31" s="17" t="s">
        <v>33</v>
      </c>
      <c r="D31" s="17">
        <v>4</v>
      </c>
      <c r="E31" s="15" t="str">
        <f>VLOOKUP2(tbTestEnemy[Difficulty],tbTestEnemy[StageName],表14[[#This Row],[Play]]&amp;"-"&amp;表14[[#This Row],[Difficulty]],tbTestEnemy[Wave],表14[[#This Row],[Wave]])</f>
        <v>困难</v>
      </c>
      <c r="F31" s="17">
        <f>VLOOKUP2(tbTestEnemy[WaitTime],tbTestEnemy[StageName],表14[[#This Row],[Play]]&amp;"-"&amp;表14[[#This Row],[Difficulty]],tbTestEnemy[Wave],表14[[#This Row],[Wave]])</f>
        <v>15</v>
      </c>
    </row>
    <row r="32" spans="2:8" x14ac:dyDescent="0.3">
      <c r="B32" s="17" t="s">
        <v>723</v>
      </c>
      <c r="C32" s="17" t="s">
        <v>33</v>
      </c>
      <c r="D32" s="17">
        <v>5</v>
      </c>
      <c r="E32" s="15" t="str">
        <f>VLOOKUP2(tbTestEnemy[Difficulty],tbTestEnemy[StageName],表14[[#This Row],[Play]]&amp;"-"&amp;表14[[#This Row],[Difficulty]],tbTestEnemy[Wave],表14[[#This Row],[Wave]])</f>
        <v>困难</v>
      </c>
      <c r="F32" s="17">
        <f>VLOOKUP2(tbTestEnemy[WaitTime],tbTestEnemy[StageName],表14[[#This Row],[Play]]&amp;"-"&amp;表14[[#This Row],[Difficulty]],tbTestEnemy[Wave],表14[[#This Row],[Wave]])</f>
        <v>15</v>
      </c>
    </row>
    <row r="33" spans="2:6" x14ac:dyDescent="0.3">
      <c r="B33" s="17" t="s">
        <v>723</v>
      </c>
      <c r="C33" s="17" t="s">
        <v>35</v>
      </c>
      <c r="D33" s="17">
        <v>1</v>
      </c>
      <c r="E33" s="15" t="str">
        <f>VLOOKUP2(tbTestEnemy[Difficulty],tbTestEnemy[StageName],表14[[#This Row],[Play]]&amp;"-"&amp;表14[[#This Row],[Difficulty]],tbTestEnemy[Wave],表14[[#This Row],[Wave]])</f>
        <v>简单</v>
      </c>
      <c r="F33" s="17">
        <f>VLOOKUP2(tbTestEnemy[WaitTime],tbTestEnemy[StageName],表14[[#This Row],[Play]]&amp;"-"&amp;表14[[#This Row],[Difficulty]],tbTestEnemy[Wave],表14[[#This Row],[Wave]])</f>
        <v>5</v>
      </c>
    </row>
    <row r="34" spans="2:6" x14ac:dyDescent="0.3">
      <c r="B34" s="17" t="s">
        <v>723</v>
      </c>
      <c r="C34" s="17" t="s">
        <v>35</v>
      </c>
      <c r="D34" s="17">
        <v>2</v>
      </c>
      <c r="E34" s="15" t="str">
        <f>VLOOKUP2(tbTestEnemy[Difficulty],tbTestEnemy[StageName],表14[[#This Row],[Play]]&amp;"-"&amp;表14[[#This Row],[Difficulty]],tbTestEnemy[Wave],表14[[#This Row],[Wave]])</f>
        <v>普通</v>
      </c>
      <c r="F34" s="17">
        <f>VLOOKUP2(tbTestEnemy[WaitTime],tbTestEnemy[StageName],表14[[#This Row],[Play]]&amp;"-"&amp;表14[[#This Row],[Difficulty]],tbTestEnemy[Wave],表14[[#This Row],[Wave]])</f>
        <v>10</v>
      </c>
    </row>
    <row r="35" spans="2:6" x14ac:dyDescent="0.3">
      <c r="B35" s="17" t="s">
        <v>723</v>
      </c>
      <c r="C35" s="17" t="s">
        <v>35</v>
      </c>
      <c r="D35" s="17">
        <v>3</v>
      </c>
      <c r="E35" s="15" t="str">
        <f>VLOOKUP2(tbTestEnemy[Difficulty],tbTestEnemy[StageName],表14[[#This Row],[Play]]&amp;"-"&amp;表14[[#This Row],[Difficulty]],tbTestEnemy[Wave],表14[[#This Row],[Wave]])</f>
        <v>普通</v>
      </c>
      <c r="F35" s="17">
        <f>VLOOKUP2(tbTestEnemy[WaitTime],tbTestEnemy[StageName],表14[[#This Row],[Play]]&amp;"-"&amp;表14[[#This Row],[Difficulty]],tbTestEnemy[Wave],表14[[#This Row],[Wave]])</f>
        <v>10</v>
      </c>
    </row>
    <row r="36" spans="2:6" x14ac:dyDescent="0.3">
      <c r="B36" s="17" t="s">
        <v>723</v>
      </c>
      <c r="C36" s="17" t="s">
        <v>35</v>
      </c>
      <c r="D36" s="17">
        <v>4</v>
      </c>
      <c r="E36" s="15" t="str">
        <f>VLOOKUP2(tbTestEnemy[Difficulty],tbTestEnemy[StageName],表14[[#This Row],[Play]]&amp;"-"&amp;表14[[#This Row],[Difficulty]],tbTestEnemy[Wave],表14[[#This Row],[Wave]])</f>
        <v>困难</v>
      </c>
      <c r="F36" s="17">
        <f>VLOOKUP2(tbTestEnemy[WaitTime],tbTestEnemy[StageName],表14[[#This Row],[Play]]&amp;"-"&amp;表14[[#This Row],[Difficulty]],tbTestEnemy[Wave],表14[[#This Row],[Wave]])</f>
        <v>15</v>
      </c>
    </row>
    <row r="37" spans="2:6" x14ac:dyDescent="0.3">
      <c r="B37" s="17" t="s">
        <v>723</v>
      </c>
      <c r="C37" s="17" t="s">
        <v>35</v>
      </c>
      <c r="D37" s="17">
        <v>5</v>
      </c>
      <c r="E37" s="15" t="str">
        <f>VLOOKUP2(tbTestEnemy[Difficulty],tbTestEnemy[StageName],表14[[#This Row],[Play]]&amp;"-"&amp;表14[[#This Row],[Difficulty]],tbTestEnemy[Wave],表14[[#This Row],[Wave]])</f>
        <v>超难</v>
      </c>
      <c r="F37" s="17">
        <f>VLOOKUP2(tbTestEnemy[WaitTime],tbTestEnemy[StageName],表14[[#This Row],[Play]]&amp;"-"&amp;表14[[#This Row],[Difficulty]],tbTestEnemy[Wave],表14[[#This Row],[Wave]])</f>
        <v>20</v>
      </c>
    </row>
    <row r="38" spans="2:6" x14ac:dyDescent="0.3">
      <c r="B38" s="17" t="s">
        <v>723</v>
      </c>
      <c r="C38" s="17" t="s">
        <v>36</v>
      </c>
      <c r="D38" s="17">
        <v>1</v>
      </c>
      <c r="E38" s="15" t="str">
        <f>VLOOKUP2(tbTestEnemy[Difficulty],tbTestEnemy[StageName],表14[[#This Row],[Play]]&amp;"-"&amp;表14[[#This Row],[Difficulty]],tbTestEnemy[Wave],表14[[#This Row],[Wave]])</f>
        <v>简单</v>
      </c>
      <c r="F38" s="17">
        <f>VLOOKUP2(tbTestEnemy[WaitTime],tbTestEnemy[StageName],表14[[#This Row],[Play]]&amp;"-"&amp;表14[[#This Row],[Difficulty]],tbTestEnemy[Wave],表14[[#This Row],[Wave]])</f>
        <v>5</v>
      </c>
    </row>
    <row r="39" spans="2:6" x14ac:dyDescent="0.3">
      <c r="B39" s="17" t="s">
        <v>723</v>
      </c>
      <c r="C39" s="17" t="s">
        <v>36</v>
      </c>
      <c r="D39" s="17">
        <v>2</v>
      </c>
      <c r="E39" s="15" t="str">
        <f>VLOOKUP2(tbTestEnemy[Difficulty],tbTestEnemy[StageName],表14[[#This Row],[Play]]&amp;"-"&amp;表14[[#This Row],[Difficulty]],tbTestEnemy[Wave],表14[[#This Row],[Wave]])</f>
        <v>普通</v>
      </c>
      <c r="F39" s="17">
        <f>VLOOKUP2(tbTestEnemy[WaitTime],tbTestEnemy[StageName],表14[[#This Row],[Play]]&amp;"-"&amp;表14[[#This Row],[Difficulty]],tbTestEnemy[Wave],表14[[#This Row],[Wave]])</f>
        <v>10</v>
      </c>
    </row>
    <row r="40" spans="2:6" x14ac:dyDescent="0.3">
      <c r="B40" s="17" t="s">
        <v>723</v>
      </c>
      <c r="C40" s="17" t="s">
        <v>36</v>
      </c>
      <c r="D40" s="17">
        <v>3</v>
      </c>
      <c r="E40" s="15" t="str">
        <f>VLOOKUP2(tbTestEnemy[Difficulty],tbTestEnemy[StageName],表14[[#This Row],[Play]]&amp;"-"&amp;表14[[#This Row],[Difficulty]],tbTestEnemy[Wave],表14[[#This Row],[Wave]])</f>
        <v>困难</v>
      </c>
      <c r="F40" s="17">
        <f>VLOOKUP2(tbTestEnemy[WaitTime],tbTestEnemy[StageName],表14[[#This Row],[Play]]&amp;"-"&amp;表14[[#This Row],[Difficulty]],tbTestEnemy[Wave],表14[[#This Row],[Wave]])</f>
        <v>15</v>
      </c>
    </row>
    <row r="41" spans="2:6" x14ac:dyDescent="0.3">
      <c r="B41" s="17" t="s">
        <v>723</v>
      </c>
      <c r="C41" s="17" t="s">
        <v>36</v>
      </c>
      <c r="D41" s="17">
        <v>4</v>
      </c>
      <c r="E41" s="15" t="str">
        <f>VLOOKUP2(tbTestEnemy[Difficulty],tbTestEnemy[StageName],表14[[#This Row],[Play]]&amp;"-"&amp;表14[[#This Row],[Difficulty]],tbTestEnemy[Wave],表14[[#This Row],[Wave]])</f>
        <v>困难</v>
      </c>
      <c r="F41" s="17">
        <f>VLOOKUP2(tbTestEnemy[WaitTime],tbTestEnemy[StageName],表14[[#This Row],[Play]]&amp;"-"&amp;表14[[#This Row],[Difficulty]],tbTestEnemy[Wave],表14[[#This Row],[Wave]])</f>
        <v>15</v>
      </c>
    </row>
    <row r="42" spans="2:6" x14ac:dyDescent="0.3">
      <c r="B42" s="17" t="s">
        <v>723</v>
      </c>
      <c r="C42" s="17" t="s">
        <v>36</v>
      </c>
      <c r="D42" s="17">
        <v>5</v>
      </c>
      <c r="E42" s="15" t="str">
        <f>VLOOKUP2(tbTestEnemy[Difficulty],tbTestEnemy[StageName],表14[[#This Row],[Play]]&amp;"-"&amp;表14[[#This Row],[Difficulty]],tbTestEnemy[Wave],表14[[#This Row],[Wave]])</f>
        <v>超难</v>
      </c>
      <c r="F42" s="17">
        <f>VLOOKUP2(tbTestEnemy[WaitTime],tbTestEnemy[StageName],表14[[#This Row],[Play]]&amp;"-"&amp;表14[[#This Row],[Difficulty]],tbTestEnemy[Wave],表14[[#This Row],[Wave]])</f>
        <v>20</v>
      </c>
    </row>
    <row r="43" spans="2:6" x14ac:dyDescent="0.3">
      <c r="B43" s="21" t="s">
        <v>732</v>
      </c>
      <c r="C43" s="21" t="s">
        <v>733</v>
      </c>
      <c r="D43" s="21">
        <v>1</v>
      </c>
      <c r="E43" s="15" t="str">
        <f>VLOOKUP2(tbTestEnemy[Difficulty],tbTestEnemy[StageName],表14[[#This Row],[Play]]&amp;"-"&amp;表14[[#This Row],[Difficulty]],tbTestEnemy[Wave],表14[[#This Row],[Wave]])</f>
        <v>简单</v>
      </c>
      <c r="F43" s="17">
        <f>VLOOKUP2(tbTestEnemy[WaitTime],tbTestEnemy[StageName],表14[[#This Row],[Play]]&amp;"-"&amp;表14[[#This Row],[Difficulty]],tbTestEnemy[Wave],表14[[#This Row],[Wave]])</f>
        <v>0</v>
      </c>
    </row>
    <row r="44" spans="2:6" x14ac:dyDescent="0.3">
      <c r="B44" s="21" t="s">
        <v>732</v>
      </c>
      <c r="C44" s="21" t="s">
        <v>733</v>
      </c>
      <c r="D44" s="21">
        <v>2</v>
      </c>
      <c r="E44" s="15" t="str">
        <f>VLOOKUP2(tbTestEnemy[Difficulty],tbTestEnemy[StageName],表14[[#This Row],[Play]]&amp;"-"&amp;表14[[#This Row],[Difficulty]],tbTestEnemy[Wave],表14[[#This Row],[Wave]])</f>
        <v>普通</v>
      </c>
      <c r="F44" s="17">
        <f>VLOOKUP2(tbTestEnemy[WaitTime],tbTestEnemy[StageName],表14[[#This Row],[Play]]&amp;"-"&amp;表14[[#This Row],[Difficulty]],tbTestEnemy[Wave],表14[[#This Row],[Wave]])</f>
        <v>0</v>
      </c>
    </row>
    <row r="45" spans="2:6" x14ac:dyDescent="0.3">
      <c r="B45" s="21" t="s">
        <v>732</v>
      </c>
      <c r="C45" s="21" t="s">
        <v>733</v>
      </c>
      <c r="D45" s="21">
        <v>3</v>
      </c>
      <c r="E45" s="15" t="str">
        <f>VLOOKUP2(tbTestEnemy[Difficulty],tbTestEnemy[StageName],表14[[#This Row],[Play]]&amp;"-"&amp;表14[[#This Row],[Difficulty]],tbTestEnemy[Wave],表14[[#This Row],[Wave]])</f>
        <v>困难</v>
      </c>
      <c r="F45" s="17">
        <f>VLOOKUP2(tbTestEnemy[WaitTime],tbTestEnemy[StageName],表14[[#This Row],[Play]]&amp;"-"&amp;表14[[#This Row],[Difficulty]],tbTestEnemy[Wave],表14[[#This Row],[Wave]])</f>
        <v>0</v>
      </c>
    </row>
    <row r="46" spans="2:6" x14ac:dyDescent="0.3">
      <c r="B46" s="21" t="s">
        <v>732</v>
      </c>
      <c r="C46" s="21" t="s">
        <v>733</v>
      </c>
      <c r="D46" s="21">
        <v>4</v>
      </c>
      <c r="E46" s="15" t="str">
        <f>VLOOKUP2(tbTestEnemy[Difficulty],tbTestEnemy[StageName],表14[[#This Row],[Play]]&amp;"-"&amp;表14[[#This Row],[Difficulty]],tbTestEnemy[Wave],表14[[#This Row],[Wave]])</f>
        <v>简单</v>
      </c>
      <c r="F46" s="17">
        <f>VLOOKUP2(tbTestEnemy[WaitTime],tbTestEnemy[StageName],表14[[#This Row],[Play]]&amp;"-"&amp;表14[[#This Row],[Difficulty]],tbTestEnemy[Wave],表14[[#This Row],[Wave]])</f>
        <v>0</v>
      </c>
    </row>
    <row r="47" spans="2:6" x14ac:dyDescent="0.3">
      <c r="B47" s="21" t="s">
        <v>732</v>
      </c>
      <c r="C47" s="21" t="s">
        <v>734</v>
      </c>
      <c r="D47" s="21">
        <v>1</v>
      </c>
      <c r="E47" s="15" t="str">
        <f>VLOOKUP2(tbTestEnemy[Difficulty],tbTestEnemy[StageName],表14[[#This Row],[Play]]&amp;"-"&amp;表14[[#This Row],[Difficulty]],tbTestEnemy[Wave],表14[[#This Row],[Wave]])</f>
        <v>普通</v>
      </c>
      <c r="F47" s="17">
        <f>VLOOKUP2(tbTestEnemy[WaitTime],tbTestEnemy[StageName],表14[[#This Row],[Play]]&amp;"-"&amp;表14[[#This Row],[Difficulty]],tbTestEnemy[Wave],表14[[#This Row],[Wave]])</f>
        <v>0</v>
      </c>
    </row>
    <row r="48" spans="2:6" x14ac:dyDescent="0.3">
      <c r="B48" s="21" t="s">
        <v>732</v>
      </c>
      <c r="C48" s="21" t="s">
        <v>734</v>
      </c>
      <c r="D48" s="21">
        <v>2</v>
      </c>
      <c r="E48" s="15" t="str">
        <f>VLOOKUP2(tbTestEnemy[Difficulty],tbTestEnemy[StageName],表14[[#This Row],[Play]]&amp;"-"&amp;表14[[#This Row],[Difficulty]],tbTestEnemy[Wave],表14[[#This Row],[Wave]])</f>
        <v>普通</v>
      </c>
      <c r="F48" s="17">
        <f>VLOOKUP2(tbTestEnemy[WaitTime],tbTestEnemy[StageName],表14[[#This Row],[Play]]&amp;"-"&amp;表14[[#This Row],[Difficulty]],tbTestEnemy[Wave],表14[[#This Row],[Wave]])</f>
        <v>0</v>
      </c>
    </row>
    <row r="49" spans="2:6" x14ac:dyDescent="0.3">
      <c r="B49" s="21" t="s">
        <v>732</v>
      </c>
      <c r="C49" s="21" t="s">
        <v>734</v>
      </c>
      <c r="D49" s="21">
        <v>3</v>
      </c>
      <c r="E49" s="15" t="str">
        <f>VLOOKUP2(tbTestEnemy[Difficulty],tbTestEnemy[StageName],表14[[#This Row],[Play]]&amp;"-"&amp;表14[[#This Row],[Difficulty]],tbTestEnemy[Wave],表14[[#This Row],[Wave]])</f>
        <v>普通</v>
      </c>
      <c r="F49" s="17">
        <f>VLOOKUP2(tbTestEnemy[WaitTime],tbTestEnemy[StageName],表14[[#This Row],[Play]]&amp;"-"&amp;表14[[#This Row],[Difficulty]],tbTestEnemy[Wave],表14[[#This Row],[Wave]])</f>
        <v>0</v>
      </c>
    </row>
    <row r="50" spans="2:6" x14ac:dyDescent="0.3">
      <c r="B50" s="21" t="s">
        <v>732</v>
      </c>
      <c r="C50" s="21" t="s">
        <v>734</v>
      </c>
      <c r="D50" s="21">
        <v>4</v>
      </c>
      <c r="E50" s="15" t="str">
        <f>VLOOKUP2(tbTestEnemy[Difficulty],tbTestEnemy[StageName],表14[[#This Row],[Play]]&amp;"-"&amp;表14[[#This Row],[Difficulty]],tbTestEnemy[Wave],表14[[#This Row],[Wave]])</f>
        <v>普通</v>
      </c>
      <c r="F50" s="17">
        <f>VLOOKUP2(tbTestEnemy[WaitTime],tbTestEnemy[StageName],表14[[#This Row],[Play]]&amp;"-"&amp;表14[[#This Row],[Difficulty]],tbTestEnemy[Wave],表14[[#This Row],[Wave]])</f>
        <v>0</v>
      </c>
    </row>
    <row r="51" spans="2:6" x14ac:dyDescent="0.3">
      <c r="B51" s="21" t="s">
        <v>732</v>
      </c>
      <c r="C51" s="21" t="s">
        <v>735</v>
      </c>
      <c r="D51" s="21">
        <v>1</v>
      </c>
      <c r="E51" s="15" t="str">
        <f>VLOOKUP2(tbTestEnemy[Difficulty],tbTestEnemy[StageName],表14[[#This Row],[Play]]&amp;"-"&amp;表14[[#This Row],[Difficulty]],tbTestEnemy[Wave],表14[[#This Row],[Wave]])</f>
        <v>普通</v>
      </c>
      <c r="F51" s="17">
        <f>VLOOKUP2(tbTestEnemy[WaitTime],tbTestEnemy[StageName],表14[[#This Row],[Play]]&amp;"-"&amp;表14[[#This Row],[Difficulty]],tbTestEnemy[Wave],表14[[#This Row],[Wave]])</f>
        <v>0</v>
      </c>
    </row>
    <row r="52" spans="2:6" x14ac:dyDescent="0.3">
      <c r="B52" s="21" t="s">
        <v>732</v>
      </c>
      <c r="C52" s="21" t="s">
        <v>735</v>
      </c>
      <c r="D52" s="21">
        <v>2</v>
      </c>
      <c r="E52" s="15" t="str">
        <f>VLOOKUP2(tbTestEnemy[Difficulty],tbTestEnemy[StageName],表14[[#This Row],[Play]]&amp;"-"&amp;表14[[#This Row],[Difficulty]],tbTestEnemy[Wave],表14[[#This Row],[Wave]])</f>
        <v>困难</v>
      </c>
      <c r="F52" s="17">
        <f>VLOOKUP2(tbTestEnemy[WaitTime],tbTestEnemy[StageName],表14[[#This Row],[Play]]&amp;"-"&amp;表14[[#This Row],[Difficulty]],tbTestEnemy[Wave],表14[[#This Row],[Wave]])</f>
        <v>0</v>
      </c>
    </row>
    <row r="53" spans="2:6" x14ac:dyDescent="0.3">
      <c r="B53" s="21" t="s">
        <v>732</v>
      </c>
      <c r="C53" s="21" t="s">
        <v>735</v>
      </c>
      <c r="D53" s="21">
        <v>3</v>
      </c>
      <c r="E53" s="15" t="str">
        <f>VLOOKUP2(tbTestEnemy[Difficulty],tbTestEnemy[StageName],表14[[#This Row],[Play]]&amp;"-"&amp;表14[[#This Row],[Difficulty]],tbTestEnemy[Wave],表14[[#This Row],[Wave]])</f>
        <v>普通</v>
      </c>
      <c r="F53" s="17">
        <f>VLOOKUP2(tbTestEnemy[WaitTime],tbTestEnemy[StageName],表14[[#This Row],[Play]]&amp;"-"&amp;表14[[#This Row],[Difficulty]],tbTestEnemy[Wave],表14[[#This Row],[Wave]])</f>
        <v>0</v>
      </c>
    </row>
    <row r="54" spans="2:6" x14ac:dyDescent="0.3">
      <c r="B54" s="21" t="s">
        <v>732</v>
      </c>
      <c r="C54" s="21" t="s">
        <v>735</v>
      </c>
      <c r="D54" s="21">
        <v>4</v>
      </c>
      <c r="E54" s="15" t="str">
        <f>VLOOKUP2(tbTestEnemy[Difficulty],tbTestEnemy[StageName],表14[[#This Row],[Play]]&amp;"-"&amp;表14[[#This Row],[Difficulty]],tbTestEnemy[Wave],表14[[#This Row],[Wave]])</f>
        <v>普通</v>
      </c>
      <c r="F54" s="17">
        <f>VLOOKUP2(tbTestEnemy[WaitTime],tbTestEnemy[StageName],表14[[#This Row],[Play]]&amp;"-"&amp;表14[[#This Row],[Difficulty]],tbTestEnemy[Wave],表14[[#This Row],[Wave]])</f>
        <v>0</v>
      </c>
    </row>
    <row r="55" spans="2:6" x14ac:dyDescent="0.3">
      <c r="B55" s="21" t="s">
        <v>732</v>
      </c>
      <c r="C55" s="21" t="s">
        <v>736</v>
      </c>
      <c r="D55" s="21">
        <v>1</v>
      </c>
      <c r="E55" s="15" t="str">
        <f>VLOOKUP2(tbTestEnemy[Difficulty],tbTestEnemy[StageName],表14[[#This Row],[Play]]&amp;"-"&amp;表14[[#This Row],[Difficulty]],tbTestEnemy[Wave],表14[[#This Row],[Wave]])</f>
        <v>普通</v>
      </c>
      <c r="F55" s="17">
        <f>VLOOKUP2(tbTestEnemy[WaitTime],tbTestEnemy[StageName],表14[[#This Row],[Play]]&amp;"-"&amp;表14[[#This Row],[Difficulty]],tbTestEnemy[Wave],表14[[#This Row],[Wave]])</f>
        <v>0</v>
      </c>
    </row>
    <row r="56" spans="2:6" x14ac:dyDescent="0.3">
      <c r="B56" s="21" t="s">
        <v>732</v>
      </c>
      <c r="C56" s="21" t="s">
        <v>736</v>
      </c>
      <c r="D56" s="21">
        <v>2</v>
      </c>
      <c r="E56" s="15" t="str">
        <f>VLOOKUP2(tbTestEnemy[Difficulty],tbTestEnemy[StageName],表14[[#This Row],[Play]]&amp;"-"&amp;表14[[#This Row],[Difficulty]],tbTestEnemy[Wave],表14[[#This Row],[Wave]])</f>
        <v>困难</v>
      </c>
      <c r="F56" s="17">
        <f>VLOOKUP2(tbTestEnemy[WaitTime],tbTestEnemy[StageName],表14[[#This Row],[Play]]&amp;"-"&amp;表14[[#This Row],[Difficulty]],tbTestEnemy[Wave],表14[[#This Row],[Wave]])</f>
        <v>0</v>
      </c>
    </row>
    <row r="57" spans="2:6" x14ac:dyDescent="0.3">
      <c r="B57" s="21" t="s">
        <v>732</v>
      </c>
      <c r="C57" s="21" t="s">
        <v>736</v>
      </c>
      <c r="D57" s="21">
        <v>3</v>
      </c>
      <c r="E57" s="15" t="str">
        <f>VLOOKUP2(tbTestEnemy[Difficulty],tbTestEnemy[StageName],表14[[#This Row],[Play]]&amp;"-"&amp;表14[[#This Row],[Difficulty]],tbTestEnemy[Wave],表14[[#This Row],[Wave]])</f>
        <v>困难</v>
      </c>
      <c r="F57" s="17">
        <f>VLOOKUP2(tbTestEnemy[WaitTime],tbTestEnemy[StageName],表14[[#This Row],[Play]]&amp;"-"&amp;表14[[#This Row],[Difficulty]],tbTestEnemy[Wave],表14[[#This Row],[Wave]])</f>
        <v>0</v>
      </c>
    </row>
    <row r="58" spans="2:6" x14ac:dyDescent="0.3">
      <c r="B58" s="21" t="s">
        <v>732</v>
      </c>
      <c r="C58" s="21" t="s">
        <v>736</v>
      </c>
      <c r="D58" s="21">
        <v>4</v>
      </c>
      <c r="E58" s="15" t="str">
        <f>VLOOKUP2(tbTestEnemy[Difficulty],tbTestEnemy[StageName],表14[[#This Row],[Play]]&amp;"-"&amp;表14[[#This Row],[Difficulty]],tbTestEnemy[Wave],表14[[#This Row],[Wave]])</f>
        <v>普通</v>
      </c>
      <c r="F58" s="17">
        <f>VLOOKUP2(tbTestEnemy[WaitTime],tbTestEnemy[StageName],表14[[#This Row],[Play]]&amp;"-"&amp;表14[[#This Row],[Difficulty]],tbTestEnemy[Wave],表14[[#This Row],[Wave]])</f>
        <v>0</v>
      </c>
    </row>
    <row r="59" spans="2:6" x14ac:dyDescent="0.3">
      <c r="B59" s="21" t="s">
        <v>737</v>
      </c>
      <c r="C59" s="21" t="s">
        <v>29</v>
      </c>
      <c r="D59" s="21">
        <v>1</v>
      </c>
      <c r="E59" s="21" t="str">
        <f>VLOOKUP2(tbTestEnemy[Difficulty],tbTestEnemy[StageName],表14[[#This Row],[Play]]&amp;"-"&amp;表14[[#This Row],[Difficulty]],tbTestEnemy[Wave],表14[[#This Row],[Wave]])</f>
        <v>简单</v>
      </c>
      <c r="F59" s="21">
        <f>VLOOKUP2(tbTestEnemy[WaitTime],tbTestEnemy[StageName],表14[[#This Row],[Play]]&amp;"-"&amp;表14[[#This Row],[Difficulty]],tbTestEnemy[Wave],表14[[#This Row],[Wave]])</f>
        <v>0</v>
      </c>
    </row>
    <row r="60" spans="2:6" x14ac:dyDescent="0.3">
      <c r="B60" s="21" t="s">
        <v>737</v>
      </c>
      <c r="C60" s="21" t="s">
        <v>29</v>
      </c>
      <c r="D60" s="21">
        <v>2</v>
      </c>
      <c r="E60" s="21" t="str">
        <f>VLOOKUP2(tbTestEnemy[Difficulty],tbTestEnemy[StageName],表14[[#This Row],[Play]]&amp;"-"&amp;表14[[#This Row],[Difficulty]],tbTestEnemy[Wave],表14[[#This Row],[Wave]])</f>
        <v>普通</v>
      </c>
      <c r="F60" s="21">
        <f>VLOOKUP2(tbTestEnemy[WaitTime],tbTestEnemy[StageName],表14[[#This Row],[Play]]&amp;"-"&amp;表14[[#This Row],[Difficulty]],tbTestEnemy[Wave],表14[[#This Row],[Wave]])</f>
        <v>0</v>
      </c>
    </row>
    <row r="61" spans="2:6" x14ac:dyDescent="0.3">
      <c r="B61" s="21" t="s">
        <v>737</v>
      </c>
      <c r="C61" s="21" t="s">
        <v>29</v>
      </c>
      <c r="D61" s="21">
        <v>3</v>
      </c>
      <c r="E61" s="21" t="str">
        <f>VLOOKUP2(tbTestEnemy[Difficulty],tbTestEnemy[StageName],表14[[#This Row],[Play]]&amp;"-"&amp;表14[[#This Row],[Difficulty]],tbTestEnemy[Wave],表14[[#This Row],[Wave]])</f>
        <v>困难</v>
      </c>
      <c r="F61" s="21">
        <f>VLOOKUP2(tbTestEnemy[WaitTime],tbTestEnemy[StageName],表14[[#This Row],[Play]]&amp;"-"&amp;表14[[#This Row],[Difficulty]],tbTestEnemy[Wave],表14[[#This Row],[Wave]])</f>
        <v>0</v>
      </c>
    </row>
    <row r="62" spans="2:6" x14ac:dyDescent="0.3">
      <c r="B62" s="21" t="s">
        <v>737</v>
      </c>
      <c r="C62" s="21" t="s">
        <v>33</v>
      </c>
      <c r="D62" s="21">
        <v>1</v>
      </c>
      <c r="E62" s="21" t="str">
        <f>VLOOKUP2(tbTestEnemy[Difficulty],tbTestEnemy[StageName],表14[[#This Row],[Play]]&amp;"-"&amp;表14[[#This Row],[Difficulty]],tbTestEnemy[Wave],表14[[#This Row],[Wave]])</f>
        <v>普通</v>
      </c>
      <c r="F62" s="21">
        <f>VLOOKUP2(tbTestEnemy[WaitTime],tbTestEnemy[StageName],表14[[#This Row],[Play]]&amp;"-"&amp;表14[[#This Row],[Difficulty]],tbTestEnemy[Wave],表14[[#This Row],[Wave]])</f>
        <v>0</v>
      </c>
    </row>
    <row r="63" spans="2:6" x14ac:dyDescent="0.3">
      <c r="B63" s="21" t="s">
        <v>737</v>
      </c>
      <c r="C63" s="21" t="s">
        <v>33</v>
      </c>
      <c r="D63" s="21">
        <v>2</v>
      </c>
      <c r="E63" s="21" t="str">
        <f>VLOOKUP2(tbTestEnemy[Difficulty],tbTestEnemy[StageName],表14[[#This Row],[Play]]&amp;"-"&amp;表14[[#This Row],[Difficulty]],tbTestEnemy[Wave],表14[[#This Row],[Wave]])</f>
        <v>普通</v>
      </c>
      <c r="F63" s="21">
        <f>VLOOKUP2(tbTestEnemy[WaitTime],tbTestEnemy[StageName],表14[[#This Row],[Play]]&amp;"-"&amp;表14[[#This Row],[Difficulty]],tbTestEnemy[Wave],表14[[#This Row],[Wave]])</f>
        <v>0</v>
      </c>
    </row>
    <row r="64" spans="2:6" x14ac:dyDescent="0.3">
      <c r="B64" s="21" t="s">
        <v>737</v>
      </c>
      <c r="C64" s="21" t="s">
        <v>33</v>
      </c>
      <c r="D64" s="21">
        <v>3</v>
      </c>
      <c r="E64" s="21" t="str">
        <f>VLOOKUP2(tbTestEnemy[Difficulty],tbTestEnemy[StageName],表14[[#This Row],[Play]]&amp;"-"&amp;表14[[#This Row],[Difficulty]],tbTestEnemy[Wave],表14[[#This Row],[Wave]])</f>
        <v>困难</v>
      </c>
      <c r="F64" s="21">
        <f>VLOOKUP2(tbTestEnemy[WaitTime],tbTestEnemy[StageName],表14[[#This Row],[Play]]&amp;"-"&amp;表14[[#This Row],[Difficulty]],tbTestEnemy[Wave],表14[[#This Row],[Wave]])</f>
        <v>0</v>
      </c>
    </row>
    <row r="65" spans="2:6" x14ac:dyDescent="0.3">
      <c r="B65" s="21" t="s">
        <v>737</v>
      </c>
      <c r="C65" s="21" t="s">
        <v>35</v>
      </c>
      <c r="D65" s="21">
        <v>1</v>
      </c>
      <c r="E65" s="21" t="str">
        <f>VLOOKUP2(tbTestEnemy[Difficulty],tbTestEnemy[StageName],表14[[#This Row],[Play]]&amp;"-"&amp;表14[[#This Row],[Difficulty]],tbTestEnemy[Wave],表14[[#This Row],[Wave]])</f>
        <v>普通</v>
      </c>
      <c r="F65" s="21">
        <f>VLOOKUP2(tbTestEnemy[WaitTime],tbTestEnemy[StageName],表14[[#This Row],[Play]]&amp;"-"&amp;表14[[#This Row],[Difficulty]],tbTestEnemy[Wave],表14[[#This Row],[Wave]])</f>
        <v>0</v>
      </c>
    </row>
    <row r="66" spans="2:6" x14ac:dyDescent="0.3">
      <c r="B66" s="21" t="s">
        <v>737</v>
      </c>
      <c r="C66" s="21" t="s">
        <v>35</v>
      </c>
      <c r="D66" s="21">
        <v>2</v>
      </c>
      <c r="E66" s="21" t="str">
        <f>VLOOKUP2(tbTestEnemy[Difficulty],tbTestEnemy[StageName],表14[[#This Row],[Play]]&amp;"-"&amp;表14[[#This Row],[Difficulty]],tbTestEnemy[Wave],表14[[#This Row],[Wave]])</f>
        <v>困难</v>
      </c>
      <c r="F66" s="21">
        <f>VLOOKUP2(tbTestEnemy[WaitTime],tbTestEnemy[StageName],表14[[#This Row],[Play]]&amp;"-"&amp;表14[[#This Row],[Difficulty]],tbTestEnemy[Wave],表14[[#This Row],[Wave]])</f>
        <v>0</v>
      </c>
    </row>
    <row r="67" spans="2:6" x14ac:dyDescent="0.3">
      <c r="B67" s="21" t="s">
        <v>737</v>
      </c>
      <c r="C67" s="21" t="s">
        <v>35</v>
      </c>
      <c r="D67" s="21">
        <v>3</v>
      </c>
      <c r="E67" s="21" t="str">
        <f>VLOOKUP2(tbTestEnemy[Difficulty],tbTestEnemy[StageName],表14[[#This Row],[Play]]&amp;"-"&amp;表14[[#This Row],[Difficulty]],tbTestEnemy[Wave],表14[[#This Row],[Wave]])</f>
        <v>超难</v>
      </c>
      <c r="F67" s="21">
        <f>VLOOKUP2(tbTestEnemy[WaitTime],tbTestEnemy[StageName],表14[[#This Row],[Play]]&amp;"-"&amp;表14[[#This Row],[Difficulty]],tbTestEnemy[Wave],表14[[#This Row],[Wave]])</f>
        <v>0</v>
      </c>
    </row>
    <row r="68" spans="2:6" x14ac:dyDescent="0.3">
      <c r="B68" s="21" t="s">
        <v>737</v>
      </c>
      <c r="C68" s="21" t="s">
        <v>36</v>
      </c>
      <c r="D68" s="21">
        <v>1</v>
      </c>
      <c r="E68" s="21" t="str">
        <f>VLOOKUP2(tbTestEnemy[Difficulty],tbTestEnemy[StageName],表14[[#This Row],[Play]]&amp;"-"&amp;表14[[#This Row],[Difficulty]],tbTestEnemy[Wave],表14[[#This Row],[Wave]])</f>
        <v>困难</v>
      </c>
      <c r="F68" s="21">
        <f>VLOOKUP2(tbTestEnemy[WaitTime],tbTestEnemy[StageName],表14[[#This Row],[Play]]&amp;"-"&amp;表14[[#This Row],[Difficulty]],tbTestEnemy[Wave],表14[[#This Row],[Wave]])</f>
        <v>0</v>
      </c>
    </row>
    <row r="69" spans="2:6" x14ac:dyDescent="0.3">
      <c r="B69" s="21" t="s">
        <v>737</v>
      </c>
      <c r="C69" s="21" t="s">
        <v>36</v>
      </c>
      <c r="D69" s="21">
        <v>2</v>
      </c>
      <c r="E69" s="21" t="str">
        <f>VLOOKUP2(tbTestEnemy[Difficulty],tbTestEnemy[StageName],表14[[#This Row],[Play]]&amp;"-"&amp;表14[[#This Row],[Difficulty]],tbTestEnemy[Wave],表14[[#This Row],[Wave]])</f>
        <v>困难</v>
      </c>
      <c r="F69" s="21">
        <f>VLOOKUP2(tbTestEnemy[WaitTime],tbTestEnemy[StageName],表14[[#This Row],[Play]]&amp;"-"&amp;表14[[#This Row],[Difficulty]],tbTestEnemy[Wave],表14[[#This Row],[Wave]])</f>
        <v>0</v>
      </c>
    </row>
    <row r="70" spans="2:6" x14ac:dyDescent="0.3">
      <c r="B70" s="21" t="s">
        <v>737</v>
      </c>
      <c r="C70" s="21" t="s">
        <v>36</v>
      </c>
      <c r="D70" s="21">
        <v>3</v>
      </c>
      <c r="E70" s="21" t="str">
        <f>VLOOKUP2(tbTestEnemy[Difficulty],tbTestEnemy[StageName],表14[[#This Row],[Play]]&amp;"-"&amp;表14[[#This Row],[Difficulty]],tbTestEnemy[Wave],表14[[#This Row],[Wave]])</f>
        <v>超难</v>
      </c>
      <c r="F70" s="21">
        <f>VLOOKUP2(tbTestEnemy[WaitTime],tbTestEnemy[StageName],表14[[#This Row],[Play]]&amp;"-"&amp;表14[[#This Row],[Difficulty]],tbTestEnemy[Wave],表14[[#This Row],[Wave]])</f>
        <v>0</v>
      </c>
    </row>
    <row r="71" spans="2:6" x14ac:dyDescent="0.3">
      <c r="B71" s="21" t="s">
        <v>738</v>
      </c>
      <c r="C71" s="22" t="s">
        <v>746</v>
      </c>
      <c r="D71" s="21">
        <v>1</v>
      </c>
      <c r="E71" s="21" t="str">
        <f>VLOOKUP2(tbTestEnemy[Difficulty],tbTestEnemy[StageName],表14[[#This Row],[Play]]&amp;"-"&amp;表14[[#This Row],[Difficulty]],tbTestEnemy[Wave],表14[[#This Row],[Wave]])</f>
        <v>普通</v>
      </c>
      <c r="F71" s="21">
        <f>VLOOKUP2(tbTestEnemy[WaitTime],tbTestEnemy[StageName],表14[[#This Row],[Play]]&amp;"-"&amp;表14[[#This Row],[Difficulty]],tbTestEnemy[Wave],表14[[#This Row],[Wave]])</f>
        <v>0</v>
      </c>
    </row>
    <row r="72" spans="2:6" x14ac:dyDescent="0.3">
      <c r="B72" s="21" t="s">
        <v>738</v>
      </c>
      <c r="C72" s="21" t="s">
        <v>734</v>
      </c>
      <c r="D72" s="21">
        <v>1</v>
      </c>
      <c r="E72" s="21" t="str">
        <f>VLOOKUP2(tbTestEnemy[Difficulty],tbTestEnemy[StageName],表14[[#This Row],[Play]]&amp;"-"&amp;表14[[#This Row],[Difficulty]],tbTestEnemy[Wave],表14[[#This Row],[Wave]])</f>
        <v>困难</v>
      </c>
      <c r="F72" s="21">
        <f>VLOOKUP2(tbTestEnemy[WaitTime],tbTestEnemy[StageName],表14[[#This Row],[Play]]&amp;"-"&amp;表14[[#This Row],[Difficulty]],tbTestEnemy[Wave],表14[[#This Row],[Wave]])</f>
        <v>0</v>
      </c>
    </row>
    <row r="73" spans="2:6" x14ac:dyDescent="0.3">
      <c r="B73" s="21" t="s">
        <v>738</v>
      </c>
      <c r="C73" s="21" t="s">
        <v>735</v>
      </c>
      <c r="D73" s="21">
        <v>1</v>
      </c>
      <c r="E73" s="21" t="str">
        <f>VLOOKUP2(tbTestEnemy[Difficulty],tbTestEnemy[StageName],表14[[#This Row],[Play]]&amp;"-"&amp;表14[[#This Row],[Difficulty]],tbTestEnemy[Wave],表14[[#This Row],[Wave]])</f>
        <v>超难</v>
      </c>
      <c r="F73" s="21">
        <f>VLOOKUP2(tbTestEnemy[WaitTime],tbTestEnemy[StageName],表14[[#This Row],[Play]]&amp;"-"&amp;表14[[#This Row],[Difficulty]],tbTestEnemy[Wave],表14[[#This Row],[Wave]])</f>
        <v>0</v>
      </c>
    </row>
    <row r="74" spans="2:6" x14ac:dyDescent="0.3">
      <c r="B74" s="21" t="s">
        <v>738</v>
      </c>
      <c r="C74" s="22" t="s">
        <v>747</v>
      </c>
      <c r="D74" s="21">
        <v>1</v>
      </c>
      <c r="E74" s="21" t="str">
        <f>VLOOKUP2(tbTestEnemy[Difficulty],tbTestEnemy[StageName],表14[[#This Row],[Play]]&amp;"-"&amp;表14[[#This Row],[Difficulty]],tbTestEnemy[Wave],表14[[#This Row],[Wave]])</f>
        <v>变态</v>
      </c>
      <c r="F74" s="21">
        <f>VLOOKUP2(tbTestEnemy[WaitTime],tbTestEnemy[StageName],表14[[#This Row],[Play]]&amp;"-"&amp;表14[[#This Row],[Difficulty]],tbTestEnemy[Wave],表14[[#This Row],[Wave]])</f>
        <v>0</v>
      </c>
    </row>
    <row r="75" spans="2:6" x14ac:dyDescent="0.3">
      <c r="B75" s="21" t="s">
        <v>739</v>
      </c>
      <c r="C75" s="22" t="s">
        <v>746</v>
      </c>
      <c r="D75" s="21">
        <v>1</v>
      </c>
      <c r="E75" s="21" t="str">
        <f>VLOOKUP2(tbTestEnemy[Difficulty],tbTestEnemy[StageName],表14[[#This Row],[Play]]&amp;"-"&amp;表14[[#This Row],[Difficulty]],tbTestEnemy[Wave],表14[[#This Row],[Wave]])</f>
        <v>普通</v>
      </c>
      <c r="F75" s="21">
        <f>VLOOKUP2(tbTestEnemy[WaitTime],tbTestEnemy[StageName],表14[[#This Row],[Play]]&amp;"-"&amp;表14[[#This Row],[Difficulty]],tbTestEnemy[Wave],表14[[#This Row],[Wave]])</f>
        <v>0</v>
      </c>
    </row>
    <row r="76" spans="2:6" x14ac:dyDescent="0.3">
      <c r="B76" s="21" t="s">
        <v>739</v>
      </c>
      <c r="C76" s="21" t="s">
        <v>734</v>
      </c>
      <c r="D76" s="21">
        <v>1</v>
      </c>
      <c r="E76" s="21" t="str">
        <f>VLOOKUP2(tbTestEnemy[Difficulty],tbTestEnemy[StageName],表14[[#This Row],[Play]]&amp;"-"&amp;表14[[#This Row],[Difficulty]],tbTestEnemy[Wave],表14[[#This Row],[Wave]])</f>
        <v>困难</v>
      </c>
      <c r="F76" s="21">
        <f>VLOOKUP2(tbTestEnemy[WaitTime],tbTestEnemy[StageName],表14[[#This Row],[Play]]&amp;"-"&amp;表14[[#This Row],[Difficulty]],tbTestEnemy[Wave],表14[[#This Row],[Wave]])</f>
        <v>0</v>
      </c>
    </row>
    <row r="77" spans="2:6" x14ac:dyDescent="0.3">
      <c r="B77" s="21" t="s">
        <v>739</v>
      </c>
      <c r="C77" s="21" t="s">
        <v>735</v>
      </c>
      <c r="D77" s="21">
        <v>1</v>
      </c>
      <c r="E77" s="21" t="str">
        <f>VLOOKUP2(tbTestEnemy[Difficulty],tbTestEnemy[StageName],表14[[#This Row],[Play]]&amp;"-"&amp;表14[[#This Row],[Difficulty]],tbTestEnemy[Wave],表14[[#This Row],[Wave]])</f>
        <v>超难</v>
      </c>
      <c r="F77" s="21">
        <f>VLOOKUP2(tbTestEnemy[WaitTime],tbTestEnemy[StageName],表14[[#This Row],[Play]]&amp;"-"&amp;表14[[#This Row],[Difficulty]],tbTestEnemy[Wave],表14[[#This Row],[Wave]])</f>
        <v>0</v>
      </c>
    </row>
    <row r="78" spans="2:6" x14ac:dyDescent="0.3">
      <c r="B78" s="21" t="s">
        <v>739</v>
      </c>
      <c r="C78" s="22" t="s">
        <v>747</v>
      </c>
      <c r="D78" s="21">
        <v>1</v>
      </c>
      <c r="E78" s="21" t="str">
        <f>VLOOKUP2(tbTestEnemy[Difficulty],tbTestEnemy[StageName],表14[[#This Row],[Play]]&amp;"-"&amp;表14[[#This Row],[Difficulty]],tbTestEnemy[Wave],表14[[#This Row],[Wave]])</f>
        <v>变态</v>
      </c>
      <c r="F78" s="21">
        <f>VLOOKUP2(tbTestEnemy[WaitTime],tbTestEnemy[StageName],表14[[#This Row],[Play]]&amp;"-"&amp;表14[[#This Row],[Difficulty]],tbTestEnemy[Wave],表14[[#This Row],[Wave]])</f>
        <v>0</v>
      </c>
    </row>
    <row r="79" spans="2:6" x14ac:dyDescent="0.3">
      <c r="B79" s="21" t="s">
        <v>740</v>
      </c>
      <c r="C79" s="22" t="s">
        <v>746</v>
      </c>
      <c r="D79" s="21">
        <v>1</v>
      </c>
      <c r="E79" s="21" t="str">
        <f>VLOOKUP2(tbTestEnemy[Difficulty],tbTestEnemy[StageName],表14[[#This Row],[Play]]&amp;"-"&amp;表14[[#This Row],[Difficulty]],tbTestEnemy[Wave],表14[[#This Row],[Wave]])</f>
        <v>普通</v>
      </c>
      <c r="F79" s="21">
        <f>VLOOKUP2(tbTestEnemy[WaitTime],tbTestEnemy[StageName],表14[[#This Row],[Play]]&amp;"-"&amp;表14[[#This Row],[Difficulty]],tbTestEnemy[Wave],表14[[#This Row],[Wave]])</f>
        <v>0</v>
      </c>
    </row>
    <row r="80" spans="2:6" x14ac:dyDescent="0.3">
      <c r="B80" s="21" t="s">
        <v>740</v>
      </c>
      <c r="C80" s="22" t="s">
        <v>746</v>
      </c>
      <c r="D80" s="21">
        <v>2</v>
      </c>
      <c r="E80" s="21" t="str">
        <f>VLOOKUP2(tbTestEnemy[Difficulty],tbTestEnemy[StageName],表14[[#This Row],[Play]]&amp;"-"&amp;表14[[#This Row],[Difficulty]],tbTestEnemy[Wave],表14[[#This Row],[Wave]])</f>
        <v>普通</v>
      </c>
      <c r="F80" s="21">
        <f>VLOOKUP2(tbTestEnemy[WaitTime],tbTestEnemy[StageName],表14[[#This Row],[Play]]&amp;"-"&amp;表14[[#This Row],[Difficulty]],tbTestEnemy[Wave],表14[[#This Row],[Wave]])</f>
        <v>0</v>
      </c>
    </row>
    <row r="81" spans="2:6" x14ac:dyDescent="0.3">
      <c r="B81" s="21" t="s">
        <v>740</v>
      </c>
      <c r="C81" s="22" t="s">
        <v>746</v>
      </c>
      <c r="D81" s="21">
        <v>3</v>
      </c>
      <c r="E81" s="21" t="str">
        <f>VLOOKUP2(tbTestEnemy[Difficulty],tbTestEnemy[StageName],表14[[#This Row],[Play]]&amp;"-"&amp;表14[[#This Row],[Difficulty]],tbTestEnemy[Wave],表14[[#This Row],[Wave]])</f>
        <v>简单</v>
      </c>
      <c r="F81" s="21">
        <f>VLOOKUP2(tbTestEnemy[WaitTime],tbTestEnemy[StageName],表14[[#This Row],[Play]]&amp;"-"&amp;表14[[#This Row],[Difficulty]],tbTestEnemy[Wave],表14[[#This Row],[Wave]])</f>
        <v>0</v>
      </c>
    </row>
    <row r="82" spans="2:6" x14ac:dyDescent="0.3">
      <c r="B82" s="21" t="s">
        <v>740</v>
      </c>
      <c r="C82" s="22" t="s">
        <v>746</v>
      </c>
      <c r="D82" s="21">
        <v>4</v>
      </c>
      <c r="E82" s="21" t="str">
        <f>VLOOKUP2(tbTestEnemy[Difficulty],tbTestEnemy[StageName],表14[[#This Row],[Play]]&amp;"-"&amp;表14[[#This Row],[Difficulty]],tbTestEnemy[Wave],表14[[#This Row],[Wave]])</f>
        <v>普通</v>
      </c>
      <c r="F82" s="21">
        <f>VLOOKUP2(tbTestEnemy[WaitTime],tbTestEnemy[StageName],表14[[#This Row],[Play]]&amp;"-"&amp;表14[[#This Row],[Difficulty]],tbTestEnemy[Wave],表14[[#This Row],[Wave]])</f>
        <v>0</v>
      </c>
    </row>
    <row r="83" spans="2:6" x14ac:dyDescent="0.3">
      <c r="B83" s="21" t="s">
        <v>740</v>
      </c>
      <c r="C83" s="22" t="s">
        <v>746</v>
      </c>
      <c r="D83" s="21">
        <v>5</v>
      </c>
      <c r="E83" s="21" t="str">
        <f>VLOOKUP2(tbTestEnemy[Difficulty],tbTestEnemy[StageName],表14[[#This Row],[Play]]&amp;"-"&amp;表14[[#This Row],[Difficulty]],tbTestEnemy[Wave],表14[[#This Row],[Wave]])</f>
        <v>困难</v>
      </c>
      <c r="F83" s="21">
        <f>VLOOKUP2(tbTestEnemy[WaitTime],tbTestEnemy[StageName],表14[[#This Row],[Play]]&amp;"-"&amp;表14[[#This Row],[Difficulty]],tbTestEnemy[Wave],表14[[#This Row],[Wave]])</f>
        <v>0</v>
      </c>
    </row>
    <row r="84" spans="2:6" x14ac:dyDescent="0.3">
      <c r="B84" s="21" t="s">
        <v>740</v>
      </c>
      <c r="C84" s="21" t="s">
        <v>734</v>
      </c>
      <c r="D84" s="21">
        <v>1</v>
      </c>
      <c r="E84" s="21" t="str">
        <f>VLOOKUP2(tbTestEnemy[Difficulty],tbTestEnemy[StageName],表14[[#This Row],[Play]]&amp;"-"&amp;表14[[#This Row],[Difficulty]],tbTestEnemy[Wave],表14[[#This Row],[Wave]])</f>
        <v>困难</v>
      </c>
      <c r="F84" s="21">
        <f>VLOOKUP2(tbTestEnemy[WaitTime],tbTestEnemy[StageName],表14[[#This Row],[Play]]&amp;"-"&amp;表14[[#This Row],[Difficulty]],tbTestEnemy[Wave],表14[[#This Row],[Wave]])</f>
        <v>0</v>
      </c>
    </row>
    <row r="85" spans="2:6" x14ac:dyDescent="0.3">
      <c r="B85" s="21" t="s">
        <v>740</v>
      </c>
      <c r="C85" s="21" t="s">
        <v>734</v>
      </c>
      <c r="D85" s="21">
        <v>2</v>
      </c>
      <c r="E85" s="21" t="str">
        <f>VLOOKUP2(tbTestEnemy[Difficulty],tbTestEnemy[StageName],表14[[#This Row],[Play]]&amp;"-"&amp;表14[[#This Row],[Difficulty]],tbTestEnemy[Wave],表14[[#This Row],[Wave]])</f>
        <v>困难</v>
      </c>
      <c r="F85" s="21">
        <f>VLOOKUP2(tbTestEnemy[WaitTime],tbTestEnemy[StageName],表14[[#This Row],[Play]]&amp;"-"&amp;表14[[#This Row],[Difficulty]],tbTestEnemy[Wave],表14[[#This Row],[Wave]])</f>
        <v>0</v>
      </c>
    </row>
    <row r="86" spans="2:6" x14ac:dyDescent="0.3">
      <c r="B86" s="21" t="s">
        <v>740</v>
      </c>
      <c r="C86" s="21" t="s">
        <v>734</v>
      </c>
      <c r="D86" s="21">
        <v>3</v>
      </c>
      <c r="E86" s="21" t="str">
        <f>VLOOKUP2(tbTestEnemy[Difficulty],tbTestEnemy[StageName],表14[[#This Row],[Play]]&amp;"-"&amp;表14[[#This Row],[Difficulty]],tbTestEnemy[Wave],表14[[#This Row],[Wave]])</f>
        <v>普通</v>
      </c>
      <c r="F86" s="21">
        <f>VLOOKUP2(tbTestEnemy[WaitTime],tbTestEnemy[StageName],表14[[#This Row],[Play]]&amp;"-"&amp;表14[[#This Row],[Difficulty]],tbTestEnemy[Wave],表14[[#This Row],[Wave]])</f>
        <v>0</v>
      </c>
    </row>
    <row r="87" spans="2:6" x14ac:dyDescent="0.3">
      <c r="B87" s="21" t="s">
        <v>740</v>
      </c>
      <c r="C87" s="21" t="s">
        <v>734</v>
      </c>
      <c r="D87" s="21">
        <v>4</v>
      </c>
      <c r="E87" s="21" t="str">
        <f>VLOOKUP2(tbTestEnemy[Difficulty],tbTestEnemy[StageName],表14[[#This Row],[Play]]&amp;"-"&amp;表14[[#This Row],[Difficulty]],tbTestEnemy[Wave],表14[[#This Row],[Wave]])</f>
        <v>困难</v>
      </c>
      <c r="F87" s="21">
        <f>VLOOKUP2(tbTestEnemy[WaitTime],tbTestEnemy[StageName],表14[[#This Row],[Play]]&amp;"-"&amp;表14[[#This Row],[Difficulty]],tbTestEnemy[Wave],表14[[#This Row],[Wave]])</f>
        <v>0</v>
      </c>
    </row>
    <row r="88" spans="2:6" x14ac:dyDescent="0.3">
      <c r="B88" s="21" t="s">
        <v>740</v>
      </c>
      <c r="C88" s="21" t="s">
        <v>734</v>
      </c>
      <c r="D88" s="21">
        <v>5</v>
      </c>
      <c r="E88" s="21" t="str">
        <f>VLOOKUP2(tbTestEnemy[Difficulty],tbTestEnemy[StageName],表14[[#This Row],[Play]]&amp;"-"&amp;表14[[#This Row],[Difficulty]],tbTestEnemy[Wave],表14[[#This Row],[Wave]])</f>
        <v>困难</v>
      </c>
      <c r="F88" s="21">
        <f>VLOOKUP2(tbTestEnemy[WaitTime],tbTestEnemy[StageName],表14[[#This Row],[Play]]&amp;"-"&amp;表14[[#This Row],[Difficulty]],tbTestEnemy[Wave],表14[[#This Row],[Wave]])</f>
        <v>0</v>
      </c>
    </row>
    <row r="89" spans="2:6" x14ac:dyDescent="0.3">
      <c r="B89" s="21" t="s">
        <v>740</v>
      </c>
      <c r="C89" s="21" t="s">
        <v>735</v>
      </c>
      <c r="D89" s="21">
        <v>1</v>
      </c>
      <c r="E89" s="21" t="str">
        <f>VLOOKUP2(tbTestEnemy[Difficulty],tbTestEnemy[StageName],表14[[#This Row],[Play]]&amp;"-"&amp;表14[[#This Row],[Difficulty]],tbTestEnemy[Wave],表14[[#This Row],[Wave]])</f>
        <v>困难</v>
      </c>
      <c r="F89" s="21">
        <f>VLOOKUP2(tbTestEnemy[WaitTime],tbTestEnemy[StageName],表14[[#This Row],[Play]]&amp;"-"&amp;表14[[#This Row],[Difficulty]],tbTestEnemy[Wave],表14[[#This Row],[Wave]])</f>
        <v>0</v>
      </c>
    </row>
    <row r="90" spans="2:6" x14ac:dyDescent="0.3">
      <c r="B90" s="21" t="s">
        <v>740</v>
      </c>
      <c r="C90" s="21" t="s">
        <v>735</v>
      </c>
      <c r="D90" s="21">
        <v>2</v>
      </c>
      <c r="E90" s="21" t="str">
        <f>VLOOKUP2(tbTestEnemy[Difficulty],tbTestEnemy[StageName],表14[[#This Row],[Play]]&amp;"-"&amp;表14[[#This Row],[Difficulty]],tbTestEnemy[Wave],表14[[#This Row],[Wave]])</f>
        <v>超难</v>
      </c>
      <c r="F90" s="21">
        <f>VLOOKUP2(tbTestEnemy[WaitTime],tbTestEnemy[StageName],表14[[#This Row],[Play]]&amp;"-"&amp;表14[[#This Row],[Difficulty]],tbTestEnemy[Wave],表14[[#This Row],[Wave]])</f>
        <v>0</v>
      </c>
    </row>
    <row r="91" spans="2:6" x14ac:dyDescent="0.3">
      <c r="B91" s="21" t="s">
        <v>740</v>
      </c>
      <c r="C91" s="21" t="s">
        <v>735</v>
      </c>
      <c r="D91" s="21">
        <v>3</v>
      </c>
      <c r="E91" s="21" t="str">
        <f>VLOOKUP2(tbTestEnemy[Difficulty],tbTestEnemy[StageName],表14[[#This Row],[Play]]&amp;"-"&amp;表14[[#This Row],[Difficulty]],tbTestEnemy[Wave],表14[[#This Row],[Wave]])</f>
        <v>普通</v>
      </c>
      <c r="F91" s="21">
        <f>VLOOKUP2(tbTestEnemy[WaitTime],tbTestEnemy[StageName],表14[[#This Row],[Play]]&amp;"-"&amp;表14[[#This Row],[Difficulty]],tbTestEnemy[Wave],表14[[#This Row],[Wave]])</f>
        <v>0</v>
      </c>
    </row>
    <row r="92" spans="2:6" x14ac:dyDescent="0.3">
      <c r="B92" s="21" t="s">
        <v>740</v>
      </c>
      <c r="C92" s="21" t="s">
        <v>735</v>
      </c>
      <c r="D92" s="21">
        <v>4</v>
      </c>
      <c r="E92" s="21" t="str">
        <f>VLOOKUP2(tbTestEnemy[Difficulty],tbTestEnemy[StageName],表14[[#This Row],[Play]]&amp;"-"&amp;表14[[#This Row],[Difficulty]],tbTestEnemy[Wave],表14[[#This Row],[Wave]])</f>
        <v>困难</v>
      </c>
      <c r="F92" s="21">
        <f>VLOOKUP2(tbTestEnemy[WaitTime],tbTestEnemy[StageName],表14[[#This Row],[Play]]&amp;"-"&amp;表14[[#This Row],[Difficulty]],tbTestEnemy[Wave],表14[[#This Row],[Wave]])</f>
        <v>0</v>
      </c>
    </row>
    <row r="93" spans="2:6" x14ac:dyDescent="0.3">
      <c r="B93" s="21" t="s">
        <v>740</v>
      </c>
      <c r="C93" s="21" t="s">
        <v>735</v>
      </c>
      <c r="D93" s="21">
        <v>5</v>
      </c>
      <c r="E93" s="21" t="str">
        <f>VLOOKUP2(tbTestEnemy[Difficulty],tbTestEnemy[StageName],表14[[#This Row],[Play]]&amp;"-"&amp;表14[[#This Row],[Difficulty]],tbTestEnemy[Wave],表14[[#This Row],[Wave]])</f>
        <v>超难</v>
      </c>
      <c r="F93" s="21">
        <f>VLOOKUP2(tbTestEnemy[WaitTime],tbTestEnemy[StageName],表14[[#This Row],[Play]]&amp;"-"&amp;表14[[#This Row],[Difficulty]],tbTestEnemy[Wave],表14[[#This Row],[Wave]])</f>
        <v>0</v>
      </c>
    </row>
    <row r="94" spans="2:6" x14ac:dyDescent="0.3">
      <c r="B94" s="22" t="s">
        <v>740</v>
      </c>
      <c r="C94" s="22" t="s">
        <v>747</v>
      </c>
      <c r="D94" s="21">
        <v>1</v>
      </c>
      <c r="E94" s="22" t="str">
        <f>VLOOKUP2(tbTestEnemy[Difficulty],tbTestEnemy[StageName],表14[[#This Row],[Play]]&amp;"-"&amp;表14[[#This Row],[Difficulty]],tbTestEnemy[Wave],表14[[#This Row],[Wave]])</f>
        <v>超难</v>
      </c>
      <c r="F94" s="22">
        <f>VLOOKUP2(tbTestEnemy[WaitTime],tbTestEnemy[StageName],表14[[#This Row],[Play]]&amp;"-"&amp;表14[[#This Row],[Difficulty]],tbTestEnemy[Wave],表14[[#This Row],[Wave]])</f>
        <v>0</v>
      </c>
    </row>
    <row r="95" spans="2:6" x14ac:dyDescent="0.3">
      <c r="B95" s="22" t="s">
        <v>740</v>
      </c>
      <c r="C95" s="22" t="s">
        <v>747</v>
      </c>
      <c r="D95" s="21">
        <v>2</v>
      </c>
      <c r="E95" s="22" t="str">
        <f>VLOOKUP2(tbTestEnemy[Difficulty],tbTestEnemy[StageName],表14[[#This Row],[Play]]&amp;"-"&amp;表14[[#This Row],[Difficulty]],tbTestEnemy[Wave],表14[[#This Row],[Wave]])</f>
        <v>变态</v>
      </c>
      <c r="F95" s="22">
        <f>VLOOKUP2(tbTestEnemy[WaitTime],tbTestEnemy[StageName],表14[[#This Row],[Play]]&amp;"-"&amp;表14[[#This Row],[Difficulty]],tbTestEnemy[Wave],表14[[#This Row],[Wave]])</f>
        <v>0</v>
      </c>
    </row>
    <row r="96" spans="2:6" x14ac:dyDescent="0.3">
      <c r="B96" s="22" t="s">
        <v>740</v>
      </c>
      <c r="C96" s="22" t="s">
        <v>747</v>
      </c>
      <c r="D96" s="21">
        <v>3</v>
      </c>
      <c r="E96" s="22" t="str">
        <f>VLOOKUP2(tbTestEnemy[Difficulty],tbTestEnemy[StageName],表14[[#This Row],[Play]]&amp;"-"&amp;表14[[#This Row],[Difficulty]],tbTestEnemy[Wave],表14[[#This Row],[Wave]])</f>
        <v>普通</v>
      </c>
      <c r="F96" s="22">
        <f>VLOOKUP2(tbTestEnemy[WaitTime],tbTestEnemy[StageName],表14[[#This Row],[Play]]&amp;"-"&amp;表14[[#This Row],[Difficulty]],tbTestEnemy[Wave],表14[[#This Row],[Wave]])</f>
        <v>0</v>
      </c>
    </row>
    <row r="97" spans="2:6" x14ac:dyDescent="0.3">
      <c r="B97" s="22" t="s">
        <v>740</v>
      </c>
      <c r="C97" s="22" t="s">
        <v>747</v>
      </c>
      <c r="D97" s="21">
        <v>4</v>
      </c>
      <c r="E97" s="22" t="str">
        <f>VLOOKUP2(tbTestEnemy[Difficulty],tbTestEnemy[StageName],表14[[#This Row],[Play]]&amp;"-"&amp;表14[[#This Row],[Difficulty]],tbTestEnemy[Wave],表14[[#This Row],[Wave]])</f>
        <v>困难</v>
      </c>
      <c r="F97" s="22">
        <f>VLOOKUP2(tbTestEnemy[WaitTime],tbTestEnemy[StageName],表14[[#This Row],[Play]]&amp;"-"&amp;表14[[#This Row],[Difficulty]],tbTestEnemy[Wave],表14[[#This Row],[Wave]])</f>
        <v>0</v>
      </c>
    </row>
    <row r="98" spans="2:6" x14ac:dyDescent="0.3">
      <c r="B98" s="22" t="s">
        <v>740</v>
      </c>
      <c r="C98" s="22" t="s">
        <v>747</v>
      </c>
      <c r="D98" s="21">
        <v>5</v>
      </c>
      <c r="E98" s="22" t="str">
        <f>VLOOKUP2(tbTestEnemy[Difficulty],tbTestEnemy[StageName],表14[[#This Row],[Play]]&amp;"-"&amp;表14[[#This Row],[Difficulty]],tbTestEnemy[Wave],表14[[#This Row],[Wave]])</f>
        <v>变态</v>
      </c>
      <c r="F98" s="22">
        <f>VLOOKUP2(tbTestEnemy[WaitTime],tbTestEnemy[StageName],表14[[#This Row],[Play]]&amp;"-"&amp;表14[[#This Row],[Difficulty]],tbTestEnemy[Wave],表14[[#This Row],[Wave]])</f>
        <v>0</v>
      </c>
    </row>
    <row r="99" spans="2:6" x14ac:dyDescent="0.3">
      <c r="B99" s="22" t="s">
        <v>748</v>
      </c>
      <c r="C99" s="22" t="s">
        <v>746</v>
      </c>
      <c r="D99" s="22">
        <v>1</v>
      </c>
      <c r="E99" s="22" t="str">
        <f>VLOOKUP2(tbTestEnemy[Difficulty],tbTestEnemy[StageName],表14[[#This Row],[Play]]&amp;"-"&amp;表14[[#This Row],[Difficulty]],tbTestEnemy[Wave],表14[[#This Row],[Wave]])</f>
        <v>普通</v>
      </c>
      <c r="F99" s="22">
        <f>VLOOKUP2(tbTestEnemy[WaitTime],tbTestEnemy[StageName],表14[[#This Row],[Play]]&amp;"-"&amp;表14[[#This Row],[Difficulty]],tbTestEnemy[Wave],表14[[#This Row],[Wave]])</f>
        <v>0</v>
      </c>
    </row>
    <row r="100" spans="2:6" x14ac:dyDescent="0.3">
      <c r="B100" s="22" t="s">
        <v>748</v>
      </c>
      <c r="C100" s="22" t="s">
        <v>746</v>
      </c>
      <c r="D100" s="22">
        <v>2</v>
      </c>
      <c r="E100" s="22" t="str">
        <f>VLOOKUP2(tbTestEnemy[Difficulty],tbTestEnemy[StageName],表14[[#This Row],[Play]]&amp;"-"&amp;表14[[#This Row],[Difficulty]],tbTestEnemy[Wave],表14[[#This Row],[Wave]])</f>
        <v>困难</v>
      </c>
      <c r="F100" s="22">
        <f>VLOOKUP2(tbTestEnemy[WaitTime],tbTestEnemy[StageName],表14[[#This Row],[Play]]&amp;"-"&amp;表14[[#This Row],[Difficulty]],tbTestEnemy[Wave],表14[[#This Row],[Wave]])</f>
        <v>0</v>
      </c>
    </row>
    <row r="101" spans="2:6" x14ac:dyDescent="0.3">
      <c r="B101" s="22" t="s">
        <v>748</v>
      </c>
      <c r="C101" s="22" t="s">
        <v>749</v>
      </c>
      <c r="D101" s="22">
        <v>1</v>
      </c>
      <c r="E101" s="22" t="str">
        <f>VLOOKUP2(tbTestEnemy[Difficulty],tbTestEnemy[StageName],表14[[#This Row],[Play]]&amp;"-"&amp;表14[[#This Row],[Difficulty]],tbTestEnemy[Wave],表14[[#This Row],[Wave]])</f>
        <v>困难</v>
      </c>
      <c r="F101" s="22">
        <f>VLOOKUP2(tbTestEnemy[WaitTime],tbTestEnemy[StageName],表14[[#This Row],[Play]]&amp;"-"&amp;表14[[#This Row],[Difficulty]],tbTestEnemy[Wave],表14[[#This Row],[Wave]])</f>
        <v>0</v>
      </c>
    </row>
    <row r="102" spans="2:6" x14ac:dyDescent="0.3">
      <c r="B102" s="22" t="s">
        <v>748</v>
      </c>
      <c r="C102" s="22" t="s">
        <v>749</v>
      </c>
      <c r="D102" s="22">
        <v>2</v>
      </c>
      <c r="E102" s="22" t="str">
        <f>VLOOKUP2(tbTestEnemy[Difficulty],tbTestEnemy[StageName],表14[[#This Row],[Play]]&amp;"-"&amp;表14[[#This Row],[Difficulty]],tbTestEnemy[Wave],表14[[#This Row],[Wave]])</f>
        <v>困难</v>
      </c>
      <c r="F102" s="22">
        <f>VLOOKUP2(tbTestEnemy[WaitTime],tbTestEnemy[StageName],表14[[#This Row],[Play]]&amp;"-"&amp;表14[[#This Row],[Difficulty]],tbTestEnemy[Wave],表14[[#This Row],[Wave]])</f>
        <v>0</v>
      </c>
    </row>
    <row r="103" spans="2:6" x14ac:dyDescent="0.3">
      <c r="B103" s="22" t="s">
        <v>748</v>
      </c>
      <c r="C103" s="22" t="s">
        <v>750</v>
      </c>
      <c r="D103" s="22">
        <v>1</v>
      </c>
      <c r="E103" s="22" t="str">
        <f>VLOOKUP2(tbTestEnemy[Difficulty],tbTestEnemy[StageName],表14[[#This Row],[Play]]&amp;"-"&amp;表14[[#This Row],[Difficulty]],tbTestEnemy[Wave],表14[[#This Row],[Wave]])</f>
        <v>困难</v>
      </c>
      <c r="F103" s="22">
        <f>VLOOKUP2(tbTestEnemy[WaitTime],tbTestEnemy[StageName],表14[[#This Row],[Play]]&amp;"-"&amp;表14[[#This Row],[Difficulty]],tbTestEnemy[Wave],表14[[#This Row],[Wave]])</f>
        <v>0</v>
      </c>
    </row>
    <row r="104" spans="2:6" x14ac:dyDescent="0.3">
      <c r="B104" s="22" t="s">
        <v>748</v>
      </c>
      <c r="C104" s="22" t="s">
        <v>750</v>
      </c>
      <c r="D104" s="22">
        <v>2</v>
      </c>
      <c r="E104" s="22" t="str">
        <f>VLOOKUP2(tbTestEnemy[Difficulty],tbTestEnemy[StageName],表14[[#This Row],[Play]]&amp;"-"&amp;表14[[#This Row],[Difficulty]],tbTestEnemy[Wave],表14[[#This Row],[Wave]])</f>
        <v>超难</v>
      </c>
      <c r="F104" s="22">
        <f>VLOOKUP2(tbTestEnemy[WaitTime],tbTestEnemy[StageName],表14[[#This Row],[Play]]&amp;"-"&amp;表14[[#This Row],[Difficulty]],tbTestEnemy[Wave],表14[[#This Row],[Wave]])</f>
        <v>0</v>
      </c>
    </row>
    <row r="105" spans="2:6" x14ac:dyDescent="0.3">
      <c r="B105" s="22" t="s">
        <v>748</v>
      </c>
      <c r="C105" s="22" t="s">
        <v>747</v>
      </c>
      <c r="D105" s="22">
        <v>1</v>
      </c>
      <c r="E105" s="22" t="str">
        <f>VLOOKUP2(tbTestEnemy[Difficulty],tbTestEnemy[StageName],表14[[#This Row],[Play]]&amp;"-"&amp;表14[[#This Row],[Difficulty]],tbTestEnemy[Wave],表14[[#This Row],[Wave]])</f>
        <v>超难</v>
      </c>
      <c r="F105" s="22">
        <f>VLOOKUP2(tbTestEnemy[WaitTime],tbTestEnemy[StageName],表14[[#This Row],[Play]]&amp;"-"&amp;表14[[#This Row],[Difficulty]],tbTestEnemy[Wave],表14[[#This Row],[Wave]])</f>
        <v>0</v>
      </c>
    </row>
    <row r="106" spans="2:6" x14ac:dyDescent="0.3">
      <c r="B106" s="22" t="s">
        <v>748</v>
      </c>
      <c r="C106" s="22" t="s">
        <v>747</v>
      </c>
      <c r="D106" s="22">
        <v>2</v>
      </c>
      <c r="E106" s="22" t="str">
        <f>VLOOKUP2(tbTestEnemy[Difficulty],tbTestEnemy[StageName],表14[[#This Row],[Play]]&amp;"-"&amp;表14[[#This Row],[Difficulty]],tbTestEnemy[Wave],表14[[#This Row],[Wave]])</f>
        <v>变态</v>
      </c>
      <c r="F106" s="22">
        <f>VLOOKUP2(tbTestEnemy[WaitTime],tbTestEnemy[StageName],表14[[#This Row],[Play]]&amp;"-"&amp;表14[[#This Row],[Difficulty]],tbTestEnemy[Wave],表14[[#This Row],[Wave]])</f>
        <v>0</v>
      </c>
    </row>
    <row r="107" spans="2:6" x14ac:dyDescent="0.3">
      <c r="B107" s="31" t="s">
        <v>973</v>
      </c>
      <c r="C107" s="31" t="s">
        <v>974</v>
      </c>
      <c r="D107" s="31">
        <v>1</v>
      </c>
      <c r="E107" s="31" t="str">
        <f>VLOOKUP2(tbTestEnemy[Difficulty],tbTestEnemy[StageName],表14[[#This Row],[Play]]&amp;"-"&amp;表14[[#This Row],[Difficulty]],tbTestEnemy[Wave],表14[[#This Row],[Wave]])</f>
        <v>困难</v>
      </c>
      <c r="F107" s="31">
        <f>VLOOKUP2(tbTestEnemy[WaitTime],tbTestEnemy[StageName],表14[[#This Row],[Play]]&amp;"-"&amp;表14[[#This Row],[Difficulty]],tbTestEnemy[Wave],表14[[#This Row],[Wave]])</f>
        <v>0</v>
      </c>
    </row>
    <row r="108" spans="2:6" x14ac:dyDescent="0.3">
      <c r="B108" s="31" t="s">
        <v>973</v>
      </c>
      <c r="C108" s="31" t="s">
        <v>974</v>
      </c>
      <c r="D108" s="31">
        <v>2</v>
      </c>
      <c r="E108" s="31" t="str">
        <f>VLOOKUP2(tbTestEnemy[Difficulty],tbTestEnemy[StageName],表14[[#This Row],[Play]]&amp;"-"&amp;表14[[#This Row],[Difficulty]],tbTestEnemy[Wave],表14[[#This Row],[Wave]])</f>
        <v>超难</v>
      </c>
      <c r="F108" s="31">
        <f>VLOOKUP2(tbTestEnemy[WaitTime],tbTestEnemy[StageName],表14[[#This Row],[Play]]&amp;"-"&amp;表14[[#This Row],[Difficulty]],tbTestEnemy[Wave],表14[[#This Row],[Wave]])</f>
        <v>0</v>
      </c>
    </row>
    <row r="109" spans="2:6" x14ac:dyDescent="0.3">
      <c r="B109" s="31" t="s">
        <v>973</v>
      </c>
      <c r="C109" s="22" t="s">
        <v>749</v>
      </c>
      <c r="D109" s="31">
        <v>1</v>
      </c>
      <c r="E109" s="31" t="str">
        <f>VLOOKUP2(tbTestEnemy[Difficulty],tbTestEnemy[StageName],表14[[#This Row],[Play]]&amp;"-"&amp;表14[[#This Row],[Difficulty]],tbTestEnemy[Wave],表14[[#This Row],[Wave]])</f>
        <v>超难</v>
      </c>
      <c r="F109" s="31">
        <f>VLOOKUP2(tbTestEnemy[WaitTime],tbTestEnemy[StageName],表14[[#This Row],[Play]]&amp;"-"&amp;表14[[#This Row],[Difficulty]],tbTestEnemy[Wave],表14[[#This Row],[Wave]])</f>
        <v>0</v>
      </c>
    </row>
    <row r="110" spans="2:6" x14ac:dyDescent="0.3">
      <c r="B110" s="31" t="s">
        <v>973</v>
      </c>
      <c r="C110" s="22" t="s">
        <v>749</v>
      </c>
      <c r="D110" s="31">
        <v>2</v>
      </c>
      <c r="E110" s="31" t="str">
        <f>VLOOKUP2(tbTestEnemy[Difficulty],tbTestEnemy[StageName],表14[[#This Row],[Play]]&amp;"-"&amp;表14[[#This Row],[Difficulty]],tbTestEnemy[Wave],表14[[#This Row],[Wave]])</f>
        <v>超难</v>
      </c>
      <c r="F110" s="31">
        <f>VLOOKUP2(tbTestEnemy[WaitTime],tbTestEnemy[StageName],表14[[#This Row],[Play]]&amp;"-"&amp;表14[[#This Row],[Difficulty]],tbTestEnemy[Wave],表14[[#This Row],[Wave]])</f>
        <v>0</v>
      </c>
    </row>
    <row r="111" spans="2:6" x14ac:dyDescent="0.3">
      <c r="B111" s="31" t="s">
        <v>973</v>
      </c>
      <c r="C111" s="22" t="s">
        <v>667</v>
      </c>
      <c r="D111" s="31">
        <v>1</v>
      </c>
      <c r="E111" s="31" t="str">
        <f>VLOOKUP2(tbTestEnemy[Difficulty],tbTestEnemy[StageName],表14[[#This Row],[Play]]&amp;"-"&amp;表14[[#This Row],[Difficulty]],tbTestEnemy[Wave],表14[[#This Row],[Wave]])</f>
        <v>超难</v>
      </c>
      <c r="F111" s="31">
        <f>VLOOKUP2(tbTestEnemy[WaitTime],tbTestEnemy[StageName],表14[[#This Row],[Play]]&amp;"-"&amp;表14[[#This Row],[Difficulty]],tbTestEnemy[Wave],表14[[#This Row],[Wave]])</f>
        <v>0</v>
      </c>
    </row>
    <row r="112" spans="2:6" x14ac:dyDescent="0.3">
      <c r="B112" s="31" t="s">
        <v>973</v>
      </c>
      <c r="C112" s="22" t="s">
        <v>667</v>
      </c>
      <c r="D112" s="31">
        <v>2</v>
      </c>
      <c r="E112" s="31" t="str">
        <f>VLOOKUP2(tbTestEnemy[Difficulty],tbTestEnemy[StageName],表14[[#This Row],[Play]]&amp;"-"&amp;表14[[#This Row],[Difficulty]],tbTestEnemy[Wave],表14[[#This Row],[Wave]])</f>
        <v>变态</v>
      </c>
      <c r="F112" s="31">
        <f>VLOOKUP2(tbTestEnemy[WaitTime],tbTestEnemy[StageName],表14[[#This Row],[Play]]&amp;"-"&amp;表14[[#This Row],[Difficulty]],tbTestEnemy[Wave],表14[[#This Row],[Wave]])</f>
        <v>0</v>
      </c>
    </row>
    <row r="113" spans="2:6" x14ac:dyDescent="0.3">
      <c r="B113" s="31" t="s">
        <v>973</v>
      </c>
      <c r="C113" s="22" t="s">
        <v>179</v>
      </c>
      <c r="D113" s="31">
        <v>1</v>
      </c>
      <c r="E113" s="31" t="str">
        <f>VLOOKUP2(tbTestEnemy[Difficulty],tbTestEnemy[StageName],表14[[#This Row],[Play]]&amp;"-"&amp;表14[[#This Row],[Difficulty]],tbTestEnemy[Wave],表14[[#This Row],[Wave]])</f>
        <v>变态</v>
      </c>
      <c r="F113" s="31">
        <f>VLOOKUP2(tbTestEnemy[WaitTime],tbTestEnemy[StageName],表14[[#This Row],[Play]]&amp;"-"&amp;表14[[#This Row],[Difficulty]],tbTestEnemy[Wave],表14[[#This Row],[Wave]])</f>
        <v>0</v>
      </c>
    </row>
    <row r="114" spans="2:6" x14ac:dyDescent="0.3">
      <c r="B114" s="31" t="s">
        <v>973</v>
      </c>
      <c r="C114" s="22" t="s">
        <v>179</v>
      </c>
      <c r="D114" s="31">
        <v>2</v>
      </c>
      <c r="E114" s="31" t="str">
        <f>VLOOKUP2(tbTestEnemy[Difficulty],tbTestEnemy[StageName],表14[[#This Row],[Play]]&amp;"-"&amp;表14[[#This Row],[Difficulty]],tbTestEnemy[Wave],表14[[#This Row],[Wave]])</f>
        <v>变态</v>
      </c>
      <c r="F114" s="31">
        <f>VLOOKUP2(tbTestEnemy[WaitTime],tbTestEnemy[StageName],表14[[#This Row],[Play]]&amp;"-"&amp;表14[[#This Row],[Difficulty]],tbTestEnemy[Wave],表14[[#This Row],[Wave]])</f>
        <v>0</v>
      </c>
    </row>
  </sheetData>
  <dataConsolidate/>
  <phoneticPr fontId="2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15</vt:i4>
      </vt:variant>
    </vt:vector>
  </HeadingPairs>
  <TitlesOfParts>
    <vt:vector size="21" baseType="lpstr">
      <vt:lpstr>group</vt:lpstr>
      <vt:lpstr>group_output</vt:lpstr>
      <vt:lpstr>test</vt:lpstr>
      <vt:lpstr>units</vt:lpstr>
      <vt:lpstr>cfg</vt:lpstr>
      <vt:lpstr>play</vt:lpstr>
      <vt:lpstr>test!Formations</vt:lpstr>
      <vt:lpstr>Formations</vt:lpstr>
      <vt:lpstr>GroupInputJsonPath</vt:lpstr>
      <vt:lpstr>GroupOutputJsonPath</vt:lpstr>
      <vt:lpstr>test!HeroShortNames</vt:lpstr>
      <vt:lpstr>HeroShortNames</vt:lpstr>
      <vt:lpstr>Plays</vt:lpstr>
      <vt:lpstr>test!SoldierNames</vt:lpstr>
      <vt:lpstr>SoldierNames</vt:lpstr>
      <vt:lpstr>test!SoldierShortNames</vt:lpstr>
      <vt:lpstr>SoldierShortNames</vt:lpstr>
      <vt:lpstr>StageDifficultyPath</vt:lpstr>
      <vt:lpstr>StageEnemyPath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2017-01-07T10:22:04Z</dcterms:modified>
</cp:coreProperties>
</file>