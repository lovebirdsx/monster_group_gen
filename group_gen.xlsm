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11.xml" ContentType="application/vnd.ms-excel.controlproperties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_project\monster_group_gen\"/>
    </mc:Choice>
  </mc:AlternateContent>
  <bookViews>
    <workbookView xWindow="240" yWindow="105" windowWidth="14805" windowHeight="8010" activeTab="3"/>
  </bookViews>
  <sheets>
    <sheet name="group" sheetId="8" r:id="rId1"/>
    <sheet name="story" sheetId="13" r:id="rId2"/>
    <sheet name="hero" sheetId="15" r:id="rId3"/>
    <sheet name="seal" sheetId="21" r:id="rId4"/>
    <sheet name="hero_elite" sheetId="16" r:id="rId5"/>
    <sheet name="test" sheetId="17" r:id="rId6"/>
    <sheet name="group_output" sheetId="11" r:id="rId7"/>
    <sheet name="units" sheetId="12" r:id="rId8"/>
    <sheet name="cfg" sheetId="9" r:id="rId9"/>
    <sheet name="play" sheetId="20" r:id="rId10"/>
  </sheets>
  <functionGroups builtInGroupCount="18"/>
  <definedNames>
    <definedName name="Formations" localSheetId="3">表7[Formation]</definedName>
    <definedName name="Formations" localSheetId="5">表7[Formation]</definedName>
    <definedName name="Formations">表7[Formation]</definedName>
    <definedName name="GroupInputJsonPath">cfg!$K$5</definedName>
    <definedName name="GroupOutputJsonPath">cfg!$K$6</definedName>
    <definedName name="HeroShortNames" localSheetId="3">表2[HeroIndex]</definedName>
    <definedName name="HeroShortNames" localSheetId="5">表2[HeroIndex]</definedName>
    <definedName name="HeroShortNames">表2[HeroIndex]</definedName>
    <definedName name="SoldierNames" localSheetId="3">表8[Soldier]</definedName>
    <definedName name="SoldierNames" localSheetId="5">表8[Soldier]</definedName>
    <definedName name="SoldierNames">表8[Soldier]</definedName>
    <definedName name="SoldierShortNames" localSheetId="3">表3[SoldierIndex]</definedName>
    <definedName name="SoldierShortNames" localSheetId="5">表3[SoldierIndex]</definedName>
    <definedName name="SoldierShortNames">表3[SoldierIndex]</definedName>
    <definedName name="StageDifficultyPath">cfg!$K$8</definedName>
    <definedName name="StageEnemyPath">cfg!$K$7</definedName>
    <definedName name="UnitNames" localSheetId="3">tbUnitNameToType[Name]</definedName>
    <definedName name="UnitNames" localSheetId="5">tbUnitNameToType[Name]</definedName>
    <definedName name="UnitNames">tbUnitNameToType[Name]</definedName>
  </definedNames>
  <calcPr calcId="152511" refMode="R1C1"/>
</workbook>
</file>

<file path=xl/calcChain.xml><?xml version="1.0" encoding="utf-8"?>
<calcChain xmlns="http://schemas.openxmlformats.org/spreadsheetml/2006/main">
  <c r="D174" i="12" l="1"/>
  <c r="D175" i="12"/>
  <c r="D176" i="12"/>
  <c r="D177" i="12"/>
  <c r="D178" i="12"/>
  <c r="D179" i="12"/>
  <c r="O9" i="21"/>
  <c r="N36" i="8"/>
  <c r="P36" i="8"/>
  <c r="D4" i="12" l="1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W13" i="13" s="1"/>
  <c r="D156" i="12"/>
  <c r="D157" i="12"/>
  <c r="D158" i="12"/>
  <c r="D159" i="12"/>
  <c r="D160" i="12"/>
  <c r="D161" i="12"/>
  <c r="D162" i="12"/>
  <c r="D163" i="12"/>
  <c r="D164" i="12"/>
  <c r="D165" i="12"/>
  <c r="W12" i="13" s="1"/>
  <c r="D166" i="12"/>
  <c r="D167" i="12"/>
  <c r="D168" i="12"/>
  <c r="D169" i="12"/>
  <c r="D170" i="12"/>
  <c r="D171" i="12"/>
  <c r="D172" i="12"/>
  <c r="D173" i="12"/>
  <c r="D3" i="12"/>
  <c r="O47" i="21"/>
  <c r="O31" i="21"/>
  <c r="N110" i="17"/>
  <c r="N111" i="17"/>
  <c r="N108" i="17"/>
  <c r="R126" i="17"/>
  <c r="R99" i="17"/>
  <c r="N98" i="17"/>
  <c r="N99" i="17"/>
  <c r="N96" i="17"/>
  <c r="R102" i="17"/>
  <c r="R106" i="17"/>
  <c r="R109" i="17"/>
  <c r="N117" i="17"/>
  <c r="N121" i="17"/>
  <c r="N125" i="17"/>
  <c r="R113" i="17"/>
  <c r="R124" i="17"/>
  <c r="N138" i="17"/>
  <c r="N139" i="17"/>
  <c r="N136" i="17"/>
  <c r="R123" i="17"/>
  <c r="R100" i="17"/>
  <c r="R91" i="17"/>
  <c r="R86" i="17"/>
  <c r="R88" i="17"/>
  <c r="N82" i="17"/>
  <c r="R83" i="17"/>
  <c r="N74" i="17"/>
  <c r="N73" i="17"/>
  <c r="R81" i="17"/>
  <c r="N80" i="17"/>
  <c r="N77" i="17"/>
  <c r="R93" i="17"/>
  <c r="N88" i="17"/>
  <c r="N83" i="17"/>
  <c r="N81" i="17"/>
  <c r="R77" i="17"/>
  <c r="S67" i="21"/>
  <c r="S31" i="21"/>
  <c r="N126" i="17"/>
  <c r="N127" i="17"/>
  <c r="N124" i="17"/>
  <c r="R96" i="17"/>
  <c r="R103" i="17"/>
  <c r="N114" i="17"/>
  <c r="N115" i="17"/>
  <c r="N112" i="17"/>
  <c r="R95" i="17"/>
  <c r="R107" i="17"/>
  <c r="N102" i="17"/>
  <c r="N103" i="17"/>
  <c r="N100" i="17"/>
  <c r="R110" i="17"/>
  <c r="R114" i="17"/>
  <c r="R117" i="17"/>
  <c r="N129" i="17"/>
  <c r="N133" i="17"/>
  <c r="N137" i="17"/>
  <c r="R125" i="17"/>
  <c r="R85" i="17"/>
  <c r="R75" i="17"/>
  <c r="S32" i="21"/>
  <c r="O30" i="21"/>
  <c r="O32" i="21"/>
  <c r="O67" i="21"/>
  <c r="S47" i="21"/>
  <c r="N90" i="17"/>
  <c r="N93" i="17"/>
  <c r="N97" i="17"/>
  <c r="N101" i="17"/>
  <c r="R97" i="17"/>
  <c r="R108" i="17"/>
  <c r="N130" i="17"/>
  <c r="N131" i="17"/>
  <c r="N128" i="17"/>
  <c r="R104" i="17"/>
  <c r="R119" i="17"/>
  <c r="N118" i="17"/>
  <c r="N119" i="17"/>
  <c r="N116" i="17"/>
  <c r="R111" i="17"/>
  <c r="R115" i="17"/>
  <c r="N106" i="17"/>
  <c r="N107" i="17"/>
  <c r="N104" i="17"/>
  <c r="R120" i="17"/>
  <c r="R118" i="17"/>
  <c r="R127" i="17"/>
  <c r="R76" i="17"/>
  <c r="R87" i="17"/>
  <c r="R90" i="17"/>
  <c r="N85" i="17"/>
  <c r="N84" i="17"/>
  <c r="R74" i="17"/>
  <c r="R72" i="17"/>
  <c r="N79" i="17"/>
  <c r="R78" i="17"/>
  <c r="S30" i="21"/>
  <c r="N94" i="17"/>
  <c r="N95" i="17"/>
  <c r="N92" i="17"/>
  <c r="R94" i="17"/>
  <c r="R98" i="17"/>
  <c r="R101" i="17"/>
  <c r="N105" i="17"/>
  <c r="N109" i="17"/>
  <c r="N113" i="17"/>
  <c r="R105" i="17"/>
  <c r="R116" i="17"/>
  <c r="N134" i="17"/>
  <c r="N135" i="17"/>
  <c r="N132" i="17"/>
  <c r="R112" i="17"/>
  <c r="R92" i="17"/>
  <c r="N122" i="17"/>
  <c r="N123" i="17"/>
  <c r="N120" i="17"/>
  <c r="R121" i="17"/>
  <c r="R122" i="17"/>
  <c r="N91" i="17"/>
  <c r="N86" i="17"/>
  <c r="N87" i="17"/>
  <c r="N89" i="17"/>
  <c r="R82" i="17"/>
  <c r="R84" i="17"/>
  <c r="R73" i="17"/>
  <c r="N72" i="17"/>
  <c r="R79" i="17"/>
  <c r="N78" i="17"/>
  <c r="N76" i="17"/>
  <c r="R89" i="17"/>
  <c r="N75" i="17"/>
  <c r="R80" i="17"/>
  <c r="R7" i="17"/>
  <c r="N12" i="17"/>
  <c r="N10" i="17"/>
  <c r="N7" i="17"/>
  <c r="R27" i="17"/>
  <c r="O5" i="13"/>
  <c r="R12" i="17"/>
  <c r="R26" i="17"/>
  <c r="N8" i="17"/>
  <c r="R8" i="17"/>
  <c r="N6" i="17"/>
  <c r="R11" i="17"/>
  <c r="N9" i="17"/>
  <c r="R5" i="17"/>
  <c r="N11" i="17"/>
  <c r="N5" i="17"/>
  <c r="N26" i="17"/>
  <c r="N27" i="17"/>
  <c r="R9" i="17"/>
  <c r="O6" i="13"/>
  <c r="R6" i="17"/>
  <c r="R10" i="17"/>
  <c r="S66" i="21"/>
  <c r="O66" i="21"/>
  <c r="O65" i="21"/>
  <c r="S65" i="21"/>
  <c r="S62" i="21"/>
  <c r="O62" i="21"/>
  <c r="S61" i="21"/>
  <c r="O61" i="21"/>
  <c r="O60" i="21"/>
  <c r="O57" i="21"/>
  <c r="S57" i="21"/>
  <c r="O56" i="21"/>
  <c r="S56" i="21"/>
  <c r="O55" i="21"/>
  <c r="S55" i="21"/>
  <c r="O52" i="21"/>
  <c r="S52" i="21"/>
  <c r="S51" i="21"/>
  <c r="O51" i="21"/>
  <c r="O50" i="21"/>
  <c r="S50" i="21"/>
  <c r="S46" i="21"/>
  <c r="O46" i="21"/>
  <c r="O45" i="21"/>
  <c r="S45" i="21"/>
  <c r="S42" i="21"/>
  <c r="O42" i="21"/>
  <c r="S41" i="21"/>
  <c r="O41" i="21"/>
  <c r="S40" i="21"/>
  <c r="O40" i="21"/>
  <c r="S37" i="21"/>
  <c r="O37" i="21"/>
  <c r="S36" i="21"/>
  <c r="O36" i="21"/>
  <c r="O35" i="21"/>
  <c r="S35" i="21"/>
  <c r="O16" i="21"/>
  <c r="S16" i="21"/>
  <c r="O27" i="21"/>
  <c r="S27" i="21"/>
  <c r="S26" i="21"/>
  <c r="O26" i="21"/>
  <c r="S25" i="21"/>
  <c r="O25" i="21"/>
  <c r="S22" i="21"/>
  <c r="O22" i="21"/>
  <c r="S21" i="21"/>
  <c r="O21" i="21"/>
  <c r="S20" i="21"/>
  <c r="O20" i="21"/>
  <c r="O17" i="21"/>
  <c r="S17" i="21"/>
  <c r="O15" i="21"/>
  <c r="S15" i="21"/>
  <c r="S11" i="21"/>
  <c r="O11" i="21"/>
  <c r="O68" i="21"/>
  <c r="O63" i="21"/>
  <c r="S63" i="21"/>
  <c r="O58" i="21"/>
  <c r="S58" i="21"/>
  <c r="S53" i="21"/>
  <c r="O53" i="21"/>
  <c r="S48" i="21"/>
  <c r="O48" i="21"/>
  <c r="S43" i="21"/>
  <c r="O43" i="21"/>
  <c r="O38" i="21"/>
  <c r="S38" i="21"/>
  <c r="O33" i="21"/>
  <c r="S33" i="21"/>
  <c r="S28" i="21"/>
  <c r="O28" i="21"/>
  <c r="O18" i="21"/>
  <c r="S18" i="21"/>
  <c r="S12" i="21"/>
  <c r="O12" i="21"/>
  <c r="S10" i="21"/>
  <c r="O10" i="21"/>
  <c r="P92" i="8"/>
  <c r="P26" i="8"/>
  <c r="N24" i="8"/>
  <c r="P14" i="8"/>
  <c r="N23" i="8"/>
  <c r="N26" i="8"/>
  <c r="N14" i="8"/>
  <c r="P24" i="8"/>
  <c r="P23" i="8"/>
  <c r="N92" i="8"/>
  <c r="S8" i="21"/>
  <c r="O8" i="21"/>
  <c r="S7" i="21"/>
  <c r="S6" i="21"/>
  <c r="O6" i="21"/>
  <c r="O7" i="21"/>
  <c r="O5" i="21"/>
  <c r="S5" i="21"/>
  <c r="S69" i="21"/>
  <c r="O69" i="21"/>
  <c r="S64" i="21"/>
  <c r="O64" i="21"/>
  <c r="O59" i="21"/>
  <c r="S59" i="21"/>
  <c r="O54" i="21"/>
  <c r="S54" i="21"/>
  <c r="S49" i="21"/>
  <c r="O49" i="21"/>
  <c r="S44" i="21"/>
  <c r="O44" i="21"/>
  <c r="S39" i="21"/>
  <c r="O39" i="21"/>
  <c r="O34" i="21"/>
  <c r="S34" i="21"/>
  <c r="S29" i="21"/>
  <c r="O29" i="21"/>
  <c r="S23" i="21"/>
  <c r="O23" i="21"/>
  <c r="O13" i="21"/>
  <c r="S13" i="21"/>
  <c r="S24" i="21"/>
  <c r="O24" i="21"/>
  <c r="O19" i="21"/>
  <c r="S19" i="21"/>
  <c r="O14" i="21"/>
  <c r="S14" i="21"/>
  <c r="S9" i="21"/>
  <c r="W11" i="13" l="1"/>
  <c r="W10" i="13"/>
  <c r="D2" i="8" l="1"/>
  <c r="S66" i="16"/>
  <c r="S7" i="16"/>
  <c r="O27" i="16"/>
  <c r="O116" i="16"/>
  <c r="O131" i="16"/>
  <c r="O133" i="16"/>
  <c r="S40" i="16"/>
  <c r="S126" i="16"/>
  <c r="O18" i="16"/>
  <c r="S129" i="16"/>
  <c r="S120" i="16"/>
  <c r="S51" i="16"/>
  <c r="S153" i="16"/>
  <c r="S92" i="16"/>
  <c r="O68" i="16"/>
  <c r="O77" i="16"/>
  <c r="O38" i="16"/>
  <c r="S55" i="16"/>
  <c r="O65" i="16"/>
  <c r="S85" i="16"/>
  <c r="O129" i="16"/>
  <c r="S133" i="16"/>
  <c r="O43" i="16"/>
  <c r="O115" i="16"/>
  <c r="S145" i="16"/>
  <c r="O26" i="16"/>
  <c r="O6" i="16"/>
  <c r="S41" i="16"/>
  <c r="O142" i="16"/>
  <c r="O30" i="16"/>
  <c r="O107" i="16"/>
  <c r="O42" i="16"/>
  <c r="O121" i="16"/>
  <c r="S107" i="16"/>
  <c r="S150" i="16"/>
  <c r="S130" i="16"/>
  <c r="S116" i="16"/>
  <c r="O93" i="16"/>
  <c r="O17" i="16"/>
  <c r="O21" i="16"/>
  <c r="S110" i="16"/>
  <c r="O165" i="16"/>
  <c r="O73" i="16"/>
  <c r="O150" i="16"/>
  <c r="S61" i="16"/>
  <c r="S94" i="16"/>
  <c r="S140" i="16"/>
  <c r="S38" i="16"/>
  <c r="S152" i="16"/>
  <c r="O136" i="16"/>
  <c r="O92" i="16"/>
  <c r="O33" i="16"/>
  <c r="S24" i="16"/>
  <c r="S165" i="16"/>
  <c r="S89" i="16"/>
  <c r="S95" i="16"/>
  <c r="S8" i="16"/>
  <c r="O20" i="16"/>
  <c r="O31" i="16"/>
  <c r="O91" i="16"/>
  <c r="S39" i="16"/>
  <c r="S73" i="16"/>
  <c r="S20" i="16"/>
  <c r="S82" i="16"/>
  <c r="O13" i="16"/>
  <c r="S42" i="16"/>
  <c r="S88" i="16"/>
  <c r="O117" i="16"/>
  <c r="S37" i="16"/>
  <c r="O57" i="16"/>
  <c r="O76" i="16"/>
  <c r="O98" i="16"/>
  <c r="S63" i="16"/>
  <c r="S83" i="16"/>
  <c r="S12" i="16"/>
  <c r="O97" i="16"/>
  <c r="S144" i="16"/>
  <c r="S159" i="16"/>
  <c r="S23" i="16"/>
  <c r="S48" i="16"/>
  <c r="O69" i="16"/>
  <c r="S90" i="16"/>
  <c r="S47" i="16"/>
  <c r="S71" i="16"/>
  <c r="S93" i="16"/>
  <c r="S155" i="16"/>
  <c r="O81" i="16"/>
  <c r="S49" i="16"/>
  <c r="O47" i="16"/>
  <c r="S72" i="16"/>
  <c r="O113" i="16"/>
  <c r="O118" i="16"/>
  <c r="S36" i="16"/>
  <c r="S121" i="16"/>
  <c r="S156" i="16"/>
  <c r="O16" i="16"/>
  <c r="S50" i="16"/>
  <c r="S104" i="16"/>
  <c r="O122" i="16"/>
  <c r="S123" i="16"/>
  <c r="O161" i="16"/>
  <c r="O149" i="16"/>
  <c r="O106" i="16"/>
  <c r="S106" i="16"/>
  <c r="O44" i="16"/>
  <c r="O134" i="16"/>
  <c r="O37" i="16"/>
  <c r="O156" i="16"/>
  <c r="O41" i="16"/>
  <c r="S148" i="16"/>
  <c r="O137" i="16"/>
  <c r="O66" i="16"/>
  <c r="S76" i="16"/>
  <c r="S62" i="16"/>
  <c r="O8" i="16"/>
  <c r="O19" i="16"/>
  <c r="O56" i="16"/>
  <c r="O35" i="16"/>
  <c r="O90" i="16"/>
  <c r="S105" i="16"/>
  <c r="O9" i="16"/>
  <c r="O7" i="16"/>
  <c r="S118" i="16"/>
  <c r="O28" i="16"/>
  <c r="S22" i="16"/>
  <c r="O119" i="16"/>
  <c r="S109" i="16"/>
  <c r="S10" i="16"/>
  <c r="S160" i="16"/>
  <c r="O132" i="16"/>
  <c r="O5" i="16"/>
  <c r="S136" i="16"/>
  <c r="O101" i="16"/>
  <c r="S80" i="16"/>
  <c r="S79" i="16"/>
  <c r="O109" i="16"/>
  <c r="O140" i="16"/>
  <c r="S59" i="16"/>
  <c r="S23" i="15"/>
  <c r="O42" i="15"/>
  <c r="S82" i="15"/>
  <c r="O9" i="15"/>
  <c r="S120" i="15"/>
  <c r="O34" i="15"/>
  <c r="O36" i="16"/>
  <c r="S20" i="15"/>
  <c r="S325" i="15"/>
  <c r="S362" i="15"/>
  <c r="S46" i="15"/>
  <c r="S286" i="15"/>
  <c r="O292" i="15"/>
  <c r="O340" i="15"/>
  <c r="O25" i="16"/>
  <c r="S53" i="15"/>
  <c r="S296" i="15"/>
  <c r="S109" i="15"/>
  <c r="S95" i="15"/>
  <c r="S71" i="15"/>
  <c r="S99" i="15"/>
  <c r="S45" i="16"/>
  <c r="S307" i="15"/>
  <c r="O63" i="16"/>
  <c r="O34" i="16"/>
  <c r="O70" i="16"/>
  <c r="O50" i="16"/>
  <c r="S124" i="16"/>
  <c r="O104" i="16"/>
  <c r="S14" i="16"/>
  <c r="S52" i="16"/>
  <c r="S385" i="15"/>
  <c r="O370" i="15"/>
  <c r="S103" i="15"/>
  <c r="O56" i="15"/>
  <c r="S257" i="15"/>
  <c r="S116" i="15"/>
  <c r="O160" i="16"/>
  <c r="S118" i="15"/>
  <c r="S177" i="15"/>
  <c r="S170" i="15"/>
  <c r="S12" i="15"/>
  <c r="S349" i="15"/>
  <c r="O324" i="15"/>
  <c r="O232" i="15"/>
  <c r="S100" i="16"/>
  <c r="S201" i="15"/>
  <c r="S322" i="15"/>
  <c r="S132" i="15"/>
  <c r="O338" i="15"/>
  <c r="S310" i="15"/>
  <c r="S238" i="15"/>
  <c r="O120" i="16"/>
  <c r="S336" i="15"/>
  <c r="O143" i="16"/>
  <c r="O15" i="16"/>
  <c r="S98" i="16"/>
  <c r="O159" i="16"/>
  <c r="S11" i="16"/>
  <c r="S13" i="16"/>
  <c r="S115" i="16"/>
  <c r="S141" i="16"/>
  <c r="S73" i="15"/>
  <c r="S306" i="15"/>
  <c r="S299" i="15"/>
  <c r="S327" i="15"/>
  <c r="O79" i="15"/>
  <c r="S271" i="15"/>
  <c r="S58" i="16"/>
  <c r="S334" i="15"/>
  <c r="S342" i="15"/>
  <c r="O89" i="16"/>
  <c r="S146" i="16"/>
  <c r="S15" i="16"/>
  <c r="O64" i="16"/>
  <c r="O60" i="16"/>
  <c r="O139" i="16"/>
  <c r="S64" i="16"/>
  <c r="S137" i="16"/>
  <c r="S60" i="16"/>
  <c r="S111" i="16"/>
  <c r="S44" i="16"/>
  <c r="S134" i="16"/>
  <c r="S114" i="16"/>
  <c r="O123" i="16"/>
  <c r="S131" i="16"/>
  <c r="S84" i="16"/>
  <c r="O58" i="16"/>
  <c r="O157" i="16"/>
  <c r="S122" i="15"/>
  <c r="S223" i="15"/>
  <c r="S381" i="15"/>
  <c r="S205" i="15"/>
  <c r="S226" i="15"/>
  <c r="S218" i="15"/>
  <c r="S119" i="16"/>
  <c r="S161" i="15"/>
  <c r="O290" i="15"/>
  <c r="S70" i="15"/>
  <c r="O328" i="15"/>
  <c r="S168" i="15"/>
  <c r="O88" i="15"/>
  <c r="O115" i="15"/>
  <c r="S53" i="16"/>
  <c r="S244" i="15"/>
  <c r="S190" i="15"/>
  <c r="S289" i="15"/>
  <c r="S94" i="15"/>
  <c r="S60" i="15"/>
  <c r="O287" i="15"/>
  <c r="O135" i="16"/>
  <c r="S129" i="15"/>
  <c r="S97" i="16"/>
  <c r="O59" i="16"/>
  <c r="S163" i="16"/>
  <c r="O145" i="16"/>
  <c r="S147" i="16"/>
  <c r="S99" i="16"/>
  <c r="O88" i="16"/>
  <c r="O53" i="16"/>
  <c r="S350" i="15"/>
  <c r="S274" i="15"/>
  <c r="S110" i="15"/>
  <c r="S108" i="15"/>
  <c r="S214" i="15"/>
  <c r="S66" i="15"/>
  <c r="S21" i="16"/>
  <c r="S375" i="15"/>
  <c r="S202" i="15"/>
  <c r="S263" i="15"/>
  <c r="O296" i="15"/>
  <c r="S29" i="15"/>
  <c r="O318" i="15"/>
  <c r="O310" i="15"/>
  <c r="S28" i="16"/>
  <c r="S308" i="15"/>
  <c r="O50" i="15"/>
  <c r="S251" i="15"/>
  <c r="O41" i="15"/>
  <c r="S151" i="15"/>
  <c r="O283" i="15"/>
  <c r="O54" i="16"/>
  <c r="S275" i="15"/>
  <c r="S75" i="16"/>
  <c r="S87" i="16"/>
  <c r="O32" i="16"/>
  <c r="S33" i="16"/>
  <c r="O39" i="16"/>
  <c r="S117" i="16"/>
  <c r="S203" i="15"/>
  <c r="S156" i="15"/>
  <c r="S83" i="15"/>
  <c r="S209" i="15"/>
  <c r="S135" i="15"/>
  <c r="S318" i="15"/>
  <c r="O386" i="15"/>
  <c r="O75" i="16"/>
  <c r="S117" i="15"/>
  <c r="O171" i="15"/>
  <c r="S329" i="15"/>
  <c r="O82" i="16"/>
  <c r="S69" i="16"/>
  <c r="O11" i="16"/>
  <c r="O151" i="16"/>
  <c r="S113" i="16"/>
  <c r="O95" i="16"/>
  <c r="S122" i="16"/>
  <c r="S135" i="16"/>
  <c r="O83" i="16"/>
  <c r="O51" i="16"/>
  <c r="O52" i="16"/>
  <c r="S112" i="16"/>
  <c r="O148" i="16"/>
  <c r="S128" i="16"/>
  <c r="S25" i="16"/>
  <c r="S29" i="16"/>
  <c r="S115" i="15"/>
  <c r="S192" i="15"/>
  <c r="S363" i="15"/>
  <c r="S252" i="15"/>
  <c r="S34" i="15"/>
  <c r="O213" i="15"/>
  <c r="O244" i="15"/>
  <c r="O130" i="16"/>
  <c r="S210" i="15"/>
  <c r="S136" i="15"/>
  <c r="S332" i="15"/>
  <c r="S140" i="15"/>
  <c r="S49" i="15"/>
  <c r="S260" i="15"/>
  <c r="S102" i="16"/>
  <c r="O146" i="16"/>
  <c r="S357" i="15"/>
  <c r="S262" i="15"/>
  <c r="S164" i="15"/>
  <c r="S158" i="15"/>
  <c r="S270" i="15"/>
  <c r="O72" i="16"/>
  <c r="S133" i="15"/>
  <c r="O14" i="16"/>
  <c r="S139" i="16"/>
  <c r="O87" i="16"/>
  <c r="O40" i="16"/>
  <c r="O55" i="16"/>
  <c r="S35" i="16"/>
  <c r="S285" i="15"/>
  <c r="O294" i="15"/>
  <c r="S78" i="15"/>
  <c r="O236" i="15"/>
  <c r="S27" i="15"/>
  <c r="O60" i="15"/>
  <c r="S103" i="16"/>
  <c r="O124" i="16"/>
  <c r="S9" i="15"/>
  <c r="S256" i="15"/>
  <c r="S172" i="15"/>
  <c r="S185" i="15"/>
  <c r="S19" i="15"/>
  <c r="S40" i="15"/>
  <c r="O29" i="16"/>
  <c r="S74" i="16"/>
  <c r="S88" i="15"/>
  <c r="S15" i="15"/>
  <c r="S57" i="15"/>
  <c r="S123" i="15"/>
  <c r="S273" i="15"/>
  <c r="O144" i="16"/>
  <c r="S267" i="15"/>
  <c r="S19" i="16"/>
  <c r="S46" i="16"/>
  <c r="S162" i="16"/>
  <c r="S101" i="16"/>
  <c r="S81" i="16"/>
  <c r="O62" i="16"/>
  <c r="O108" i="16"/>
  <c r="S344" i="15"/>
  <c r="O327" i="15"/>
  <c r="S11" i="15"/>
  <c r="S31" i="15"/>
  <c r="S138" i="15"/>
  <c r="S142" i="15"/>
  <c r="S151" i="16"/>
  <c r="S38" i="15"/>
  <c r="S370" i="15"/>
  <c r="S65" i="15"/>
  <c r="O177" i="15"/>
  <c r="S200" i="15"/>
  <c r="S254" i="15"/>
  <c r="O36" i="15"/>
  <c r="O24" i="16"/>
  <c r="S26" i="15"/>
  <c r="S208" i="15"/>
  <c r="S326" i="15"/>
  <c r="O311" i="15"/>
  <c r="S181" i="15"/>
  <c r="S366" i="15"/>
  <c r="S166" i="16"/>
  <c r="O166" i="16"/>
  <c r="S34" i="16"/>
  <c r="O79" i="16"/>
  <c r="S96" i="15"/>
  <c r="O206" i="15"/>
  <c r="S338" i="15"/>
  <c r="O186" i="15"/>
  <c r="S371" i="15"/>
  <c r="O152" i="16"/>
  <c r="O22" i="16"/>
  <c r="S298" i="15"/>
  <c r="O57" i="15"/>
  <c r="S44" i="15"/>
  <c r="O353" i="15"/>
  <c r="S184" i="15"/>
  <c r="O85" i="16"/>
  <c r="S70" i="16"/>
  <c r="S372" i="15"/>
  <c r="O153" i="16"/>
  <c r="S243" i="15"/>
  <c r="S171" i="15"/>
  <c r="O200" i="15"/>
  <c r="O10" i="15"/>
  <c r="S175" i="15"/>
  <c r="O104" i="15"/>
  <c r="S163" i="15"/>
  <c r="S321" i="15"/>
  <c r="O106" i="15"/>
  <c r="O84" i="16"/>
  <c r="S249" i="15"/>
  <c r="S157" i="16"/>
  <c r="S108" i="16"/>
  <c r="O103" i="16"/>
  <c r="O155" i="16"/>
  <c r="O48" i="16"/>
  <c r="S164" i="16"/>
  <c r="S50" i="15"/>
  <c r="S89" i="15"/>
  <c r="S283" i="15"/>
  <c r="O201" i="15"/>
  <c r="S51" i="15"/>
  <c r="O237" i="15"/>
  <c r="O120" i="15"/>
  <c r="O371" i="15"/>
  <c r="O137" i="15"/>
  <c r="O281" i="15"/>
  <c r="S8" i="15"/>
  <c r="O299" i="15"/>
  <c r="S315" i="15"/>
  <c r="O253" i="15"/>
  <c r="O367" i="15"/>
  <c r="O140" i="15"/>
  <c r="O53" i="15"/>
  <c r="O214" i="15"/>
  <c r="O76" i="15"/>
  <c r="O47" i="15"/>
  <c r="O23" i="15"/>
  <c r="S573" i="13"/>
  <c r="S32" i="13"/>
  <c r="S594" i="13"/>
  <c r="S283" i="13"/>
  <c r="S341" i="13"/>
  <c r="S187" i="13"/>
  <c r="S376" i="13"/>
  <c r="S191" i="13"/>
  <c r="O271" i="13"/>
  <c r="O211" i="13"/>
  <c r="O351" i="15"/>
  <c r="O366" i="15"/>
  <c r="O54" i="15"/>
  <c r="O43" i="15"/>
  <c r="O276" i="15"/>
  <c r="S166" i="15"/>
  <c r="O208" i="15"/>
  <c r="S311" i="15"/>
  <c r="S193" i="15"/>
  <c r="S18" i="16"/>
  <c r="S323" i="15"/>
  <c r="S352" i="15"/>
  <c r="O37" i="15"/>
  <c r="S230" i="15"/>
  <c r="O359" i="15"/>
  <c r="O260" i="15"/>
  <c r="O375" i="15"/>
  <c r="O25" i="15"/>
  <c r="O59" i="15"/>
  <c r="O312" i="15"/>
  <c r="O285" i="15"/>
  <c r="O346" i="15"/>
  <c r="S309" i="13"/>
  <c r="S297" i="13"/>
  <c r="S93" i="13"/>
  <c r="S188" i="13"/>
  <c r="S397" i="13"/>
  <c r="S83" i="13"/>
  <c r="S418" i="13"/>
  <c r="S584" i="13"/>
  <c r="O213" i="13"/>
  <c r="O356" i="13"/>
  <c r="O163" i="15"/>
  <c r="O145" i="15"/>
  <c r="O12" i="16"/>
  <c r="S191" i="15"/>
  <c r="S68" i="16"/>
  <c r="S206" i="15"/>
  <c r="S112" i="15"/>
  <c r="O363" i="15"/>
  <c r="S377" i="15"/>
  <c r="S87" i="15"/>
  <c r="S331" i="15"/>
  <c r="S241" i="15"/>
  <c r="O315" i="15"/>
  <c r="S58" i="15"/>
  <c r="O39" i="15"/>
  <c r="S204" i="15"/>
  <c r="O103" i="15"/>
  <c r="O68" i="15"/>
  <c r="S195" i="13"/>
  <c r="S97" i="13"/>
  <c r="S320" i="13"/>
  <c r="S486" i="13"/>
  <c r="S39" i="13"/>
  <c r="S247" i="13"/>
  <c r="S314" i="13"/>
  <c r="S489" i="13"/>
  <c r="O331" i="13"/>
  <c r="S37" i="13"/>
  <c r="O384" i="13"/>
  <c r="S282" i="15"/>
  <c r="O169" i="15"/>
  <c r="S160" i="15"/>
  <c r="O180" i="15"/>
  <c r="S54" i="15"/>
  <c r="S280" i="15"/>
  <c r="S152" i="15"/>
  <c r="S37" i="15"/>
  <c r="O126" i="16"/>
  <c r="O61" i="16"/>
  <c r="S364" i="15"/>
  <c r="O158" i="16"/>
  <c r="O38" i="15"/>
  <c r="O162" i="16"/>
  <c r="S258" i="15"/>
  <c r="S106" i="15"/>
  <c r="O141" i="16"/>
  <c r="S17" i="16"/>
  <c r="S124" i="15"/>
  <c r="O154" i="16"/>
  <c r="S155" i="15"/>
  <c r="O138" i="16"/>
  <c r="S221" i="15"/>
  <c r="S154" i="16"/>
  <c r="O111" i="16"/>
  <c r="O170" i="15"/>
  <c r="O128" i="16"/>
  <c r="S216" i="15"/>
  <c r="S63" i="15"/>
  <c r="S22" i="15"/>
  <c r="O164" i="16"/>
  <c r="S81" i="15"/>
  <c r="O138" i="15"/>
  <c r="S215" i="15"/>
  <c r="S220" i="15"/>
  <c r="S96" i="16"/>
  <c r="S180" i="15"/>
  <c r="S127" i="16"/>
  <c r="S9" i="16"/>
  <c r="S78" i="16"/>
  <c r="S158" i="16"/>
  <c r="O49" i="16"/>
  <c r="O80" i="16"/>
  <c r="O94" i="16"/>
  <c r="S261" i="15"/>
  <c r="O284" i="15"/>
  <c r="S28" i="15"/>
  <c r="O154" i="15"/>
  <c r="O368" i="15"/>
  <c r="S278" i="15"/>
  <c r="O207" i="15"/>
  <c r="S347" i="15"/>
  <c r="S56" i="16"/>
  <c r="O153" i="15"/>
  <c r="S91" i="15"/>
  <c r="O251" i="15"/>
  <c r="S284" i="15"/>
  <c r="O280" i="15"/>
  <c r="O210" i="15"/>
  <c r="O158" i="15"/>
  <c r="O160" i="15"/>
  <c r="S69" i="15"/>
  <c r="S131" i="15"/>
  <c r="O195" i="15"/>
  <c r="S128" i="13"/>
  <c r="S85" i="13"/>
  <c r="S392" i="13"/>
  <c r="S157" i="13"/>
  <c r="S92" i="13"/>
  <c r="S132" i="13"/>
  <c r="S47" i="13"/>
  <c r="S432" i="13"/>
  <c r="O119" i="13"/>
  <c r="O299" i="13"/>
  <c r="O20" i="13"/>
  <c r="O261" i="15"/>
  <c r="O231" i="15"/>
  <c r="S225" i="15"/>
  <c r="O248" i="15"/>
  <c r="O218" i="15"/>
  <c r="O167" i="15"/>
  <c r="S276" i="15"/>
  <c r="O101" i="15"/>
  <c r="S98" i="15"/>
  <c r="S253" i="15"/>
  <c r="O288" i="15"/>
  <c r="S380" i="15"/>
  <c r="S186" i="15"/>
  <c r="S358" i="15"/>
  <c r="S167" i="15"/>
  <c r="O235" i="15"/>
  <c r="O365" i="15"/>
  <c r="O304" i="15"/>
  <c r="S182" i="15"/>
  <c r="O305" i="15"/>
  <c r="O384" i="15"/>
  <c r="S14" i="13"/>
  <c r="S518" i="13"/>
  <c r="S123" i="13"/>
  <c r="S383" i="13"/>
  <c r="S31" i="13"/>
  <c r="S315" i="13"/>
  <c r="S285" i="13"/>
  <c r="S371" i="13"/>
  <c r="O319" i="13"/>
  <c r="S386" i="13"/>
  <c r="O141" i="13"/>
  <c r="S149" i="15"/>
  <c r="O326" i="15"/>
  <c r="S313" i="15"/>
  <c r="S250" i="15"/>
  <c r="S35" i="15"/>
  <c r="S18" i="15"/>
  <c r="S107" i="15"/>
  <c r="S374" i="15"/>
  <c r="S245" i="15"/>
  <c r="S55" i="15"/>
  <c r="S188" i="15"/>
  <c r="O139" i="15"/>
  <c r="O302" i="15"/>
  <c r="S102" i="15"/>
  <c r="O357" i="15"/>
  <c r="S297" i="15"/>
  <c r="O110" i="16"/>
  <c r="S125" i="16"/>
  <c r="S26" i="16"/>
  <c r="O127" i="16"/>
  <c r="S32" i="16"/>
  <c r="O105" i="16"/>
  <c r="S125" i="15"/>
  <c r="S312" i="15"/>
  <c r="S279" i="15"/>
  <c r="S309" i="15"/>
  <c r="S92" i="15"/>
  <c r="S224" i="15"/>
  <c r="O96" i="16"/>
  <c r="O100" i="16"/>
  <c r="S68" i="15"/>
  <c r="S93" i="15"/>
  <c r="S301" i="15"/>
  <c r="S187" i="15"/>
  <c r="S30" i="15"/>
  <c r="S255" i="15"/>
  <c r="S5" i="16"/>
  <c r="O74" i="16"/>
  <c r="S354" i="15"/>
  <c r="S32" i="15"/>
  <c r="S126" i="15"/>
  <c r="O98" i="15"/>
  <c r="S45" i="15"/>
  <c r="S157" i="15"/>
  <c r="S16" i="16"/>
  <c r="S113" i="15"/>
  <c r="S330" i="15"/>
  <c r="O111" i="15"/>
  <c r="O204" i="15"/>
  <c r="O67" i="16"/>
  <c r="S359" i="15"/>
  <c r="S31" i="16"/>
  <c r="S149" i="16"/>
  <c r="O112" i="16"/>
  <c r="S132" i="16"/>
  <c r="S138" i="16"/>
  <c r="S43" i="16"/>
  <c r="S65" i="16"/>
  <c r="S41" i="15"/>
  <c r="O18" i="15"/>
  <c r="S353" i="15"/>
  <c r="S300" i="15"/>
  <c r="S161" i="16"/>
  <c r="O387" i="15"/>
  <c r="O163" i="16"/>
  <c r="O293" i="15"/>
  <c r="S197" i="15"/>
  <c r="S42" i="15"/>
  <c r="S295" i="15"/>
  <c r="S376" i="15"/>
  <c r="S77" i="15"/>
  <c r="S147" i="15"/>
  <c r="O383" i="15"/>
  <c r="S36" i="15"/>
  <c r="O254" i="15"/>
  <c r="O125" i="15"/>
  <c r="S341" i="15"/>
  <c r="S101" i="15"/>
  <c r="S495" i="13"/>
  <c r="S27" i="13"/>
  <c r="S291" i="13"/>
  <c r="S184" i="13"/>
  <c r="S420" i="13"/>
  <c r="S459" i="13"/>
  <c r="S274" i="13"/>
  <c r="O31" i="13"/>
  <c r="O219" i="13"/>
  <c r="S173" i="13"/>
  <c r="S199" i="15"/>
  <c r="O316" i="15"/>
  <c r="O162" i="15"/>
  <c r="O65" i="15"/>
  <c r="O62" i="15"/>
  <c r="O75" i="15"/>
  <c r="S67" i="16"/>
  <c r="S339" i="15"/>
  <c r="S30" i="16"/>
  <c r="S227" i="15"/>
  <c r="S148" i="15"/>
  <c r="S134" i="15"/>
  <c r="S6" i="15"/>
  <c r="S228" i="15"/>
  <c r="S259" i="15"/>
  <c r="S176" i="15"/>
  <c r="S269" i="15"/>
  <c r="O222" i="15"/>
  <c r="O255" i="15"/>
  <c r="O350" i="15"/>
  <c r="O230" i="15"/>
  <c r="O151" i="15"/>
  <c r="S319" i="13"/>
  <c r="S452" i="13"/>
  <c r="S348" i="13"/>
  <c r="S176" i="13"/>
  <c r="S162" i="13"/>
  <c r="S534" i="13"/>
  <c r="S310" i="13"/>
  <c r="S525" i="13"/>
  <c r="O435" i="13"/>
  <c r="S389" i="13"/>
  <c r="O215" i="15"/>
  <c r="S345" i="15"/>
  <c r="S198" i="15"/>
  <c r="S90" i="15"/>
  <c r="S348" i="15"/>
  <c r="S343" i="15"/>
  <c r="S237" i="15"/>
  <c r="S265" i="15"/>
  <c r="S13" i="15"/>
  <c r="O71" i="15"/>
  <c r="S337" i="15"/>
  <c r="S246" i="15"/>
  <c r="O131" i="15"/>
  <c r="O306" i="15"/>
  <c r="S293" i="15"/>
  <c r="O130" i="15"/>
  <c r="O369" i="15"/>
  <c r="S111" i="15"/>
  <c r="O155" i="15"/>
  <c r="S124" i="13"/>
  <c r="S590" i="13"/>
  <c r="S506" i="13"/>
  <c r="S497" i="13"/>
  <c r="S484" i="13"/>
  <c r="S299" i="13"/>
  <c r="S527" i="13"/>
  <c r="O294" i="13"/>
  <c r="O117" i="13"/>
  <c r="S95" i="13"/>
  <c r="O63" i="15"/>
  <c r="O257" i="15"/>
  <c r="O16" i="15"/>
  <c r="O146" i="15"/>
  <c r="S382" i="15"/>
  <c r="S195" i="15"/>
  <c r="S236" i="15"/>
  <c r="O337" i="15"/>
  <c r="O308" i="15"/>
  <c r="O89" i="15"/>
  <c r="S143" i="16"/>
  <c r="S266" i="15"/>
  <c r="O147" i="16"/>
  <c r="S388" i="15"/>
  <c r="O125" i="16"/>
  <c r="S379" i="15"/>
  <c r="S150" i="15"/>
  <c r="S153" i="15"/>
  <c r="O81" i="15"/>
  <c r="O91" i="15"/>
  <c r="S292" i="13"/>
  <c r="S344" i="13"/>
  <c r="O306" i="13"/>
  <c r="O278" i="15"/>
  <c r="S10" i="15"/>
  <c r="S302" i="15"/>
  <c r="S287" i="15"/>
  <c r="O339" i="15"/>
  <c r="S225" i="13"/>
  <c r="S17" i="13"/>
  <c r="O454" i="13"/>
  <c r="O345" i="15"/>
  <c r="O114" i="16"/>
  <c r="S213" i="15"/>
  <c r="O126" i="15"/>
  <c r="O229" i="15"/>
  <c r="S245" i="13"/>
  <c r="S519" i="13"/>
  <c r="S351" i="13"/>
  <c r="S354" i="13"/>
  <c r="O460" i="13"/>
  <c r="O322" i="15"/>
  <c r="O35" i="15"/>
  <c r="O358" i="15"/>
  <c r="O30" i="15"/>
  <c r="S324" i="15"/>
  <c r="O78" i="16"/>
  <c r="O24" i="15"/>
  <c r="S248" i="15"/>
  <c r="O135" i="15"/>
  <c r="S222" i="15"/>
  <c r="O166" i="15"/>
  <c r="O102" i="15"/>
  <c r="O224" i="15"/>
  <c r="O7" i="15"/>
  <c r="O182" i="15"/>
  <c r="O164" i="15"/>
  <c r="O157" i="15"/>
  <c r="S16" i="13"/>
  <c r="S18" i="13"/>
  <c r="S560" i="13"/>
  <c r="S156" i="13"/>
  <c r="S300" i="13"/>
  <c r="S415" i="13"/>
  <c r="S114" i="13"/>
  <c r="S80" i="13"/>
  <c r="O131" i="13"/>
  <c r="O188" i="13"/>
  <c r="O69" i="13"/>
  <c r="O382" i="15"/>
  <c r="O172" i="15"/>
  <c r="S335" i="15"/>
  <c r="O356" i="15"/>
  <c r="O360" i="15"/>
  <c r="O272" i="15"/>
  <c r="S219" i="13"/>
  <c r="S275" i="13"/>
  <c r="S63" i="13"/>
  <c r="S138" i="13"/>
  <c r="S230" i="13"/>
  <c r="S374" i="13"/>
  <c r="S301" i="13"/>
  <c r="S174" i="13"/>
  <c r="O70" i="13"/>
  <c r="S127" i="15"/>
  <c r="O314" i="15"/>
  <c r="O227" i="15"/>
  <c r="S229" i="15"/>
  <c r="O239" i="15"/>
  <c r="O279" i="15"/>
  <c r="S471" i="13"/>
  <c r="S353" i="13"/>
  <c r="S51" i="13"/>
  <c r="S175" i="13"/>
  <c r="S192" i="13"/>
  <c r="S340" i="13"/>
  <c r="S88" i="13"/>
  <c r="S67" i="13"/>
  <c r="O50" i="13"/>
  <c r="S66" i="13"/>
  <c r="S139" i="15"/>
  <c r="O93" i="15"/>
  <c r="S159" i="15"/>
  <c r="O258" i="15"/>
  <c r="S52" i="15"/>
  <c r="S38" i="13"/>
  <c r="S468" i="13"/>
  <c r="S202" i="13"/>
  <c r="S116" i="13"/>
  <c r="S164" i="13"/>
  <c r="S163" i="13"/>
  <c r="S311" i="13"/>
  <c r="S289" i="13"/>
  <c r="O59" i="13"/>
  <c r="S361" i="13"/>
  <c r="S517" i="13"/>
  <c r="S178" i="13"/>
  <c r="O533" i="13"/>
  <c r="O130" i="13"/>
  <c r="O360" i="13"/>
  <c r="O374" i="13"/>
  <c r="O494" i="13"/>
  <c r="O254" i="13"/>
  <c r="O232" i="13"/>
  <c r="N18" i="17"/>
  <c r="N40" i="17"/>
  <c r="S446" i="13"/>
  <c r="S416" i="13"/>
  <c r="O574" i="13"/>
  <c r="O423" i="13"/>
  <c r="O243" i="13"/>
  <c r="O292" i="13"/>
  <c r="O179" i="13"/>
  <c r="O496" i="13"/>
  <c r="O413" i="13"/>
  <c r="R13" i="17"/>
  <c r="N47" i="17"/>
  <c r="S117" i="13"/>
  <c r="O83" i="15"/>
  <c r="S119" i="13"/>
  <c r="S509" i="13"/>
  <c r="S548" i="13"/>
  <c r="S89" i="13"/>
  <c r="S94" i="13"/>
  <c r="S127" i="13"/>
  <c r="S205" i="13"/>
  <c r="S49" i="13"/>
  <c r="O60" i="13"/>
  <c r="O100" i="15"/>
  <c r="S317" i="15"/>
  <c r="O27" i="15"/>
  <c r="O49" i="15"/>
  <c r="S211" i="15"/>
  <c r="O202" i="15"/>
  <c r="S430" i="13"/>
  <c r="S511" i="13"/>
  <c r="S19" i="13"/>
  <c r="S369" i="13"/>
  <c r="S177" i="13"/>
  <c r="S139" i="13"/>
  <c r="S543" i="13"/>
  <c r="S8" i="13"/>
  <c r="O198" i="13"/>
  <c r="O343" i="15"/>
  <c r="S72" i="15"/>
  <c r="O129" i="15"/>
  <c r="O121" i="15"/>
  <c r="O185" i="15"/>
  <c r="S319" i="15"/>
  <c r="S98" i="13"/>
  <c r="S217" i="13"/>
  <c r="S240" i="13"/>
  <c r="S57" i="13"/>
  <c r="S384" i="13"/>
  <c r="S336" i="13"/>
  <c r="S441" i="13"/>
  <c r="S181" i="13"/>
  <c r="S476" i="13"/>
  <c r="S542" i="13"/>
  <c r="O416" i="13"/>
  <c r="S378" i="13"/>
  <c r="O465" i="13"/>
  <c r="O52" i="13"/>
  <c r="O270" i="13"/>
  <c r="O182" i="13"/>
  <c r="O68" i="13"/>
  <c r="O222" i="13"/>
  <c r="O229" i="13"/>
  <c r="N49" i="17"/>
  <c r="N42" i="17"/>
  <c r="O281" i="13"/>
  <c r="S572" i="13"/>
  <c r="S355" i="13"/>
  <c r="O565" i="13"/>
  <c r="O500" i="13"/>
  <c r="O372" i="13"/>
  <c r="O240" i="13"/>
  <c r="O297" i="13"/>
  <c r="O242" i="13"/>
  <c r="N61" i="17"/>
  <c r="O457" i="13"/>
  <c r="O159" i="15"/>
  <c r="O87" i="15"/>
  <c r="S214" i="13"/>
  <c r="S465" i="13"/>
  <c r="S144" i="13"/>
  <c r="S169" i="13"/>
  <c r="S417" i="13"/>
  <c r="S7" i="13"/>
  <c r="S350" i="13"/>
  <c r="S422" i="13"/>
  <c r="O480" i="13"/>
  <c r="O334" i="15"/>
  <c r="O196" i="15"/>
  <c r="O321" i="15"/>
  <c r="O48" i="15"/>
  <c r="O73" i="15"/>
  <c r="S203" i="13"/>
  <c r="S45" i="13"/>
  <c r="S43" i="13"/>
  <c r="S530" i="13"/>
  <c r="S134" i="13"/>
  <c r="S428" i="13"/>
  <c r="S304" i="13"/>
  <c r="S210" i="13"/>
  <c r="O389" i="13"/>
  <c r="O334" i="13"/>
  <c r="O247" i="15"/>
  <c r="O225" i="15"/>
  <c r="O119" i="15"/>
  <c r="O325" i="15"/>
  <c r="O61" i="15"/>
  <c r="S71" i="13"/>
  <c r="S281" i="13"/>
  <c r="S30" i="13"/>
  <c r="S121" i="13"/>
  <c r="S81" i="13"/>
  <c r="S531" i="13"/>
  <c r="S194" i="13"/>
  <c r="S276" i="13"/>
  <c r="O189" i="13"/>
  <c r="O75" i="13"/>
  <c r="O564" i="13"/>
  <c r="O78" i="13"/>
  <c r="O280" i="13"/>
  <c r="S404" i="13"/>
  <c r="O382" i="13"/>
  <c r="O466" i="13"/>
  <c r="O401" i="13"/>
  <c r="O137" i="13"/>
  <c r="O453" i="13"/>
  <c r="R18" i="17"/>
  <c r="R64" i="17"/>
  <c r="N53" i="17"/>
  <c r="O380" i="13"/>
  <c r="O444" i="13"/>
  <c r="S388" i="13"/>
  <c r="O558" i="13"/>
  <c r="O99" i="16"/>
  <c r="O234" i="15"/>
  <c r="O23" i="16"/>
  <c r="S144" i="15"/>
  <c r="S57" i="16"/>
  <c r="S383" i="15"/>
  <c r="S56" i="15"/>
  <c r="O10" i="16"/>
  <c r="O102" i="16"/>
  <c r="S142" i="16"/>
  <c r="S290" i="15"/>
  <c r="S378" i="15"/>
  <c r="S128" i="15"/>
  <c r="O80" i="15"/>
  <c r="O113" i="15"/>
  <c r="S373" i="13"/>
  <c r="S70" i="13"/>
  <c r="O543" i="13"/>
  <c r="O348" i="15"/>
  <c r="S137" i="15"/>
  <c r="S194" i="15"/>
  <c r="O217" i="15"/>
  <c r="O150" i="15"/>
  <c r="S583" i="13"/>
  <c r="S224" i="13"/>
  <c r="S12" i="13"/>
  <c r="S386" i="15"/>
  <c r="O245" i="15"/>
  <c r="O11" i="15"/>
  <c r="O252" i="15"/>
  <c r="O267" i="15"/>
  <c r="S379" i="13"/>
  <c r="S91" i="13"/>
  <c r="S126" i="13"/>
  <c r="S442" i="13"/>
  <c r="S587" i="13"/>
  <c r="S143" i="15"/>
  <c r="O51" i="15"/>
  <c r="S387" i="15"/>
  <c r="S25" i="15"/>
  <c r="O246" i="15"/>
  <c r="S356" i="15"/>
  <c r="O55" i="15"/>
  <c r="S16" i="15"/>
  <c r="S217" i="15"/>
  <c r="S346" i="15"/>
  <c r="S328" i="15"/>
  <c r="O183" i="15"/>
  <c r="S361" i="15"/>
  <c r="O189" i="15"/>
  <c r="S231" i="15"/>
  <c r="O332" i="15"/>
  <c r="S305" i="15"/>
  <c r="S532" i="13"/>
  <c r="S287" i="13"/>
  <c r="S235" i="13"/>
  <c r="S541" i="13"/>
  <c r="S480" i="13"/>
  <c r="S366" i="13"/>
  <c r="S74" i="13"/>
  <c r="S412" i="13"/>
  <c r="O16" i="13"/>
  <c r="S303" i="13"/>
  <c r="O368" i="13"/>
  <c r="O349" i="15"/>
  <c r="O109" i="15"/>
  <c r="O385" i="15"/>
  <c r="S61" i="15"/>
  <c r="S64" i="15"/>
  <c r="O361" i="15"/>
  <c r="S252" i="13"/>
  <c r="S487" i="13"/>
  <c r="S312" i="13"/>
  <c r="S496" i="13"/>
  <c r="S140" i="13"/>
  <c r="S46" i="13"/>
  <c r="S427" i="13"/>
  <c r="S52" i="13"/>
  <c r="O582" i="13"/>
  <c r="O193" i="15"/>
  <c r="S351" i="15"/>
  <c r="O309" i="15"/>
  <c r="O250" i="15"/>
  <c r="S368" i="15"/>
  <c r="O17" i="15"/>
  <c r="S258" i="13"/>
  <c r="S101" i="13"/>
  <c r="S576" i="13"/>
  <c r="S533" i="13"/>
  <c r="S204" i="13"/>
  <c r="S42" i="13"/>
  <c r="S402" i="13"/>
  <c r="O200" i="13"/>
  <c r="O570" i="13"/>
  <c r="O277" i="15"/>
  <c r="S247" i="15"/>
  <c r="O194" i="15"/>
  <c r="O144" i="15"/>
  <c r="O199" i="15"/>
  <c r="O105" i="15"/>
  <c r="S290" i="13"/>
  <c r="S347" i="13"/>
  <c r="S514" i="13"/>
  <c r="S466" i="13"/>
  <c r="S76" i="13"/>
  <c r="S493" i="13"/>
  <c r="S15" i="13"/>
  <c r="S460" i="13"/>
  <c r="O556" i="13"/>
  <c r="O403" i="13"/>
  <c r="O315" i="13"/>
  <c r="O534" i="13"/>
  <c r="O539" i="13"/>
  <c r="O352" i="13"/>
  <c r="O354" i="13"/>
  <c r="O83" i="13"/>
  <c r="O509" i="13"/>
  <c r="O481" i="13"/>
  <c r="O71" i="13"/>
  <c r="R65" i="17"/>
  <c r="R50" i="17"/>
  <c r="S237" i="13"/>
  <c r="O226" i="13"/>
  <c r="O353" i="13"/>
  <c r="O239" i="13"/>
  <c r="O462" i="13"/>
  <c r="O581" i="13"/>
  <c r="O328" i="13"/>
  <c r="O36" i="13"/>
  <c r="O264" i="13"/>
  <c r="R66" i="17"/>
  <c r="O113" i="13"/>
  <c r="O78" i="15"/>
  <c r="O264" i="15"/>
  <c r="S477" i="13"/>
  <c r="S447" i="13"/>
  <c r="S454" i="13"/>
  <c r="S473" i="13"/>
  <c r="S349" i="13"/>
  <c r="S135" i="13"/>
  <c r="S372" i="13"/>
  <c r="O61" i="13"/>
  <c r="O18" i="13"/>
  <c r="O161" i="15"/>
  <c r="O373" i="15"/>
  <c r="O289" i="15"/>
  <c r="O107" i="15"/>
  <c r="O67" i="15"/>
  <c r="S172" i="13"/>
  <c r="S54" i="13"/>
  <c r="S146" i="13"/>
  <c r="S148" i="13"/>
  <c r="S399" i="13"/>
  <c r="S79" i="13"/>
  <c r="S359" i="13"/>
  <c r="S25" i="13"/>
  <c r="O73" i="13"/>
  <c r="O411" i="13"/>
  <c r="O263" i="15"/>
  <c r="O123" i="15"/>
  <c r="O197" i="15"/>
  <c r="O95" i="15"/>
  <c r="O219" i="15"/>
  <c r="O317" i="15"/>
  <c r="S438" i="13"/>
  <c r="S411" i="13"/>
  <c r="S593" i="13"/>
  <c r="S424" i="13"/>
  <c r="S539" i="13"/>
  <c r="S122" i="13"/>
  <c r="S326" i="13"/>
  <c r="O199" i="13"/>
  <c r="O379" i="13"/>
  <c r="O350" i="13"/>
  <c r="O191" i="13"/>
  <c r="O45" i="13"/>
  <c r="S342" i="13"/>
  <c r="O375" i="13"/>
  <c r="O359" i="13"/>
  <c r="O575" i="13"/>
  <c r="O591" i="13"/>
  <c r="O260" i="13"/>
  <c r="O48" i="13"/>
  <c r="R67" i="17"/>
  <c r="R128" i="17"/>
  <c r="O267" i="13"/>
  <c r="O345" i="13"/>
  <c r="S229" i="13"/>
  <c r="O399" i="13"/>
  <c r="O323" i="13"/>
  <c r="O456" i="13"/>
  <c r="O525" i="13"/>
  <c r="O441" i="13"/>
  <c r="N14" i="17"/>
  <c r="R44" i="17"/>
  <c r="O362" i="13"/>
  <c r="O26" i="15"/>
  <c r="S316" i="13"/>
  <c r="S26" i="13"/>
  <c r="S343" i="13"/>
  <c r="S271" i="13"/>
  <c r="S107" i="13"/>
  <c r="S449" i="13"/>
  <c r="S537" i="13"/>
  <c r="S501" i="13"/>
  <c r="O214" i="13"/>
  <c r="O39" i="13"/>
  <c r="O307" i="15"/>
  <c r="O344" i="15"/>
  <c r="S146" i="15"/>
  <c r="O69" i="15"/>
  <c r="S130" i="15"/>
  <c r="S445" i="13"/>
  <c r="S478" i="13"/>
  <c r="S335" i="13"/>
  <c r="S522" i="13"/>
  <c r="S278" i="13"/>
  <c r="S588" i="13"/>
  <c r="S249" i="13"/>
  <c r="S556" i="13"/>
  <c r="O94" i="13"/>
  <c r="S161" i="13"/>
  <c r="S5" i="15"/>
  <c r="O142" i="15"/>
  <c r="S360" i="15"/>
  <c r="O13" i="15"/>
  <c r="O112" i="15"/>
  <c r="S69" i="13"/>
  <c r="S455" i="13"/>
  <c r="S64" i="13"/>
  <c r="S113" i="13"/>
  <c r="S231" i="13"/>
  <c r="S566" i="13"/>
  <c r="S129" i="13"/>
  <c r="S150" i="13"/>
  <c r="O335" i="13"/>
  <c r="S68" i="13"/>
  <c r="O157" i="13"/>
  <c r="S498" i="13"/>
  <c r="O285" i="13"/>
  <c r="O326" i="13"/>
  <c r="O482" i="13"/>
  <c r="O566" i="13"/>
  <c r="O492" i="13"/>
  <c r="O340" i="13"/>
  <c r="O289" i="13"/>
  <c r="R19" i="17"/>
  <c r="N65" i="17"/>
  <c r="N46" i="17"/>
  <c r="S282" i="13"/>
  <c r="O573" i="13"/>
  <c r="O215" i="13"/>
  <c r="S77" i="16"/>
  <c r="S178" i="15"/>
  <c r="S219" i="15"/>
  <c r="O301" i="15"/>
  <c r="S91" i="16"/>
  <c r="O355" i="15"/>
  <c r="O52" i="15"/>
  <c r="S21" i="15"/>
  <c r="O71" i="16"/>
  <c r="S54" i="16"/>
  <c r="S80" i="15"/>
  <c r="S303" i="15"/>
  <c r="S141" i="15"/>
  <c r="S355" i="15"/>
  <c r="S288" i="15"/>
  <c r="O148" i="15"/>
  <c r="S469" i="13"/>
  <c r="S578" i="13"/>
  <c r="S294" i="15"/>
  <c r="S239" i="15"/>
  <c r="S165" i="15"/>
  <c r="S277" i="15"/>
  <c r="S97" i="15"/>
  <c r="O168" i="15"/>
  <c r="S96" i="13"/>
  <c r="S9" i="13"/>
  <c r="S76" i="15"/>
  <c r="S367" i="15"/>
  <c r="O184" i="15"/>
  <c r="O74" i="15"/>
  <c r="O32" i="15"/>
  <c r="S251" i="13"/>
  <c r="S223" i="13"/>
  <c r="S503" i="13"/>
  <c r="S391" i="13"/>
  <c r="O531" i="13"/>
  <c r="O82" i="15"/>
  <c r="O45" i="15"/>
  <c r="O329" i="15"/>
  <c r="S162" i="15"/>
  <c r="O147" i="15"/>
  <c r="O64" i="15"/>
  <c r="S232" i="15"/>
  <c r="S196" i="15"/>
  <c r="S183" i="15"/>
  <c r="S169" i="15"/>
  <c r="O242" i="15"/>
  <c r="O273" i="15"/>
  <c r="O6" i="15"/>
  <c r="O156" i="15"/>
  <c r="O372" i="15"/>
  <c r="O286" i="15"/>
  <c r="S212" i="15"/>
  <c r="O282" i="15"/>
  <c r="S426" i="13"/>
  <c r="S257" i="13"/>
  <c r="S515" i="13"/>
  <c r="S437" i="13"/>
  <c r="S241" i="13"/>
  <c r="S363" i="13"/>
  <c r="S154" i="13"/>
  <c r="O521" i="13"/>
  <c r="O472" i="13"/>
  <c r="O13" i="13"/>
  <c r="O379" i="15"/>
  <c r="O265" i="15"/>
  <c r="O347" i="15"/>
  <c r="O46" i="15"/>
  <c r="O238" i="15"/>
  <c r="S173" i="15"/>
  <c r="S171" i="13"/>
  <c r="S308" i="13"/>
  <c r="S333" i="13"/>
  <c r="S152" i="13"/>
  <c r="S406" i="13"/>
  <c r="S528" i="13"/>
  <c r="S510" i="13"/>
  <c r="S549" i="13"/>
  <c r="O538" i="13"/>
  <c r="O528" i="13"/>
  <c r="O291" i="15"/>
  <c r="O331" i="15"/>
  <c r="S84" i="15"/>
  <c r="O269" i="15"/>
  <c r="O134" i="15"/>
  <c r="S90" i="13"/>
  <c r="S103" i="13"/>
  <c r="S322" i="13"/>
  <c r="S5" i="13"/>
  <c r="S33" i="13"/>
  <c r="S75" i="13"/>
  <c r="S512" i="13"/>
  <c r="S50" i="13"/>
  <c r="S339" i="13"/>
  <c r="O479" i="13"/>
  <c r="O94" i="15"/>
  <c r="O330" i="15"/>
  <c r="S33" i="15"/>
  <c r="S234" i="15"/>
  <c r="O268" i="15"/>
  <c r="S488" i="13"/>
  <c r="S133" i="13"/>
  <c r="S571" i="13"/>
  <c r="S410" i="13"/>
  <c r="S475" i="13"/>
  <c r="S100" i="13"/>
  <c r="S545" i="13"/>
  <c r="S136" i="13"/>
  <c r="O252" i="13"/>
  <c r="O287" i="13"/>
  <c r="O277" i="13"/>
  <c r="O108" i="13"/>
  <c r="O269" i="13"/>
  <c r="O27" i="13"/>
  <c r="O205" i="13"/>
  <c r="O510" i="13"/>
  <c r="O183" i="13"/>
  <c r="O25" i="13"/>
  <c r="O11" i="13"/>
  <c r="R130" i="17"/>
  <c r="R39" i="17"/>
  <c r="N37" i="17"/>
  <c r="O123" i="13"/>
  <c r="O499" i="13"/>
  <c r="O520" i="13"/>
  <c r="O54" i="13"/>
  <c r="O249" i="13"/>
  <c r="O473" i="13"/>
  <c r="O283" i="13"/>
  <c r="O248" i="13"/>
  <c r="R20" i="17"/>
  <c r="N30" i="17"/>
  <c r="O246" i="13"/>
  <c r="S384" i="15"/>
  <c r="S330" i="13"/>
  <c r="S491" i="13"/>
  <c r="S529" i="13"/>
  <c r="S270" i="13"/>
  <c r="S434" i="13"/>
  <c r="S11" i="13"/>
  <c r="S77" i="13"/>
  <c r="S561" i="13"/>
  <c r="O470" i="13"/>
  <c r="O114" i="15"/>
  <c r="S62" i="15"/>
  <c r="O8" i="15"/>
  <c r="S272" i="15"/>
  <c r="O72" i="15"/>
  <c r="O132" i="15"/>
  <c r="S155" i="13"/>
  <c r="S456" i="13"/>
  <c r="S596" i="13"/>
  <c r="S145" i="13"/>
  <c r="S324" i="13"/>
  <c r="S451" i="13"/>
  <c r="S568" i="13"/>
  <c r="S524" i="13"/>
  <c r="O135" i="13"/>
  <c r="O562" i="13"/>
  <c r="O128" i="15"/>
  <c r="O20" i="15"/>
  <c r="O99" i="15"/>
  <c r="O108" i="15"/>
  <c r="O221" i="15"/>
  <c r="S167" i="13"/>
  <c r="S209" i="13"/>
  <c r="S462" i="13"/>
  <c r="S264" i="13"/>
  <c r="S286" i="13"/>
  <c r="S474" i="13"/>
  <c r="S179" i="13"/>
  <c r="S535" i="13"/>
  <c r="O321" i="13"/>
  <c r="S199" i="13"/>
  <c r="S253" i="13"/>
  <c r="S401" i="13"/>
  <c r="O26" i="13"/>
  <c r="O121" i="13"/>
  <c r="O463" i="13"/>
  <c r="O186" i="13"/>
  <c r="O250" i="13"/>
  <c r="O154" i="13"/>
  <c r="O314" i="13"/>
  <c r="N20" i="17"/>
  <c r="N66" i="17"/>
  <c r="O132" i="13"/>
  <c r="O64" i="13"/>
  <c r="O400" i="13"/>
  <c r="O286" i="13"/>
  <c r="O288" i="13"/>
  <c r="O536" i="13"/>
  <c r="O256" i="13"/>
  <c r="O305" i="13"/>
  <c r="O126" i="13"/>
  <c r="N41" i="17"/>
  <c r="N63" i="17"/>
  <c r="S595" i="13"/>
  <c r="O188" i="15"/>
  <c r="S22" i="13"/>
  <c r="S390" i="13"/>
  <c r="S367" i="13"/>
  <c r="S461" i="13"/>
  <c r="S453" i="13"/>
  <c r="S36" i="13"/>
  <c r="S318" i="13"/>
  <c r="S120" i="13"/>
  <c r="O80" i="13"/>
  <c r="O243" i="15"/>
  <c r="S233" i="15"/>
  <c r="O240" i="15"/>
  <c r="O333" i="15"/>
  <c r="S340" i="15"/>
  <c r="O116" i="15"/>
  <c r="S591" i="13"/>
  <c r="S168" i="13"/>
  <c r="S393" i="13"/>
  <c r="S263" i="13"/>
  <c r="S246" i="13"/>
  <c r="S151" i="13"/>
  <c r="S368" i="13"/>
  <c r="O367" i="13"/>
  <c r="O537" i="13"/>
  <c r="O127" i="15"/>
  <c r="S365" i="15"/>
  <c r="O175" i="15"/>
  <c r="O19" i="15"/>
  <c r="S369" i="15"/>
  <c r="O211" i="15"/>
  <c r="S280" i="13"/>
  <c r="S185" i="13"/>
  <c r="S358" i="13"/>
  <c r="S494" i="13"/>
  <c r="S232" i="13"/>
  <c r="S284" i="13"/>
  <c r="S189" i="13"/>
  <c r="S313" i="13"/>
  <c r="O576" i="13"/>
  <c r="O517" i="13"/>
  <c r="O484" i="13"/>
  <c r="O206" i="13"/>
  <c r="O346" i="13"/>
  <c r="O464" i="13"/>
  <c r="O467" i="13"/>
  <c r="O535" i="13"/>
  <c r="O145" i="13"/>
  <c r="O290" i="13"/>
  <c r="O112" i="13"/>
  <c r="R49" i="17"/>
  <c r="N54" i="17"/>
  <c r="O398" i="13"/>
  <c r="O122" i="13"/>
  <c r="S521" i="13"/>
  <c r="O261" i="13"/>
  <c r="O174" i="13"/>
  <c r="S67" i="15"/>
  <c r="S304" i="15"/>
  <c r="S105" i="15"/>
  <c r="O319" i="15"/>
  <c r="O203" i="15"/>
  <c r="O266" i="15"/>
  <c r="S86" i="15"/>
  <c r="S327" i="13"/>
  <c r="O90" i="13"/>
  <c r="O46" i="16"/>
  <c r="S292" i="15"/>
  <c r="O141" i="15"/>
  <c r="O58" i="15"/>
  <c r="S323" i="13"/>
  <c r="S575" i="13"/>
  <c r="S234" i="13"/>
  <c r="O165" i="15"/>
  <c r="S356" i="13"/>
  <c r="S436" i="13"/>
  <c r="O34" i="13"/>
  <c r="O5" i="15"/>
  <c r="S141" i="13"/>
  <c r="S207" i="13"/>
  <c r="O297" i="15"/>
  <c r="O15" i="15"/>
  <c r="S472" i="13"/>
  <c r="S450" i="13"/>
  <c r="O38" i="13"/>
  <c r="O173" i="13"/>
  <c r="O65" i="13"/>
  <c r="O19" i="13"/>
  <c r="O586" i="13"/>
  <c r="N70" i="17"/>
  <c r="S592" i="13"/>
  <c r="S222" i="13"/>
  <c r="O532" i="13"/>
  <c r="O86" i="15"/>
  <c r="S82" i="13"/>
  <c r="S400" i="13"/>
  <c r="O12" i="15"/>
  <c r="O40" i="15"/>
  <c r="S182" i="13"/>
  <c r="S159" i="13"/>
  <c r="S197" i="13"/>
  <c r="O580" i="13"/>
  <c r="N21" i="17"/>
  <c r="O196" i="13"/>
  <c r="O341" i="13"/>
  <c r="R16" i="17"/>
  <c r="S331" i="13"/>
  <c r="S261" i="13"/>
  <c r="O275" i="15"/>
  <c r="O271" i="15"/>
  <c r="S526" i="13"/>
  <c r="S563" i="13"/>
  <c r="S74" i="15"/>
  <c r="O110" i="15"/>
  <c r="S55" i="13"/>
  <c r="S153" i="13"/>
  <c r="S218" i="13"/>
  <c r="O406" i="13"/>
  <c r="R129" i="17"/>
  <c r="O234" i="13"/>
  <c r="O445" i="13"/>
  <c r="O266" i="13"/>
  <c r="O373" i="13"/>
  <c r="O358" i="13"/>
  <c r="R17" i="17"/>
  <c r="R70" i="17"/>
  <c r="S43" i="15"/>
  <c r="O66" i="15"/>
  <c r="S413" i="13"/>
  <c r="S44" i="13"/>
  <c r="S357" i="13"/>
  <c r="S256" i="13"/>
  <c r="S492" i="13"/>
  <c r="S269" i="13"/>
  <c r="S325" i="13"/>
  <c r="O394" i="13"/>
  <c r="O164" i="13"/>
  <c r="O376" i="15"/>
  <c r="O92" i="15"/>
  <c r="S48" i="15"/>
  <c r="O29" i="15"/>
  <c r="O173" i="15"/>
  <c r="S463" i="13"/>
  <c r="S464" i="13"/>
  <c r="S58" i="13"/>
  <c r="S558" i="13"/>
  <c r="S288" i="13"/>
  <c r="S538" i="13"/>
  <c r="S99" i="13"/>
  <c r="S190" i="13"/>
  <c r="O159" i="13"/>
  <c r="O486" i="13"/>
  <c r="O256" i="15"/>
  <c r="O118" i="15"/>
  <c r="O187" i="15"/>
  <c r="O124" i="15"/>
  <c r="O220" i="15"/>
  <c r="S443" i="13"/>
  <c r="S255" i="13"/>
  <c r="S577" i="13"/>
  <c r="S405" i="13"/>
  <c r="S226" i="13"/>
  <c r="S183" i="13"/>
  <c r="S550" i="13"/>
  <c r="S196" i="13"/>
  <c r="O170" i="13"/>
  <c r="O437" i="13"/>
  <c r="O224" i="13"/>
  <c r="O504" i="13"/>
  <c r="O313" i="13"/>
  <c r="S211" i="13"/>
  <c r="O8" i="13"/>
  <c r="O405" i="13"/>
  <c r="O338" i="13"/>
  <c r="O37" i="13"/>
  <c r="O477" i="13"/>
  <c r="R21" i="17"/>
  <c r="R47" i="17"/>
  <c r="R42" i="17"/>
  <c r="O212" i="13"/>
  <c r="O172" i="13"/>
  <c r="S579" i="13"/>
  <c r="O104" i="13"/>
  <c r="O316" i="13"/>
  <c r="O17" i="13"/>
  <c r="O425" i="13"/>
  <c r="O512" i="13"/>
  <c r="N19" i="17"/>
  <c r="N58" i="17"/>
  <c r="O421" i="13"/>
  <c r="S439" i="13"/>
  <c r="O495" i="13"/>
  <c r="O44" i="13"/>
  <c r="O417" i="13"/>
  <c r="O555" i="13"/>
  <c r="O430" i="13"/>
  <c r="O81" i="13"/>
  <c r="O97" i="13"/>
  <c r="N38" i="17"/>
  <c r="O497" i="13"/>
  <c r="O10" i="13"/>
  <c r="O295" i="13"/>
  <c r="O318" i="13"/>
  <c r="O40" i="13"/>
  <c r="O455" i="13"/>
  <c r="O585" i="13"/>
  <c r="O275" i="13"/>
  <c r="R133" i="17"/>
  <c r="R38" i="17"/>
  <c r="R31" i="17"/>
  <c r="N52" i="17"/>
  <c r="O434" i="13"/>
  <c r="O257" i="13"/>
  <c r="O14" i="13"/>
  <c r="O184" i="13"/>
  <c r="O120" i="13"/>
  <c r="O349" i="13"/>
  <c r="O309" i="13"/>
  <c r="O415" i="13"/>
  <c r="R41" i="17"/>
  <c r="S586" i="13"/>
  <c r="O77" i="13"/>
  <c r="O110" i="13"/>
  <c r="O192" i="13"/>
  <c r="O589" i="13"/>
  <c r="O88" i="13"/>
  <c r="O127" i="13"/>
  <c r="O404" i="13"/>
  <c r="R25" i="17"/>
  <c r="R57" i="17"/>
  <c r="O155" i="13"/>
  <c r="O149" i="13"/>
  <c r="O311" i="13"/>
  <c r="O84" i="13"/>
  <c r="O587" i="13"/>
  <c r="O216" i="13"/>
  <c r="O109" i="13"/>
  <c r="O202" i="13"/>
  <c r="R43" i="17"/>
  <c r="S165" i="13"/>
  <c r="O298" i="13"/>
  <c r="O49" i="13"/>
  <c r="O209" i="13"/>
  <c r="O255" i="13"/>
  <c r="O563" i="13"/>
  <c r="O55" i="13"/>
  <c r="O458" i="13"/>
  <c r="R139" i="17"/>
  <c r="N59" i="17"/>
  <c r="N69" i="17"/>
  <c r="O134" i="13"/>
  <c r="S62" i="13"/>
  <c r="O433" i="13"/>
  <c r="O376" i="13"/>
  <c r="O507" i="13"/>
  <c r="O546" i="13"/>
  <c r="O146" i="13"/>
  <c r="S266" i="13"/>
  <c r="N35" i="17"/>
  <c r="S147" i="13"/>
  <c r="O175" i="13"/>
  <c r="O236" i="13"/>
  <c r="O369" i="13"/>
  <c r="O363" i="13"/>
  <c r="O265" i="13"/>
  <c r="O241" i="13"/>
  <c r="O361" i="13"/>
  <c r="N22" i="17"/>
  <c r="N60" i="17"/>
  <c r="R54" i="17"/>
  <c r="R32" i="17"/>
  <c r="O45" i="16"/>
  <c r="O181" i="15"/>
  <c r="O335" i="15"/>
  <c r="S295" i="13"/>
  <c r="O209" i="15"/>
  <c r="O117" i="15"/>
  <c r="O362" i="15"/>
  <c r="O592" i="13"/>
  <c r="S407" i="13"/>
  <c r="O51" i="13"/>
  <c r="O138" i="13"/>
  <c r="S423" i="13"/>
  <c r="S179" i="15"/>
  <c r="S421" i="13"/>
  <c r="S254" i="13"/>
  <c r="O9" i="13"/>
  <c r="R23" i="17"/>
  <c r="O43" i="13"/>
  <c r="S419" i="13"/>
  <c r="S398" i="13"/>
  <c r="O355" i="13"/>
  <c r="S408" i="13"/>
  <c r="O449" i="13"/>
  <c r="O194" i="13"/>
  <c r="O96" i="15"/>
  <c r="S564" i="13"/>
  <c r="S28" i="13"/>
  <c r="O86" i="13"/>
  <c r="O174" i="15"/>
  <c r="O14" i="15"/>
  <c r="S569" i="13"/>
  <c r="S13" i="13"/>
  <c r="S125" i="13"/>
  <c r="O557" i="13"/>
  <c r="O354" i="15"/>
  <c r="S17" i="15"/>
  <c r="S337" i="13"/>
  <c r="S215" i="13"/>
  <c r="O238" i="13"/>
  <c r="O519" i="13"/>
  <c r="O295" i="15"/>
  <c r="S268" i="15"/>
  <c r="S373" i="15"/>
  <c r="S429" i="13"/>
  <c r="S320" i="15"/>
  <c r="S213" i="13"/>
  <c r="S240" i="15"/>
  <c r="S84" i="13"/>
  <c r="O66" i="13"/>
  <c r="S6" i="16"/>
  <c r="S291" i="15"/>
  <c r="O77" i="15"/>
  <c r="O259" i="15"/>
  <c r="S260" i="13"/>
  <c r="S440" i="13"/>
  <c r="O90" i="15"/>
  <c r="O249" i="15"/>
  <c r="O431" i="13"/>
  <c r="S380" i="13"/>
  <c r="O226" i="15"/>
  <c r="O262" i="15"/>
  <c r="S481" i="13"/>
  <c r="S552" i="13"/>
  <c r="O133" i="15"/>
  <c r="O84" i="15"/>
  <c r="S244" i="13"/>
  <c r="O516" i="13"/>
  <c r="S554" i="13"/>
  <c r="O548" i="13"/>
  <c r="N39" i="17"/>
  <c r="S102" i="13"/>
  <c r="O488" i="13"/>
  <c r="O475" i="13"/>
  <c r="S105" i="13"/>
  <c r="S546" i="13"/>
  <c r="S145" i="15"/>
  <c r="O70" i="15"/>
  <c r="S200" i="13"/>
  <c r="S470" i="13"/>
  <c r="O97" i="15"/>
  <c r="S228" i="13"/>
  <c r="S544" i="13"/>
  <c r="S435" i="13"/>
  <c r="O178" i="13"/>
  <c r="O571" i="13"/>
  <c r="R60" i="17"/>
  <c r="O381" i="13"/>
  <c r="O92" i="13"/>
  <c r="O161" i="13"/>
  <c r="S206" i="13"/>
  <c r="S396" i="13"/>
  <c r="S121" i="15"/>
  <c r="O22" i="15"/>
  <c r="S233" i="13"/>
  <c r="S562" i="13"/>
  <c r="O352" i="15"/>
  <c r="S236" i="13"/>
  <c r="S273" i="13"/>
  <c r="O330" i="13"/>
  <c r="O129" i="13"/>
  <c r="O262" i="13"/>
  <c r="N32" i="17"/>
  <c r="O364" i="13"/>
  <c r="O56" i="13"/>
  <c r="O153" i="13"/>
  <c r="O303" i="13"/>
  <c r="O150" i="13"/>
  <c r="R138" i="17"/>
  <c r="R51" i="17"/>
  <c r="O205" i="15"/>
  <c r="S41" i="13"/>
  <c r="S221" i="13"/>
  <c r="S559" i="13"/>
  <c r="S186" i="13"/>
  <c r="S35" i="13"/>
  <c r="S110" i="13"/>
  <c r="S567" i="13"/>
  <c r="S362" i="13"/>
  <c r="S467" i="13"/>
  <c r="S457" i="13"/>
  <c r="O152" i="15"/>
  <c r="O270" i="15"/>
  <c r="O149" i="15"/>
  <c r="S79" i="15"/>
  <c r="O216" i="15"/>
  <c r="S118" i="13"/>
  <c r="S272" i="13"/>
  <c r="S220" i="13"/>
  <c r="S553" i="13"/>
  <c r="S72" i="13"/>
  <c r="S109" i="13"/>
  <c r="S160" i="13"/>
  <c r="S61" i="13"/>
  <c r="O190" i="13"/>
  <c r="S377" i="13"/>
  <c r="S59" i="15"/>
  <c r="O228" i="15"/>
  <c r="S281" i="15"/>
  <c r="O28" i="15"/>
  <c r="O364" i="15"/>
  <c r="S589" i="13"/>
  <c r="S306" i="13"/>
  <c r="S581" i="13"/>
  <c r="S259" i="13"/>
  <c r="S382" i="13"/>
  <c r="S364" i="13"/>
  <c r="S483" i="13"/>
  <c r="S112" i="13"/>
  <c r="O343" i="13"/>
  <c r="O102" i="13"/>
  <c r="O402" i="13"/>
  <c r="S29" i="13"/>
  <c r="O116" i="13"/>
  <c r="O151" i="13"/>
  <c r="O324" i="13"/>
  <c r="O156" i="13"/>
  <c r="O483" i="13"/>
  <c r="O30" i="13"/>
  <c r="O418" i="13"/>
  <c r="N13" i="17"/>
  <c r="N64" i="17"/>
  <c r="N34" i="17"/>
  <c r="S170" i="13"/>
  <c r="O12" i="13"/>
  <c r="O203" i="13"/>
  <c r="O530" i="13"/>
  <c r="O450" i="13"/>
  <c r="O42" i="13"/>
  <c r="O595" i="13"/>
  <c r="O204" i="13"/>
  <c r="N23" i="17"/>
  <c r="R55" i="17"/>
  <c r="O114" i="13"/>
  <c r="O124" i="13"/>
  <c r="S212" i="13"/>
  <c r="O414" i="13"/>
  <c r="O498" i="13"/>
  <c r="O332" i="13"/>
  <c r="O125" i="13"/>
  <c r="O317" i="13"/>
  <c r="O518" i="13"/>
  <c r="S338" i="13"/>
  <c r="S551" i="13"/>
  <c r="O511" i="13"/>
  <c r="O508" i="13"/>
  <c r="O526" i="13"/>
  <c r="O253" i="13"/>
  <c r="O142" i="13"/>
  <c r="O545" i="13"/>
  <c r="O168" i="13"/>
  <c r="N25" i="17"/>
  <c r="R37" i="17"/>
  <c r="N57" i="17"/>
  <c r="N33" i="17"/>
  <c r="S250" i="13"/>
  <c r="S536" i="13"/>
  <c r="O529" i="13"/>
  <c r="O106" i="13"/>
  <c r="O230" i="13"/>
  <c r="O148" i="13"/>
  <c r="O74" i="13"/>
  <c r="O296" i="13"/>
  <c r="O93" i="13"/>
  <c r="S585" i="13"/>
  <c r="O208" i="13"/>
  <c r="O95" i="13"/>
  <c r="O195" i="13"/>
  <c r="O506" i="13"/>
  <c r="O32" i="13"/>
  <c r="O57" i="13"/>
  <c r="O23" i="13"/>
  <c r="N15" i="17"/>
  <c r="R36" i="17"/>
  <c r="O82" i="13"/>
  <c r="S555" i="13"/>
  <c r="S307" i="13"/>
  <c r="O197" i="13"/>
  <c r="O111" i="13"/>
  <c r="O293" i="13"/>
  <c r="O569" i="13"/>
  <c r="O370" i="13"/>
  <c r="O221" i="13"/>
  <c r="S24" i="13"/>
  <c r="O391" i="13"/>
  <c r="O547" i="13"/>
  <c r="O91" i="13"/>
  <c r="O395" i="13"/>
  <c r="O427" i="13"/>
  <c r="O459" i="13"/>
  <c r="O247" i="13"/>
  <c r="N45" i="17"/>
  <c r="N62" i="17"/>
  <c r="R28" i="17"/>
  <c r="O147" i="13"/>
  <c r="O339" i="13"/>
  <c r="O366" i="13"/>
  <c r="O572" i="13"/>
  <c r="O76" i="13"/>
  <c r="O522" i="13"/>
  <c r="O312" i="13"/>
  <c r="R135" i="17"/>
  <c r="O568" i="13"/>
  <c r="S505" i="13"/>
  <c r="O408" i="13"/>
  <c r="O424" i="13"/>
  <c r="O62" i="13"/>
  <c r="O333" i="13"/>
  <c r="O550" i="13"/>
  <c r="O551" i="13"/>
  <c r="O452" i="13"/>
  <c r="R63" i="17"/>
  <c r="R45" i="17"/>
  <c r="N24" i="17"/>
  <c r="S86" i="16"/>
  <c r="S114" i="15"/>
  <c r="O191" i="15"/>
  <c r="O176" i="15"/>
  <c r="O323" i="15"/>
  <c r="O313" i="15"/>
  <c r="O136" i="15"/>
  <c r="O300" i="15"/>
  <c r="O100" i="13"/>
  <c r="S403" i="13"/>
  <c r="S201" i="13"/>
  <c r="O341" i="15"/>
  <c r="O471" i="13"/>
  <c r="S296" i="13"/>
  <c r="S59" i="13"/>
  <c r="S513" i="13"/>
  <c r="S108" i="13"/>
  <c r="O118" i="13"/>
  <c r="O139" i="13"/>
  <c r="S574" i="13"/>
  <c r="S387" i="13"/>
  <c r="O178" i="15"/>
  <c r="S370" i="13"/>
  <c r="O325" i="13"/>
  <c r="O187" i="13"/>
  <c r="O227" i="13"/>
  <c r="S142" i="13"/>
  <c r="S394" i="13"/>
  <c r="O237" i="13"/>
  <c r="O192" i="15"/>
  <c r="S264" i="15"/>
  <c r="S143" i="13"/>
  <c r="S137" i="13"/>
  <c r="O21" i="15"/>
  <c r="O381" i="15"/>
  <c r="S448" i="13"/>
  <c r="S385" i="13"/>
  <c r="S248" i="13"/>
  <c r="O468" i="13"/>
  <c r="S242" i="15"/>
  <c r="S104" i="15"/>
  <c r="S27" i="16"/>
  <c r="S154" i="15"/>
  <c r="S444" i="13"/>
  <c r="S119" i="15"/>
  <c r="S48" i="13"/>
  <c r="O377" i="15"/>
  <c r="S198" i="13"/>
  <c r="O342" i="15"/>
  <c r="S47" i="15"/>
  <c r="S7" i="15"/>
  <c r="S314" i="15"/>
  <c r="O85" i="15"/>
  <c r="S346" i="13"/>
  <c r="O392" i="13"/>
  <c r="S189" i="15"/>
  <c r="O336" i="15"/>
  <c r="S238" i="13"/>
  <c r="S60" i="13"/>
  <c r="O303" i="15"/>
  <c r="O374" i="15"/>
  <c r="S149" i="13"/>
  <c r="O220" i="13"/>
  <c r="O320" i="15"/>
  <c r="S277" i="13"/>
  <c r="S268" i="13"/>
  <c r="O33" i="13"/>
  <c r="S78" i="13"/>
  <c r="O469" i="13"/>
  <c r="R33" i="17"/>
  <c r="O461" i="13"/>
  <c r="O28" i="13"/>
  <c r="O241" i="15"/>
  <c r="S582" i="13"/>
  <c r="S381" i="13"/>
  <c r="O33" i="15"/>
  <c r="S56" i="13"/>
  <c r="S21" i="13"/>
  <c r="O307" i="13"/>
  <c r="S316" i="15"/>
  <c r="S414" i="13"/>
  <c r="S180" i="13"/>
  <c r="S227" i="13"/>
  <c r="O478" i="13"/>
  <c r="O115" i="13"/>
  <c r="N68" i="17"/>
  <c r="O422" i="13"/>
  <c r="O225" i="13"/>
  <c r="O190" i="15"/>
  <c r="S239" i="13"/>
  <c r="S111" i="13"/>
  <c r="O122" i="15"/>
  <c r="S328" i="13"/>
  <c r="S516" i="13"/>
  <c r="O378" i="13"/>
  <c r="S235" i="15"/>
  <c r="S265" i="13"/>
  <c r="S547" i="13"/>
  <c r="O22" i="13"/>
  <c r="O58" i="13"/>
  <c r="O438" i="13"/>
  <c r="O549" i="13"/>
  <c r="O426" i="13"/>
  <c r="O171" i="13"/>
  <c r="O185" i="13"/>
  <c r="O578" i="13"/>
  <c r="O567" i="13"/>
  <c r="N43" i="17"/>
  <c r="R34" i="17"/>
  <c r="O298" i="15"/>
  <c r="S433" i="13"/>
  <c r="S104" i="13"/>
  <c r="S294" i="13"/>
  <c r="S490" i="13"/>
  <c r="S158" i="13"/>
  <c r="S375" i="13"/>
  <c r="S329" i="13"/>
  <c r="S10" i="13"/>
  <c r="O390" i="13"/>
  <c r="O388" i="15"/>
  <c r="S75" i="15"/>
  <c r="O31" i="15"/>
  <c r="O274" i="15"/>
  <c r="O212" i="15"/>
  <c r="S14" i="15"/>
  <c r="S479" i="13"/>
  <c r="S431" i="13"/>
  <c r="S305" i="13"/>
  <c r="S345" i="13"/>
  <c r="S243" i="13"/>
  <c r="S334" i="13"/>
  <c r="S262" i="13"/>
  <c r="S65" i="13"/>
  <c r="O407" i="13"/>
  <c r="O44" i="15"/>
  <c r="S39" i="15"/>
  <c r="O143" i="15"/>
  <c r="S333" i="15"/>
  <c r="O380" i="15"/>
  <c r="O198" i="15"/>
  <c r="S208" i="13"/>
  <c r="S23" i="13"/>
  <c r="S87" i="13"/>
  <c r="S523" i="13"/>
  <c r="S298" i="13"/>
  <c r="S500" i="13"/>
  <c r="S106" i="13"/>
  <c r="S242" i="13"/>
  <c r="O594" i="13"/>
  <c r="O329" i="13"/>
  <c r="O393" i="13"/>
  <c r="S321" i="13"/>
  <c r="O446" i="13"/>
  <c r="O201" i="13"/>
  <c r="O442" i="13"/>
  <c r="O336" i="13"/>
  <c r="O583" i="13"/>
  <c r="O169" i="13"/>
  <c r="S499" i="13"/>
  <c r="R137" i="17"/>
  <c r="R35" i="17"/>
  <c r="O245" i="13"/>
  <c r="S216" i="13"/>
  <c r="O98" i="13"/>
  <c r="O163" i="13"/>
  <c r="O383" i="13"/>
  <c r="O99" i="13"/>
  <c r="O101" i="13"/>
  <c r="O47" i="13"/>
  <c r="O561" i="13"/>
  <c r="R52" i="17"/>
  <c r="S130" i="13"/>
  <c r="S504" i="13"/>
  <c r="O410" i="13"/>
  <c r="S482" i="13"/>
  <c r="O259" i="13"/>
  <c r="O143" i="13"/>
  <c r="O554" i="13"/>
  <c r="O503" i="13"/>
  <c r="O136" i="13"/>
  <c r="N17" i="17"/>
  <c r="O523" i="13"/>
  <c r="O166" i="13"/>
  <c r="O451" i="13"/>
  <c r="O79" i="13"/>
  <c r="O133" i="13"/>
  <c r="O89" i="13"/>
  <c r="O85" i="13"/>
  <c r="O524" i="13"/>
  <c r="O553" i="13"/>
  <c r="N55" i="17"/>
  <c r="N29" i="17"/>
  <c r="R61" i="17"/>
  <c r="N28" i="17"/>
  <c r="O244" i="13"/>
  <c r="S520" i="13"/>
  <c r="O485" i="13"/>
  <c r="S570" i="13"/>
  <c r="O107" i="13"/>
  <c r="O440" i="13"/>
  <c r="O96" i="13"/>
  <c r="R134" i="17"/>
  <c r="O584" i="13"/>
  <c r="O593" i="13"/>
  <c r="S317" i="13"/>
  <c r="O177" i="13"/>
  <c r="O322" i="13"/>
  <c r="O263" i="13"/>
  <c r="O291" i="13"/>
  <c r="O388" i="13"/>
  <c r="O365" i="13"/>
  <c r="R59" i="17"/>
  <c r="R48" i="17"/>
  <c r="O327" i="13"/>
  <c r="O310" i="13"/>
  <c r="O87" i="13"/>
  <c r="O53" i="13"/>
  <c r="O447" i="13"/>
  <c r="O274" i="13"/>
  <c r="O420" i="13"/>
  <c r="R24" i="17"/>
  <c r="O273" i="13"/>
  <c r="O35" i="13"/>
  <c r="S293" i="13"/>
  <c r="O579" i="13"/>
  <c r="O436" i="13"/>
  <c r="O377" i="13"/>
  <c r="O21" i="13"/>
  <c r="O559" i="13"/>
  <c r="O474" i="13"/>
  <c r="N56" i="17"/>
  <c r="R30" i="17"/>
  <c r="R69" i="17"/>
  <c r="O180" i="13"/>
  <c r="O304" i="13"/>
  <c r="O552" i="13"/>
  <c r="O279" i="13"/>
  <c r="O386" i="13"/>
  <c r="O302" i="13"/>
  <c r="O228" i="13"/>
  <c r="R22" i="17"/>
  <c r="O144" i="13"/>
  <c r="S360" i="13"/>
  <c r="S20" i="13"/>
  <c r="O217" i="13"/>
  <c r="O387" i="13"/>
  <c r="O301" i="13"/>
  <c r="O428" i="13"/>
  <c r="O258" i="13"/>
  <c r="O167" i="13"/>
  <c r="R53" i="17"/>
  <c r="N31" i="17"/>
  <c r="R68" i="17"/>
  <c r="O86" i="16"/>
  <c r="S100" i="15"/>
  <c r="S279" i="13"/>
  <c r="S24" i="15"/>
  <c r="S425" i="13"/>
  <c r="S166" i="13"/>
  <c r="S395" i="13"/>
  <c r="S267" i="13"/>
  <c r="S332" i="13"/>
  <c r="O233" i="13"/>
  <c r="O540" i="13"/>
  <c r="S86" i="13"/>
  <c r="O179" i="15"/>
  <c r="O544" i="13"/>
  <c r="S131" i="13"/>
  <c r="S302" i="13"/>
  <c r="S174" i="15"/>
  <c r="S85" i="15"/>
  <c r="S73" i="13"/>
  <c r="O24" i="13"/>
  <c r="O128" i="13"/>
  <c r="R56" i="17"/>
  <c r="S352" i="13"/>
  <c r="S40" i="13"/>
  <c r="S365" i="13"/>
  <c r="O223" i="15"/>
  <c r="O233" i="15"/>
  <c r="S580" i="13"/>
  <c r="S502" i="13"/>
  <c r="S565" i="13"/>
  <c r="S207" i="15"/>
  <c r="O378" i="15"/>
  <c r="S34" i="13"/>
  <c r="S507" i="13"/>
  <c r="O541" i="13"/>
  <c r="S193" i="13"/>
  <c r="S409" i="13"/>
  <c r="O542" i="13"/>
  <c r="R46" i="17"/>
  <c r="O491" i="13"/>
  <c r="O72" i="13"/>
  <c r="O308" i="13"/>
  <c r="O515" i="13"/>
  <c r="R136" i="17"/>
  <c r="O152" i="13"/>
  <c r="O429" i="13"/>
  <c r="R62" i="17"/>
  <c r="O412" i="13"/>
  <c r="O419" i="13"/>
  <c r="S115" i="13"/>
  <c r="S6" i="13"/>
  <c r="S557" i="13"/>
  <c r="O320" i="13"/>
  <c r="N16" i="17"/>
  <c r="O207" i="13"/>
  <c r="O29" i="13"/>
  <c r="S485" i="13"/>
  <c r="O487" i="13"/>
  <c r="R40" i="17"/>
  <c r="O231" i="13"/>
  <c r="O160" i="13"/>
  <c r="R29" i="17"/>
  <c r="O278" i="13"/>
  <c r="O357" i="13"/>
  <c r="O443" i="13"/>
  <c r="O476" i="13"/>
  <c r="O505" i="13"/>
  <c r="O165" i="13"/>
  <c r="O432" i="13"/>
  <c r="O347" i="13"/>
  <c r="O41" i="13"/>
  <c r="O272" i="13"/>
  <c r="O7" i="13"/>
  <c r="O596" i="13"/>
  <c r="O409" i="13"/>
  <c r="R132" i="17"/>
  <c r="O577" i="13"/>
  <c r="O63" i="13"/>
  <c r="O105" i="13"/>
  <c r="O276" i="13"/>
  <c r="O513" i="13"/>
  <c r="O300" i="13"/>
  <c r="R15" i="17"/>
  <c r="O514" i="13"/>
  <c r="O489" i="13"/>
  <c r="O351" i="13"/>
  <c r="O397" i="13"/>
  <c r="R131" i="17"/>
  <c r="O223" i="13"/>
  <c r="O158" i="13"/>
  <c r="O162" i="13"/>
  <c r="O46" i="13"/>
  <c r="N71" i="17"/>
  <c r="O588" i="13"/>
  <c r="O210" i="13"/>
  <c r="O103" i="13"/>
  <c r="O501" i="13"/>
  <c r="N44" i="17"/>
  <c r="O337" i="13"/>
  <c r="S458" i="13"/>
  <c r="O15" i="13"/>
  <c r="O140" i="13"/>
  <c r="R14" i="17"/>
  <c r="O502" i="13"/>
  <c r="O67" i="13"/>
  <c r="O193" i="13"/>
  <c r="O590" i="13"/>
  <c r="N50" i="17"/>
  <c r="O282" i="13"/>
  <c r="O251" i="13"/>
  <c r="O268" i="13"/>
  <c r="O371" i="13"/>
  <c r="R58" i="17"/>
  <c r="O176" i="13"/>
  <c r="N67" i="17"/>
  <c r="S53" i="13"/>
  <c r="O284" i="13"/>
  <c r="O348" i="13"/>
  <c r="O439" i="13"/>
  <c r="O490" i="13"/>
  <c r="S508" i="13"/>
  <c r="O218" i="13"/>
  <c r="N36" i="17"/>
  <c r="O527" i="13"/>
  <c r="O396" i="13"/>
  <c r="O385" i="13"/>
  <c r="O181" i="13"/>
  <c r="N51" i="17"/>
  <c r="O342" i="13"/>
  <c r="O493" i="13"/>
  <c r="S540" i="13"/>
  <c r="O560" i="13"/>
  <c r="N48" i="17"/>
  <c r="O448" i="13"/>
  <c r="O235" i="13"/>
  <c r="O344" i="13"/>
  <c r="R71" i="17"/>
  <c r="S60" i="21"/>
  <c r="S68" i="21"/>
  <c r="N220" i="8"/>
  <c r="P180" i="8"/>
  <c r="N330" i="8"/>
  <c r="N304" i="8"/>
  <c r="P102" i="8"/>
  <c r="N112" i="8"/>
  <c r="P267" i="8"/>
  <c r="P68" i="8"/>
  <c r="N237" i="8"/>
  <c r="P70" i="8"/>
  <c r="N101" i="8"/>
  <c r="P34" i="8"/>
  <c r="P151" i="8"/>
  <c r="N275" i="8"/>
  <c r="N293" i="8"/>
  <c r="N47" i="8"/>
  <c r="P329" i="8"/>
  <c r="P13" i="8"/>
  <c r="N261" i="8"/>
  <c r="P145" i="8"/>
  <c r="N222" i="8"/>
  <c r="P236" i="8"/>
  <c r="P160" i="8"/>
  <c r="P57" i="8"/>
  <c r="N288" i="8"/>
  <c r="P53" i="8"/>
  <c r="P63" i="8"/>
  <c r="P101" i="8"/>
  <c r="P256" i="8"/>
  <c r="P286" i="8"/>
  <c r="N192" i="8"/>
  <c r="N79" i="8"/>
  <c r="P295" i="8"/>
  <c r="N298" i="8"/>
  <c r="N71" i="8"/>
  <c r="P272" i="8"/>
  <c r="P305" i="8"/>
  <c r="N228" i="8"/>
  <c r="P155" i="8"/>
  <c r="N273" i="8"/>
  <c r="N312" i="8"/>
  <c r="N219" i="8"/>
  <c r="N349" i="8"/>
  <c r="N355" i="8"/>
  <c r="P268" i="8"/>
  <c r="P135" i="8"/>
  <c r="P74" i="8"/>
  <c r="P136" i="8"/>
  <c r="P132" i="8"/>
  <c r="P191" i="8"/>
  <c r="P133" i="8"/>
  <c r="N34" i="8"/>
  <c r="P355" i="8"/>
  <c r="P94" i="8"/>
  <c r="N320" i="8"/>
  <c r="P341" i="8"/>
  <c r="N116" i="8"/>
  <c r="N76" i="8"/>
  <c r="P91" i="8"/>
  <c r="N83" i="8"/>
  <c r="N239" i="8"/>
  <c r="P9" i="8"/>
  <c r="N284" i="8"/>
  <c r="P240" i="8"/>
  <c r="P304" i="8"/>
  <c r="P166" i="8"/>
  <c r="P186" i="8"/>
  <c r="P149" i="8"/>
  <c r="N325" i="8"/>
  <c r="P12" i="8"/>
  <c r="P235" i="8"/>
  <c r="N248" i="8"/>
  <c r="N172" i="8"/>
  <c r="N43" i="8"/>
  <c r="P281" i="8"/>
  <c r="N117" i="8"/>
  <c r="N278" i="8"/>
  <c r="N306" i="8"/>
  <c r="P46" i="8"/>
  <c r="N166" i="8"/>
  <c r="N143" i="8"/>
  <c r="P335" i="8"/>
  <c r="P246" i="8"/>
  <c r="N169" i="8"/>
  <c r="N281" i="8"/>
  <c r="P174" i="8"/>
  <c r="P66" i="8"/>
  <c r="N158" i="8"/>
  <c r="N95" i="8"/>
  <c r="P326" i="8"/>
  <c r="P251" i="8"/>
  <c r="N307" i="8"/>
  <c r="P119" i="8"/>
  <c r="P25" i="8"/>
  <c r="N54" i="8"/>
  <c r="P127" i="8"/>
  <c r="N50" i="8"/>
  <c r="N171" i="8"/>
  <c r="N40" i="8"/>
  <c r="N285" i="8"/>
  <c r="P225" i="8"/>
  <c r="N65" i="8"/>
  <c r="N118" i="8"/>
  <c r="P158" i="8"/>
  <c r="P107" i="8"/>
  <c r="P113" i="8"/>
  <c r="P201" i="8"/>
  <c r="P99" i="8"/>
  <c r="N269" i="8"/>
  <c r="P95" i="8"/>
  <c r="N102" i="8"/>
  <c r="P300" i="8"/>
  <c r="P312" i="8"/>
  <c r="N236" i="8"/>
  <c r="N339" i="8"/>
  <c r="N155" i="8"/>
  <c r="P18" i="8"/>
  <c r="N123" i="8"/>
  <c r="P28" i="8"/>
  <c r="P198" i="8"/>
  <c r="N20" i="8"/>
  <c r="N326" i="8"/>
  <c r="P164" i="8"/>
  <c r="P10" i="8"/>
  <c r="N53" i="8"/>
  <c r="P134" i="8"/>
  <c r="P15" i="8"/>
  <c r="N336" i="8"/>
  <c r="P218" i="8"/>
  <c r="N215" i="8"/>
  <c r="P157" i="8"/>
  <c r="N17" i="8"/>
  <c r="N130" i="8"/>
  <c r="P90" i="8"/>
  <c r="P58" i="8"/>
  <c r="P56" i="8"/>
  <c r="N185" i="8"/>
  <c r="P333" i="8"/>
  <c r="N356" i="8"/>
  <c r="P122" i="8"/>
  <c r="N187" i="8"/>
  <c r="N198" i="8"/>
  <c r="N245" i="8"/>
  <c r="P314" i="8"/>
  <c r="N85" i="8"/>
  <c r="N58" i="8"/>
  <c r="N176" i="8"/>
  <c r="N173" i="8"/>
  <c r="N226" i="8"/>
  <c r="N103" i="8"/>
  <c r="P195" i="8"/>
  <c r="P105" i="8"/>
  <c r="P33" i="8"/>
  <c r="P290" i="8"/>
  <c r="N49" i="8"/>
  <c r="P140" i="8"/>
  <c r="N144" i="8"/>
  <c r="N350" i="8"/>
  <c r="P291" i="8"/>
  <c r="P165" i="8"/>
  <c r="P347" i="8"/>
  <c r="N75" i="8"/>
  <c r="N74" i="8"/>
  <c r="N321" i="8"/>
  <c r="P185" i="8"/>
  <c r="P344" i="8"/>
  <c r="P87" i="8"/>
  <c r="N255" i="8"/>
  <c r="N77" i="8"/>
  <c r="N346" i="8"/>
  <c r="P89" i="8"/>
  <c r="P276" i="8"/>
  <c r="P345" i="8"/>
  <c r="P21" i="8"/>
  <c r="N199" i="8"/>
  <c r="N180" i="8"/>
  <c r="P194" i="8"/>
  <c r="N154" i="8"/>
  <c r="N94" i="8"/>
  <c r="N232" i="8"/>
  <c r="N42" i="8"/>
  <c r="N344" i="8"/>
  <c r="P342" i="8"/>
  <c r="N78" i="8"/>
  <c r="P5" i="8"/>
  <c r="N279" i="8"/>
  <c r="N277" i="8"/>
  <c r="P35" i="8"/>
  <c r="N167" i="8"/>
  <c r="N244" i="8"/>
  <c r="P292" i="8"/>
  <c r="N235" i="8"/>
  <c r="P138" i="8"/>
  <c r="N84" i="8"/>
  <c r="P207" i="8"/>
  <c r="P244" i="8"/>
  <c r="N224" i="8"/>
  <c r="N126" i="8"/>
  <c r="P254" i="8"/>
  <c r="P209" i="8"/>
  <c r="N253" i="8"/>
  <c r="N337" i="8"/>
  <c r="P7" i="8"/>
  <c r="N115" i="8"/>
  <c r="P324" i="8"/>
  <c r="N51" i="8"/>
  <c r="N243" i="8"/>
  <c r="P192" i="8"/>
  <c r="P320" i="8"/>
  <c r="N56" i="8"/>
  <c r="N21" i="8"/>
  <c r="N348" i="8"/>
  <c r="N27" i="8"/>
  <c r="N319" i="8"/>
  <c r="N55" i="8"/>
  <c r="P193" i="8"/>
  <c r="P269" i="8"/>
  <c r="N354" i="8"/>
  <c r="P38" i="8"/>
  <c r="P73" i="8"/>
  <c r="N52" i="8"/>
  <c r="P190" i="8"/>
  <c r="N256" i="8"/>
  <c r="N147" i="8"/>
  <c r="N35" i="8"/>
  <c r="N8" i="8"/>
  <c r="P216" i="8"/>
  <c r="P250" i="8"/>
  <c r="P340" i="8"/>
  <c r="N37" i="8"/>
  <c r="P271" i="8"/>
  <c r="P307" i="8"/>
  <c r="P27" i="8"/>
  <c r="P196" i="8"/>
  <c r="P169" i="8"/>
  <c r="P159" i="8"/>
  <c r="P170" i="8"/>
  <c r="N181" i="8"/>
  <c r="N10" i="8"/>
  <c r="P264" i="8"/>
  <c r="N334" i="8"/>
  <c r="P86" i="8"/>
  <c r="N195" i="8"/>
  <c r="P129" i="8"/>
  <c r="N200" i="8"/>
  <c r="N251" i="8"/>
  <c r="N179" i="8"/>
  <c r="P175" i="8"/>
  <c r="P239" i="8"/>
  <c r="P187" i="8"/>
  <c r="N333" i="8"/>
  <c r="P176" i="8"/>
  <c r="N265" i="8"/>
  <c r="P350" i="8"/>
  <c r="P234" i="8"/>
  <c r="P243" i="8"/>
  <c r="P298" i="8"/>
  <c r="N343" i="8"/>
  <c r="N152" i="8"/>
  <c r="N135" i="8"/>
  <c r="P142" i="8"/>
  <c r="P294" i="8"/>
  <c r="N254" i="8"/>
  <c r="N6" i="8"/>
  <c r="P280" i="8"/>
  <c r="P299" i="8"/>
  <c r="P231" i="8"/>
  <c r="P112" i="8"/>
  <c r="N259" i="8"/>
  <c r="N28" i="8"/>
  <c r="N60" i="8"/>
  <c r="P59" i="8"/>
  <c r="N214" i="8"/>
  <c r="P173" i="8"/>
  <c r="P162" i="8"/>
  <c r="N145" i="8"/>
  <c r="P75" i="8"/>
  <c r="N134" i="8"/>
  <c r="P152" i="8"/>
  <c r="P311" i="8"/>
  <c r="N25" i="8"/>
  <c r="P328" i="8"/>
  <c r="N13" i="8"/>
  <c r="P84" i="8"/>
  <c r="P72" i="8"/>
  <c r="P69" i="8"/>
  <c r="P67" i="8"/>
  <c r="N30" i="8"/>
  <c r="P118" i="8"/>
  <c r="N151" i="8"/>
  <c r="N189" i="8"/>
  <c r="N351" i="8"/>
  <c r="N80" i="8"/>
  <c r="P19" i="8"/>
  <c r="N242" i="8"/>
  <c r="P296" i="8"/>
  <c r="N7" i="8"/>
  <c r="N201" i="8"/>
  <c r="N218" i="8"/>
  <c r="P52" i="8"/>
  <c r="N106" i="8"/>
  <c r="P282" i="8"/>
  <c r="N149" i="8"/>
  <c r="N136" i="8"/>
  <c r="P128" i="8"/>
  <c r="P42" i="8"/>
  <c r="P208" i="8"/>
  <c r="P83" i="8"/>
  <c r="N11" i="8"/>
  <c r="P262" i="8"/>
  <c r="P257" i="8"/>
  <c r="P76" i="8"/>
  <c r="P303" i="8"/>
  <c r="N87" i="8"/>
  <c r="N318" i="8"/>
  <c r="P315" i="8"/>
  <c r="N121" i="8"/>
  <c r="P88" i="8"/>
  <c r="P354" i="8"/>
  <c r="P65" i="8"/>
  <c r="P318" i="8"/>
  <c r="P79" i="8"/>
  <c r="P147" i="8"/>
  <c r="P213" i="8"/>
  <c r="N317" i="8"/>
  <c r="P352" i="8"/>
  <c r="N70" i="8"/>
  <c r="N110" i="8"/>
  <c r="P255" i="8"/>
  <c r="P343" i="8"/>
  <c r="N5" i="8"/>
  <c r="N270" i="8"/>
  <c r="N174" i="8"/>
  <c r="N267" i="8"/>
  <c r="P205" i="8"/>
  <c r="P156" i="8"/>
  <c r="P96" i="8"/>
  <c r="N250" i="8"/>
  <c r="N88" i="8"/>
  <c r="N313" i="8"/>
  <c r="N314" i="8"/>
  <c r="P210" i="8"/>
  <c r="P356" i="8"/>
  <c r="P261" i="8"/>
  <c r="P308" i="8"/>
  <c r="N231" i="8"/>
  <c r="P115" i="8"/>
  <c r="N162" i="8"/>
  <c r="P309" i="8"/>
  <c r="P306" i="8"/>
  <c r="P220" i="8"/>
  <c r="P106" i="8"/>
  <c r="P331" i="8"/>
  <c r="P241" i="8"/>
  <c r="P116" i="8"/>
  <c r="P48" i="8"/>
  <c r="N15" i="8"/>
  <c r="P348" i="8"/>
  <c r="P104" i="8"/>
  <c r="P125" i="8"/>
  <c r="N140" i="8"/>
  <c r="N125" i="8"/>
  <c r="N16" i="8"/>
  <c r="P202" i="8"/>
  <c r="N238" i="8"/>
  <c r="N338" i="8"/>
  <c r="N308" i="8"/>
  <c r="P31" i="8"/>
  <c r="P199" i="8"/>
  <c r="N322" i="8"/>
  <c r="N212" i="8"/>
  <c r="N45" i="8"/>
  <c r="P111" i="8"/>
  <c r="P117" i="8"/>
  <c r="P41" i="8"/>
  <c r="N280" i="8"/>
  <c r="P252" i="8"/>
  <c r="N186" i="8"/>
  <c r="N329" i="8"/>
  <c r="N327" i="8"/>
  <c r="P163" i="8"/>
  <c r="P108" i="8"/>
  <c r="P287" i="8"/>
  <c r="N208" i="8"/>
  <c r="N19" i="8"/>
  <c r="N190" i="8"/>
  <c r="P153" i="8"/>
  <c r="N153" i="8"/>
  <c r="P321" i="8"/>
  <c r="N146" i="8"/>
  <c r="P221" i="8"/>
  <c r="P110" i="8"/>
  <c r="N91" i="8"/>
  <c r="N69" i="8"/>
  <c r="P232" i="8"/>
  <c r="P54" i="8"/>
  <c r="P171" i="8"/>
  <c r="P211" i="8"/>
  <c r="P197" i="8"/>
  <c r="N202" i="8"/>
  <c r="N63" i="8"/>
  <c r="P154" i="8"/>
  <c r="N209" i="8"/>
  <c r="N129" i="8"/>
  <c r="P273" i="8"/>
  <c r="N241" i="8"/>
  <c r="N73" i="8"/>
  <c r="N283" i="8"/>
  <c r="P139" i="8"/>
  <c r="P184" i="8"/>
  <c r="N264" i="8"/>
  <c r="N211" i="8"/>
  <c r="P274" i="8"/>
  <c r="P265" i="8"/>
  <c r="N113" i="8"/>
  <c r="P43" i="8"/>
  <c r="P214" i="8"/>
  <c r="N38" i="8"/>
  <c r="N175" i="8"/>
  <c r="P258" i="8"/>
  <c r="P144" i="8"/>
  <c r="P178" i="8"/>
  <c r="N353" i="8"/>
  <c r="P279" i="8"/>
  <c r="P229" i="8"/>
  <c r="P242" i="8"/>
  <c r="P130" i="8"/>
  <c r="P167" i="8"/>
  <c r="N57" i="8"/>
  <c r="N324" i="8"/>
  <c r="P230" i="8"/>
  <c r="N286" i="8"/>
  <c r="N156" i="8"/>
  <c r="P80" i="8"/>
  <c r="P249" i="8"/>
  <c r="P310" i="8"/>
  <c r="N18" i="8"/>
  <c r="N127" i="8"/>
  <c r="P200" i="8"/>
  <c r="P206" i="8"/>
  <c r="P60" i="8"/>
  <c r="P222" i="8"/>
  <c r="N225" i="8"/>
  <c r="P270" i="8"/>
  <c r="N216" i="8"/>
  <c r="N122" i="8"/>
  <c r="P121" i="8"/>
  <c r="P323" i="8"/>
  <c r="P351" i="8"/>
  <c r="N86" i="8"/>
  <c r="P143" i="8"/>
  <c r="P215" i="8"/>
  <c r="P203" i="8"/>
  <c r="P30" i="8"/>
  <c r="P217" i="8"/>
  <c r="P49" i="8"/>
  <c r="P277" i="8"/>
  <c r="P77" i="8"/>
  <c r="N352" i="8"/>
  <c r="N276" i="8"/>
  <c r="P337" i="8"/>
  <c r="N206" i="8"/>
  <c r="P8" i="8"/>
  <c r="N315" i="8"/>
  <c r="P45" i="8"/>
  <c r="N240" i="8"/>
  <c r="P161" i="8"/>
  <c r="P302" i="8"/>
  <c r="N182" i="8"/>
  <c r="N62" i="8"/>
  <c r="P227" i="8"/>
  <c r="N204" i="8"/>
  <c r="P71" i="8"/>
  <c r="N213" i="8"/>
  <c r="P219" i="8"/>
  <c r="N33" i="8"/>
  <c r="N96" i="8"/>
  <c r="N67" i="8"/>
  <c r="N104" i="8"/>
  <c r="N89" i="8"/>
  <c r="P11" i="8"/>
  <c r="P82" i="8"/>
  <c r="N29" i="8"/>
  <c r="P327" i="8"/>
  <c r="N119" i="8"/>
  <c r="P188" i="8"/>
  <c r="N191" i="8"/>
  <c r="P181" i="8"/>
  <c r="P228" i="8"/>
  <c r="N138" i="8"/>
  <c r="N31" i="8"/>
  <c r="N290" i="8"/>
  <c r="N323" i="8"/>
  <c r="N150" i="8"/>
  <c r="P40" i="8"/>
  <c r="N68" i="8"/>
  <c r="N111" i="8"/>
  <c r="P62" i="8"/>
  <c r="N302" i="8"/>
  <c r="N295" i="8"/>
  <c r="N165" i="8"/>
  <c r="N109" i="8"/>
  <c r="P237" i="8"/>
  <c r="P322" i="8"/>
  <c r="N48" i="8"/>
  <c r="P93" i="8"/>
  <c r="P44" i="8"/>
  <c r="N100" i="8"/>
  <c r="N197" i="8"/>
  <c r="N97" i="8"/>
  <c r="P224" i="8"/>
  <c r="N168" i="8"/>
  <c r="P313" i="8"/>
  <c r="N148" i="8"/>
  <c r="P336" i="8"/>
  <c r="N274" i="8"/>
  <c r="P353" i="8"/>
  <c r="N164" i="8"/>
  <c r="N194" i="8"/>
  <c r="N128" i="8"/>
  <c r="P85" i="8"/>
  <c r="N341" i="8"/>
  <c r="N294" i="8"/>
  <c r="N61" i="8"/>
  <c r="N9" i="8"/>
  <c r="P97" i="8"/>
  <c r="N342" i="8"/>
  <c r="N98" i="8"/>
  <c r="N258" i="8"/>
  <c r="N159" i="8"/>
  <c r="P146" i="8"/>
  <c r="N305" i="8"/>
  <c r="P226" i="8"/>
  <c r="N114" i="8"/>
  <c r="N311" i="8"/>
  <c r="N72" i="8"/>
  <c r="P6" i="8"/>
  <c r="P238" i="8"/>
  <c r="P349" i="8"/>
  <c r="P285" i="8"/>
  <c r="P81" i="8"/>
  <c r="P137" i="8"/>
  <c r="N262" i="8"/>
  <c r="P338" i="8"/>
  <c r="P177" i="8"/>
  <c r="P103" i="8"/>
  <c r="N41" i="8"/>
  <c r="P346" i="8"/>
  <c r="N178" i="8"/>
  <c r="N161" i="8"/>
  <c r="P172" i="8"/>
  <c r="P260" i="8"/>
  <c r="N132" i="8"/>
  <c r="N177" i="8"/>
  <c r="P39" i="8"/>
  <c r="N81" i="8"/>
  <c r="N345" i="8"/>
  <c r="P126" i="8"/>
  <c r="N249" i="8"/>
  <c r="N64" i="8"/>
  <c r="N291" i="8"/>
  <c r="N99" i="8"/>
  <c r="N90" i="8"/>
  <c r="P266" i="8"/>
  <c r="P223" i="8"/>
  <c r="P100" i="8"/>
  <c r="P316" i="8"/>
  <c r="N271" i="8"/>
  <c r="P253" i="8"/>
  <c r="N131" i="8"/>
  <c r="P148" i="8"/>
  <c r="N133" i="8"/>
  <c r="N272" i="8"/>
  <c r="N139" i="8"/>
  <c r="P183" i="8"/>
  <c r="P17" i="8"/>
  <c r="P29" i="8"/>
  <c r="P330" i="8"/>
  <c r="P288" i="8"/>
  <c r="P37" i="8"/>
  <c r="N108" i="8"/>
  <c r="N32" i="8"/>
  <c r="P124" i="8"/>
  <c r="N301" i="8"/>
  <c r="P168" i="8"/>
  <c r="P301" i="8"/>
  <c r="N257" i="8"/>
  <c r="P284" i="8"/>
  <c r="N203" i="8"/>
  <c r="N93" i="8"/>
  <c r="N183" i="8"/>
  <c r="N347" i="8"/>
  <c r="N120" i="8"/>
  <c r="P47" i="8"/>
  <c r="N292" i="8"/>
  <c r="P297" i="8"/>
  <c r="N205" i="8"/>
  <c r="N160" i="8"/>
  <c r="P32" i="8"/>
  <c r="N124" i="8"/>
  <c r="P131" i="8"/>
  <c r="P114" i="8"/>
  <c r="N247" i="8"/>
  <c r="N303" i="8"/>
  <c r="P317" i="8"/>
  <c r="N137" i="8"/>
  <c r="N331" i="8"/>
  <c r="P278" i="8"/>
  <c r="N229" i="8"/>
  <c r="P334" i="8"/>
  <c r="P212" i="8"/>
  <c r="N227" i="8"/>
  <c r="P245" i="8"/>
  <c r="N221" i="8"/>
  <c r="N266" i="8"/>
  <c r="N296" i="8"/>
  <c r="P123" i="8"/>
  <c r="N59" i="8"/>
  <c r="N107" i="8"/>
  <c r="P248" i="8"/>
  <c r="N22" i="8"/>
  <c r="N332" i="8"/>
  <c r="N12" i="8"/>
  <c r="N335" i="8"/>
  <c r="N141" i="8"/>
  <c r="P150" i="8"/>
  <c r="N260" i="8"/>
  <c r="N39" i="8"/>
  <c r="P263" i="8"/>
  <c r="N170" i="8"/>
  <c r="N210" i="8"/>
  <c r="N163" i="8"/>
  <c r="N234" i="8"/>
  <c r="N46" i="8"/>
  <c r="N316" i="8"/>
  <c r="P204" i="8"/>
  <c r="N268" i="8"/>
  <c r="N299" i="8"/>
  <c r="P141" i="8"/>
  <c r="P64" i="8"/>
  <c r="N246" i="8"/>
  <c r="N44" i="8"/>
  <c r="N310" i="8"/>
  <c r="P20" i="8"/>
  <c r="P283" i="8"/>
  <c r="P50" i="8"/>
  <c r="N340" i="8"/>
  <c r="N207" i="8"/>
  <c r="N105" i="8"/>
  <c r="N193" i="8"/>
  <c r="P247" i="8"/>
  <c r="N328" i="8"/>
  <c r="N300" i="8"/>
  <c r="N142" i="8"/>
  <c r="N188" i="8"/>
  <c r="P293" i="8"/>
  <c r="P179" i="8"/>
  <c r="P109" i="8"/>
  <c r="N282" i="8"/>
  <c r="N252" i="8"/>
  <c r="N287" i="8"/>
  <c r="N157" i="8"/>
  <c r="P61" i="8"/>
  <c r="N289" i="8"/>
  <c r="P55" i="8"/>
  <c r="P339" i="8"/>
  <c r="P259" i="8"/>
  <c r="P275" i="8"/>
  <c r="N297" i="8"/>
  <c r="N230" i="8"/>
  <c r="N196" i="8"/>
  <c r="P51" i="8"/>
  <c r="P189" i="8"/>
  <c r="P319" i="8"/>
  <c r="P182" i="8"/>
  <c r="N184" i="8"/>
  <c r="N263" i="8"/>
  <c r="N233" i="8"/>
  <c r="P22" i="8"/>
  <c r="P16" i="8"/>
  <c r="N66" i="8"/>
  <c r="N82" i="8"/>
  <c r="P98" i="8"/>
  <c r="N217" i="8"/>
  <c r="P332" i="8"/>
  <c r="P325" i="8"/>
  <c r="P120" i="8"/>
  <c r="P233" i="8"/>
  <c r="N223" i="8"/>
  <c r="P289" i="8"/>
  <c r="P78" i="8"/>
  <c r="N309" i="8"/>
</calcChain>
</file>

<file path=xl/sharedStrings.xml><?xml version="1.0" encoding="utf-8"?>
<sst xmlns="http://schemas.openxmlformats.org/spreadsheetml/2006/main" count="15413" uniqueCount="1384">
  <si>
    <t>GroupName</t>
  </si>
  <si>
    <t>Formation</t>
  </si>
  <si>
    <t>Monster1</t>
  </si>
  <si>
    <t>Monster2</t>
  </si>
  <si>
    <t>Monster3</t>
  </si>
  <si>
    <t>Monster4</t>
  </si>
  <si>
    <t>Monster5</t>
  </si>
  <si>
    <t>Monster6</t>
  </si>
  <si>
    <t>Monster7</t>
  </si>
  <si>
    <t>Monster8</t>
  </si>
  <si>
    <t>Monster9</t>
  </si>
  <si>
    <t>Monster11</t>
  </si>
  <si>
    <t>Monster12</t>
  </si>
  <si>
    <t>Monster13</t>
  </si>
  <si>
    <t>Monster14</t>
  </si>
  <si>
    <t>Monster15</t>
  </si>
  <si>
    <t>Monster16</t>
  </si>
  <si>
    <t>Monster17</t>
  </si>
  <si>
    <t>Monster18</t>
  </si>
  <si>
    <t>Monster19</t>
  </si>
  <si>
    <t>Monster21</t>
  </si>
  <si>
    <t>Monster22</t>
  </si>
  <si>
    <t>Monster23</t>
  </si>
  <si>
    <t>Monster24</t>
  </si>
  <si>
    <t>吕布</t>
  </si>
  <si>
    <t>铁骑</t>
  </si>
  <si>
    <t>强弓</t>
  </si>
  <si>
    <t>左慈</t>
  </si>
  <si>
    <t>法师</t>
  </si>
  <si>
    <t>简单</t>
  </si>
  <si>
    <t>黄巾教徒</t>
  </si>
  <si>
    <t>黄巾铁骑</t>
  </si>
  <si>
    <t>黄巾法师</t>
  </si>
  <si>
    <t>普通</t>
  </si>
  <si>
    <t>盾甲</t>
  </si>
  <si>
    <t>困难</t>
  </si>
  <si>
    <t>超难</t>
  </si>
  <si>
    <t>马元义</t>
  </si>
  <si>
    <t>random</t>
  </si>
  <si>
    <t>黄巾-简单-铁兵</t>
  </si>
  <si>
    <t>heros</t>
  </si>
  <si>
    <t>黄巾-困难-铁兵+法兵</t>
  </si>
  <si>
    <t>黄巾-困难-铁英</t>
  </si>
  <si>
    <t>黄巾-普通-法兵</t>
  </si>
  <si>
    <t>黄巾-普通-教徒</t>
  </si>
  <si>
    <t>黄巾-普通-强兵</t>
  </si>
  <si>
    <t>黄巾-普通-铁兵+法兵</t>
  </si>
  <si>
    <t>黄巾-普通-铁兵+强兵</t>
  </si>
  <si>
    <t>黄巾-普通-铁英</t>
  </si>
  <si>
    <t>教徒</t>
  </si>
  <si>
    <t>三国-超难-刺英+刺英</t>
  </si>
  <si>
    <t>三国-超难-铁英+法英</t>
  </si>
  <si>
    <t>三国-超难-铁英+法英+法英</t>
  </si>
  <si>
    <t>三国-超难-铁英+炼英+炼英</t>
  </si>
  <si>
    <t>三国-超难-铁英+铁英+法英</t>
  </si>
  <si>
    <t>三国-简单-刺兵</t>
  </si>
  <si>
    <t>三国-简单-盾兵</t>
  </si>
  <si>
    <t>三国-简单-盾兵+法兵</t>
  </si>
  <si>
    <t>三国-简单-盾兵+炼兵</t>
  </si>
  <si>
    <t>三国-简单-法兵</t>
  </si>
  <si>
    <t>三国-简单-教徒</t>
  </si>
  <si>
    <t>三国-简单-炼兵</t>
  </si>
  <si>
    <t>三国-简单-强兵</t>
  </si>
  <si>
    <t>三国-简单-铁兵</t>
  </si>
  <si>
    <t>三国-简单-铁兵+法兵</t>
  </si>
  <si>
    <t>三国-简单-铁兵+炼兵</t>
  </si>
  <si>
    <t>三国-简单-铁兵+强兵</t>
  </si>
  <si>
    <t>三国-困难-盾兵+法兵</t>
  </si>
  <si>
    <t>三国-困难-盾兵+强兵</t>
  </si>
  <si>
    <t>三国-困难-盾英+刺英</t>
  </si>
  <si>
    <t>三国-困难-盾英+盾英</t>
  </si>
  <si>
    <t>三国-困难-盾英+法兵</t>
  </si>
  <si>
    <t>三国-困难-盾英+法英</t>
  </si>
  <si>
    <t>三国-困难-盾英+炼兵</t>
  </si>
  <si>
    <t>三国-困难-盾英+强兵</t>
  </si>
  <si>
    <t>三国-困难-盾英+强英</t>
  </si>
  <si>
    <t>三国-困难-法英+盾兵</t>
  </si>
  <si>
    <t>三国-困难-法英+法英</t>
  </si>
  <si>
    <t>三国-困难-法英+铁兵</t>
  </si>
  <si>
    <t>三国-困难-炼英+盾兵</t>
  </si>
  <si>
    <t>三国-困难-炼英+炼英</t>
  </si>
  <si>
    <t>三国-困难-炼英+铁兵</t>
  </si>
  <si>
    <t>三国-困难-强英+盾兵</t>
  </si>
  <si>
    <t>三国-困难-强英+强英</t>
  </si>
  <si>
    <t>三国-困难-强英+铁兵</t>
  </si>
  <si>
    <t>三国-困难-铁兵+法兵</t>
  </si>
  <si>
    <t>三国-困难-铁兵+炼兵</t>
  </si>
  <si>
    <t>三国-困难-铁兵+强兵</t>
  </si>
  <si>
    <t>三国-困难-铁兵+强兵+法兵</t>
  </si>
  <si>
    <t>三国-困难-铁英+刺英</t>
  </si>
  <si>
    <t>三国-困难-铁英+法兵</t>
  </si>
  <si>
    <t>三国-困难-铁英+法英</t>
  </si>
  <si>
    <t>三国-困难-铁英+炼兵</t>
  </si>
  <si>
    <t>三国-困难-铁英+炼英</t>
  </si>
  <si>
    <t>三国-困难-铁英+强兵</t>
  </si>
  <si>
    <t>三国-困难-铁英+强英</t>
  </si>
  <si>
    <t>三国-困难-铁英+铁英</t>
  </si>
  <si>
    <t>三国-普通-刺兵</t>
  </si>
  <si>
    <t>三国-普通-盾兵</t>
  </si>
  <si>
    <t>三国-普通-盾兵+法兵</t>
  </si>
  <si>
    <t>三国-普通-盾兵+炼兵</t>
  </si>
  <si>
    <t>三国-普通-盾兵+强兵</t>
  </si>
  <si>
    <t>三国-普通-盾英</t>
  </si>
  <si>
    <t>三国-普通-盾英+法兵</t>
  </si>
  <si>
    <t>三国-普通-盾英+炼兵</t>
  </si>
  <si>
    <t>三国-普通-盾英+强兵</t>
  </si>
  <si>
    <t>三国-普通-法兵</t>
  </si>
  <si>
    <t>三国-普通-法英+盾兵</t>
  </si>
  <si>
    <t>三国-普通-法英+铁兵</t>
  </si>
  <si>
    <t>三国-普通-教徒</t>
  </si>
  <si>
    <t>三国-普通-炼兵</t>
  </si>
  <si>
    <t>三国-普通-炼英+盾兵</t>
  </si>
  <si>
    <t>三国-普通-炼英+铁兵</t>
  </si>
  <si>
    <t>三国-普通-强兵</t>
  </si>
  <si>
    <t>三国-普通-强英</t>
  </si>
  <si>
    <t>三国-普通-强英+盾兵</t>
  </si>
  <si>
    <t>三国-普通-强英+铁兵</t>
  </si>
  <si>
    <t>三国-普通-铁兵</t>
  </si>
  <si>
    <t>三国-普通-铁兵+法兵</t>
  </si>
  <si>
    <t>三国-普通-铁兵+炼兵</t>
  </si>
  <si>
    <t>三国-普通-铁兵+强兵</t>
  </si>
  <si>
    <t>三国-普通-铁英</t>
  </si>
  <si>
    <t>三国-普通-铁英+法兵</t>
  </si>
  <si>
    <t>三国-普通-铁英+炼兵</t>
  </si>
  <si>
    <t>三国-普通-铁英+强兵</t>
  </si>
  <si>
    <t>VersionID</t>
  </si>
  <si>
    <t>怪物组名字</t>
  </si>
  <si>
    <t>版本号</t>
  </si>
  <si>
    <t>阵型</t>
  </si>
  <si>
    <t>怪物1</t>
  </si>
  <si>
    <t>怪物2</t>
  </si>
  <si>
    <t>怪物3</t>
  </si>
  <si>
    <t>怪物4</t>
  </si>
  <si>
    <t>怪物5</t>
  </si>
  <si>
    <t>怪物6</t>
  </si>
  <si>
    <t>怪物7</t>
  </si>
  <si>
    <t>怪物8</t>
  </si>
  <si>
    <t>怪物9</t>
  </si>
  <si>
    <t>怪物11</t>
  </si>
  <si>
    <t>怪物12</t>
  </si>
  <si>
    <t>怪物13</t>
  </si>
  <si>
    <t>怪物14</t>
  </si>
  <si>
    <t>怪物15</t>
  </si>
  <si>
    <t>怪物16</t>
  </si>
  <si>
    <t>怪物17</t>
  </si>
  <si>
    <t>怪物18</t>
  </si>
  <si>
    <t>怪物19</t>
  </si>
  <si>
    <t>怪物21</t>
  </si>
  <si>
    <t>怪物22</t>
  </si>
  <si>
    <t>怪物23</t>
  </si>
  <si>
    <t>怪物24</t>
  </si>
  <si>
    <t>三国</t>
  </si>
  <si>
    <t>铁英</t>
  </si>
  <si>
    <t>盾英</t>
  </si>
  <si>
    <t>强英</t>
  </si>
  <si>
    <t>炼英</t>
  </si>
  <si>
    <t>法英</t>
  </si>
  <si>
    <t>刺英</t>
  </si>
  <si>
    <t>铁兵</t>
  </si>
  <si>
    <t>盾兵</t>
  </si>
  <si>
    <t>强兵</t>
  </si>
  <si>
    <t>炼兵</t>
  </si>
  <si>
    <t>法兵</t>
  </si>
  <si>
    <t>刺兵</t>
  </si>
  <si>
    <t>教徒</t>
    <phoneticPr fontId="28" type="noConversion"/>
  </si>
  <si>
    <t>简单1兵</t>
    <phoneticPr fontId="28" type="noConversion"/>
  </si>
  <si>
    <t>简单2兵</t>
    <phoneticPr fontId="28" type="noConversion"/>
  </si>
  <si>
    <t>普通1兵</t>
    <phoneticPr fontId="28" type="noConversion"/>
  </si>
  <si>
    <t>普通2兵</t>
    <phoneticPr fontId="28" type="noConversion"/>
  </si>
  <si>
    <t>普通1英</t>
    <phoneticPr fontId="28" type="noConversion"/>
  </si>
  <si>
    <t>普通1英近1兵远</t>
    <phoneticPr fontId="28" type="noConversion"/>
  </si>
  <si>
    <t>普通1英远1兵近</t>
    <phoneticPr fontId="28" type="noConversion"/>
  </si>
  <si>
    <t>三国</t>
    <phoneticPr fontId="28" type="noConversion"/>
  </si>
  <si>
    <t>困难2兵</t>
    <phoneticPr fontId="28" type="noConversion"/>
  </si>
  <si>
    <t>困难2英</t>
    <phoneticPr fontId="28" type="noConversion"/>
  </si>
  <si>
    <t>困难3兵</t>
    <phoneticPr fontId="28" type="noConversion"/>
  </si>
  <si>
    <t>三国</t>
    <phoneticPr fontId="28" type="noConversion"/>
  </si>
  <si>
    <t>困难1英近1兵远</t>
    <phoneticPr fontId="28" type="noConversion"/>
  </si>
  <si>
    <t>困难1英远1兵近</t>
    <phoneticPr fontId="28" type="noConversion"/>
  </si>
  <si>
    <t>超难2英</t>
    <phoneticPr fontId="28" type="noConversion"/>
  </si>
  <si>
    <t>超难</t>
    <phoneticPr fontId="28" type="noConversion"/>
  </si>
  <si>
    <t>超难3英-近近远</t>
    <phoneticPr fontId="28" type="noConversion"/>
  </si>
  <si>
    <t>三国</t>
    <phoneticPr fontId="28" type="noConversion"/>
  </si>
  <si>
    <t>超难</t>
    <phoneticPr fontId="28" type="noConversion"/>
  </si>
  <si>
    <t>超难3英-近远远</t>
    <phoneticPr fontId="28" type="noConversion"/>
  </si>
  <si>
    <t>变态</t>
    <phoneticPr fontId="28" type="noConversion"/>
  </si>
  <si>
    <t>变态3英-近近远</t>
    <phoneticPr fontId="28" type="noConversion"/>
  </si>
  <si>
    <t>变态3英-近远远</t>
    <phoneticPr fontId="28" type="noConversion"/>
  </si>
  <si>
    <t>注: 添加了单位之后记得要更新 GET_SORT_ID 函数</t>
    <phoneticPr fontId="28" type="noConversion"/>
  </si>
  <si>
    <t>困难1英近[B]1兵远</t>
    <phoneticPr fontId="28" type="noConversion"/>
  </si>
  <si>
    <t>困难1英远[B]1兵近</t>
    <phoneticPr fontId="28" type="noConversion"/>
  </si>
  <si>
    <t>困难2英[B]</t>
    <phoneticPr fontId="28" type="noConversion"/>
  </si>
  <si>
    <t>三国</t>
    <phoneticPr fontId="28" type="noConversion"/>
  </si>
  <si>
    <t>超难2英[B]</t>
    <phoneticPr fontId="28" type="noConversion"/>
  </si>
  <si>
    <t>变态</t>
  </si>
  <si>
    <t>超难3英[B]-近近远</t>
    <phoneticPr fontId="28" type="noConversion"/>
  </si>
  <si>
    <t>超难3英[B]-近远远</t>
    <phoneticPr fontId="28" type="noConversion"/>
  </si>
  <si>
    <t>变态3英[B]-近近远</t>
    <phoneticPr fontId="28" type="noConversion"/>
  </si>
  <si>
    <t>变态3英[B]-近远远</t>
    <phoneticPr fontId="28" type="noConversion"/>
  </si>
  <si>
    <t>三国-简单-盾兵+强兵</t>
  </si>
  <si>
    <t>三国-普通-炼英</t>
  </si>
  <si>
    <t>三国-普通-法英</t>
  </si>
  <si>
    <t>三国-普通-刺英</t>
  </si>
  <si>
    <t>三国-困难-盾兵+炼兵</t>
  </si>
  <si>
    <t>三国-困难-铁兵+盾兵+强兵</t>
  </si>
  <si>
    <t>三国-困难-铁兵+盾兵+炼兵</t>
  </si>
  <si>
    <t>三国-困难-铁兵+盾兵+法兵</t>
  </si>
  <si>
    <t>三国-困难-盾兵+强兵+炼兵</t>
  </si>
  <si>
    <t>三国-困难-盾兵+强兵+法兵</t>
  </si>
  <si>
    <t>三国-困难-盾兵+炼兵+法兵</t>
  </si>
  <si>
    <t>三国-困难-铁兵+强兵+炼兵</t>
  </si>
  <si>
    <t>三国-困难-铁兵+炼兵+法兵</t>
  </si>
  <si>
    <t>三国-困难-[B]铁英+强兵</t>
  </si>
  <si>
    <t>三国-困难-[B]铁英+炼兵</t>
  </si>
  <si>
    <t>三国-困难-[B]铁英+法兵</t>
  </si>
  <si>
    <t>三国-困难-[B]盾英+强兵</t>
  </si>
  <si>
    <t>三国-困难-[B]盾英+炼兵</t>
  </si>
  <si>
    <t>三国-困难-[B]盾英+法兵</t>
  </si>
  <si>
    <t>三国-困难-[B]强英+铁兵</t>
  </si>
  <si>
    <t>三国-困难-[B]强英+盾兵</t>
  </si>
  <si>
    <t>三国-困难-[B]法英+铁兵</t>
  </si>
  <si>
    <t>三国-困难-[B]法英+盾兵</t>
  </si>
  <si>
    <t>三国-困难-[B]炼英+铁兵</t>
  </si>
  <si>
    <t>三国-困难-[B]炼英+盾兵</t>
  </si>
  <si>
    <t>三国-困难-铁英+盾英</t>
  </si>
  <si>
    <t>三国-困难-盾英+炼英</t>
  </si>
  <si>
    <t>三国-困难-强英+炼英</t>
  </si>
  <si>
    <t>三国-困难-强英+法英</t>
  </si>
  <si>
    <t>三国-困难-强英+刺英</t>
  </si>
  <si>
    <t>三国-困难-炼英+法英</t>
  </si>
  <si>
    <t>三国-困难-炼英+刺英</t>
  </si>
  <si>
    <t>三国-困难-法英+刺英</t>
  </si>
  <si>
    <t>三国-困难-刺英+刺英</t>
  </si>
  <si>
    <t>三国-超难-铁英+铁英</t>
  </si>
  <si>
    <t>三国-超难-铁英+盾英</t>
  </si>
  <si>
    <t>三国-超难-铁英+强英</t>
  </si>
  <si>
    <t>三国-超难-铁英+炼英</t>
  </si>
  <si>
    <t>三国-超难-铁英+刺英</t>
  </si>
  <si>
    <t>三国-超难-盾英+盾英</t>
  </si>
  <si>
    <t>三国-超难-盾英+强英</t>
  </si>
  <si>
    <t>三国-超难-盾英+炼英</t>
  </si>
  <si>
    <t>三国-超难-盾英+法英</t>
  </si>
  <si>
    <t>三国-超难-盾英+刺英</t>
  </si>
  <si>
    <t>三国-超难-强英+强英</t>
  </si>
  <si>
    <t>三国-超难-强英+炼英</t>
  </si>
  <si>
    <t>三国-超难-强英+法英</t>
  </si>
  <si>
    <t>三国-超难-强英+刺英</t>
  </si>
  <si>
    <t>三国-超难-炼英+炼英</t>
  </si>
  <si>
    <t>三国-超难-炼英+法英</t>
  </si>
  <si>
    <t>三国-超难-炼英+刺英</t>
  </si>
  <si>
    <t>三国-超难-法英+法英</t>
  </si>
  <si>
    <t>三国-超难-法英+刺英</t>
  </si>
  <si>
    <t>三国-超难-铁英+铁英+强英</t>
  </si>
  <si>
    <t>三国-超难-铁英+铁英+炼英</t>
  </si>
  <si>
    <t>三国-超难-铁英+铁英+刺英</t>
  </si>
  <si>
    <t>三国-超难-盾英+盾英+强英</t>
  </si>
  <si>
    <t>三国-超难-盾英+盾英+炼英</t>
  </si>
  <si>
    <t>三国-超难-盾英+盾英+法英</t>
  </si>
  <si>
    <t>三国-超难-盾英+盾英+刺英</t>
  </si>
  <si>
    <t>三国-超难-铁英+盾英+强英</t>
  </si>
  <si>
    <t>三国-超难-铁英+盾英+炼英</t>
  </si>
  <si>
    <t>三国-超难-铁英+盾英+法英</t>
  </si>
  <si>
    <t>三国-超难-铁英+盾英+刺英</t>
  </si>
  <si>
    <t>三国-超难-铁英+强英+强英</t>
  </si>
  <si>
    <t>三国-超难-铁英+刺英+刺英</t>
  </si>
  <si>
    <t>三国-超难-铁英+强英+炼英</t>
  </si>
  <si>
    <t>三国-超难-铁英+强英+法英</t>
  </si>
  <si>
    <t>三国-超难-铁英+炼英+法英</t>
  </si>
  <si>
    <t>三国-超难-铁英+炼英+刺英</t>
  </si>
  <si>
    <t>三国-超难-铁英+法英+刺英</t>
  </si>
  <si>
    <t>三国-超难-盾英+炼英+炼英</t>
  </si>
  <si>
    <t>三国-超难-盾英+法英+法英</t>
  </si>
  <si>
    <t>三国-超难-盾英+刺英+刺英</t>
  </si>
  <si>
    <t>三国-超难-盾英+强英+炼英</t>
  </si>
  <si>
    <t>三国-超难-盾英+强英+法英</t>
  </si>
  <si>
    <t>三国-超难-盾英+炼英+法英</t>
  </si>
  <si>
    <t>三国-超难-盾英+炼英+刺英</t>
  </si>
  <si>
    <t>三国-超难-盾英+法英+刺英</t>
  </si>
  <si>
    <t>三国-变态-铁英+铁英+强英</t>
  </si>
  <si>
    <t>三国-变态-铁英+铁英+炼英</t>
  </si>
  <si>
    <t>三国-变态-铁英+铁英+法英</t>
  </si>
  <si>
    <t>三国-变态-铁英+铁英+刺英</t>
  </si>
  <si>
    <t>三国-变态-盾英+盾英+强英</t>
  </si>
  <si>
    <t>三国-变态-盾英+盾英+炼英</t>
  </si>
  <si>
    <t>三国-变态-盾英+盾英+法英</t>
  </si>
  <si>
    <t>三国-变态-盾英+盾英+刺英</t>
  </si>
  <si>
    <t>三国-变态-铁英+盾英+强英</t>
  </si>
  <si>
    <t>三国-变态-铁英+盾英+炼英</t>
  </si>
  <si>
    <t>三国-变态-铁英+盾英+法英</t>
  </si>
  <si>
    <t>三国-变态-铁英+盾英+刺英</t>
  </si>
  <si>
    <t>三国-变态-铁英+强英+强英</t>
  </si>
  <si>
    <t>三国-变态-铁英+炼英+炼英</t>
  </si>
  <si>
    <t>三国-变态-铁英+法英+法英</t>
  </si>
  <si>
    <t>三国-变态-铁英+刺英+刺英</t>
  </si>
  <si>
    <t>三国-变态-铁英+强英+炼英</t>
  </si>
  <si>
    <t>三国-变态-铁英+强英+法英</t>
  </si>
  <si>
    <t>三国-变态-铁英+炼英+法英</t>
  </si>
  <si>
    <t>三国-变态-铁英+炼英+刺英</t>
  </si>
  <si>
    <t>三国-变态-铁英+法英+刺英</t>
  </si>
  <si>
    <t>三国-变态-盾英+炼英+炼英</t>
  </si>
  <si>
    <t>三国-变态-盾英+法英+法英</t>
  </si>
  <si>
    <t>三国-变态-盾英+刺英+刺英</t>
  </si>
  <si>
    <t>三国-变态-盾英+强英+炼英</t>
  </si>
  <si>
    <t>三国-变态-盾英+强英+法英</t>
  </si>
  <si>
    <t>三国-变态-盾英+炼英+法英</t>
  </si>
  <si>
    <t>三国-变态-盾英+炼英+刺英</t>
  </si>
  <si>
    <t>三国-变态-盾英+法英+刺英</t>
  </si>
  <si>
    <t>黄巾强弓</t>
  </si>
  <si>
    <t>夏牟</t>
  </si>
  <si>
    <t>青州校尉</t>
  </si>
  <si>
    <t>区星</t>
  </si>
  <si>
    <t>韩当</t>
  </si>
  <si>
    <t>段珪</t>
  </si>
  <si>
    <t>牛辅</t>
  </si>
  <si>
    <t>王允</t>
  </si>
  <si>
    <t>审配</t>
  </si>
  <si>
    <t>神秘将领</t>
  </si>
  <si>
    <t>张武</t>
  </si>
  <si>
    <t>徐庶</t>
  </si>
  <si>
    <t>刘琮</t>
  </si>
  <si>
    <t>曹纯</t>
  </si>
  <si>
    <t>裴元绍</t>
  </si>
  <si>
    <t>何进</t>
  </si>
  <si>
    <t>周泰</t>
  </si>
  <si>
    <t>魏续</t>
  </si>
  <si>
    <t>张曼成</t>
  </si>
  <si>
    <t>张梁</t>
  </si>
  <si>
    <t>张宝</t>
  </si>
  <si>
    <t>郭汜</t>
  </si>
  <si>
    <t>徐荣</t>
  </si>
  <si>
    <t>华雄</t>
  </si>
  <si>
    <t>樊稠</t>
  </si>
  <si>
    <t>胡轸</t>
  </si>
  <si>
    <t>李傕</t>
  </si>
  <si>
    <t>李儒</t>
  </si>
  <si>
    <t>张济</t>
  </si>
  <si>
    <t>李肃</t>
  </si>
  <si>
    <t>陈登</t>
  </si>
  <si>
    <t>陈群</t>
  </si>
  <si>
    <t>曹性</t>
  </si>
  <si>
    <t>陈宫</t>
  </si>
  <si>
    <t>张邈</t>
  </si>
  <si>
    <t>高顺</t>
  </si>
  <si>
    <t>胡车儿</t>
  </si>
  <si>
    <t>张绣</t>
  </si>
  <si>
    <t>张先</t>
  </si>
  <si>
    <t>张勋</t>
  </si>
  <si>
    <t>杨弘</t>
  </si>
  <si>
    <t>纪灵</t>
  </si>
  <si>
    <t>雷薄</t>
  </si>
  <si>
    <t>袁术</t>
  </si>
  <si>
    <t>陈琳</t>
  </si>
  <si>
    <t>牵招</t>
  </si>
  <si>
    <t>卞喜</t>
  </si>
  <si>
    <t>许褚</t>
  </si>
  <si>
    <t>淳于琼</t>
  </si>
  <si>
    <t>高览</t>
  </si>
  <si>
    <t>袁尚</t>
  </si>
  <si>
    <t>甄宓</t>
  </si>
  <si>
    <t>曹休</t>
  </si>
  <si>
    <t>江贼</t>
  </si>
  <si>
    <t>甘宁</t>
  </si>
  <si>
    <t>蒯越</t>
  </si>
  <si>
    <t>蔡瑁</t>
  </si>
  <si>
    <t>曹仁</t>
  </si>
  <si>
    <t>诸葛均</t>
  </si>
  <si>
    <t>文聘</t>
  </si>
  <si>
    <t>曹真</t>
  </si>
  <si>
    <t>徐晃</t>
  </si>
  <si>
    <t>张昭</t>
  </si>
  <si>
    <t>孙权</t>
  </si>
  <si>
    <t>曹洪</t>
  </si>
  <si>
    <t>庞德公</t>
  </si>
  <si>
    <t>丁奉</t>
  </si>
  <si>
    <t>刘晔</t>
  </si>
  <si>
    <t>蹋顿</t>
  </si>
  <si>
    <t>丁原</t>
  </si>
  <si>
    <t>刘璋</t>
  </si>
  <si>
    <t>严政</t>
  </si>
  <si>
    <t>黄巾法师英雄</t>
  </si>
  <si>
    <t>盾甲英雄</t>
  </si>
  <si>
    <t>强弓英雄</t>
  </si>
  <si>
    <t>铁骑英雄</t>
  </si>
  <si>
    <t>炼金英雄</t>
  </si>
  <si>
    <t>法师英雄</t>
  </si>
  <si>
    <t>刺客英雄</t>
  </si>
  <si>
    <t>黄巾铁骑英雄</t>
  </si>
  <si>
    <t>特殊铁骑英雄</t>
  </si>
  <si>
    <t>黄忠</t>
  </si>
  <si>
    <t>张飞</t>
  </si>
  <si>
    <t>关兴</t>
  </si>
  <si>
    <t>马岱</t>
  </si>
  <si>
    <t>王平</t>
  </si>
  <si>
    <t>鲍三娘</t>
  </si>
  <si>
    <t>赵云</t>
  </si>
  <si>
    <t>诸葛亮</t>
  </si>
  <si>
    <t>关羽</t>
  </si>
  <si>
    <t>法正</t>
  </si>
  <si>
    <t>庞统</t>
  </si>
  <si>
    <t>刘备</t>
  </si>
  <si>
    <t>张苞</t>
  </si>
  <si>
    <t>关索</t>
  </si>
  <si>
    <t>步练师</t>
  </si>
  <si>
    <t>蔡文姬</t>
  </si>
  <si>
    <t>皇甫嵩</t>
  </si>
  <si>
    <t>董卓</t>
  </si>
  <si>
    <t>程昱</t>
  </si>
  <si>
    <t>于禁</t>
  </si>
  <si>
    <t>袁绍</t>
  </si>
  <si>
    <t>卢植</t>
  </si>
  <si>
    <t>夏侯惇</t>
  </si>
  <si>
    <t>公孙瓒</t>
  </si>
  <si>
    <t>孙坚</t>
  </si>
  <si>
    <t>曹操</t>
  </si>
  <si>
    <t>甄姬</t>
  </si>
  <si>
    <t>郭嘉</t>
  </si>
  <si>
    <t>贾诩</t>
  </si>
  <si>
    <t>张郃</t>
  </si>
  <si>
    <t>司马懿</t>
  </si>
  <si>
    <t>夏侯渊</t>
  </si>
  <si>
    <t>荀攸</t>
  </si>
  <si>
    <t>李典</t>
  </si>
  <si>
    <t>钟会</t>
  </si>
  <si>
    <t>邓艾</t>
  </si>
  <si>
    <t>孙尚香</t>
  </si>
  <si>
    <t>张角</t>
  </si>
  <si>
    <t>张辽</t>
  </si>
  <si>
    <t>荀彧</t>
  </si>
  <si>
    <t>颜良</t>
  </si>
  <si>
    <t>文丑</t>
  </si>
  <si>
    <t>沮授</t>
  </si>
  <si>
    <t>田丰</t>
  </si>
  <si>
    <t>于吉</t>
  </si>
  <si>
    <t>貂蝉</t>
  </si>
  <si>
    <t>朱儁</t>
  </si>
  <si>
    <t>吕蒙</t>
  </si>
  <si>
    <t>周瑜</t>
  </si>
  <si>
    <t>太史慈</t>
  </si>
  <si>
    <t>小乔</t>
  </si>
  <si>
    <t>徐盛</t>
  </si>
  <si>
    <t>特殊黄巾铁骑英雄</t>
  </si>
  <si>
    <t>特殊黄巾强弓英雄</t>
  </si>
  <si>
    <t>特殊黄巾炼金英雄</t>
  </si>
  <si>
    <t>特殊黄巾法师英雄</t>
  </si>
  <si>
    <t>特殊强弓英雄</t>
  </si>
  <si>
    <t>特殊炼金英雄</t>
  </si>
  <si>
    <t>特殊法师英雄</t>
  </si>
  <si>
    <t>炼金</t>
  </si>
  <si>
    <t>刺客</t>
  </si>
  <si>
    <t>旗手</t>
  </si>
  <si>
    <t>黄巾盾甲</t>
  </si>
  <si>
    <t>黄巾炼金</t>
  </si>
  <si>
    <t>黄巾刺客</t>
  </si>
  <si>
    <t>黄巾旗手</t>
  </si>
  <si>
    <t>黄巾强弓英雄</t>
  </si>
  <si>
    <t>黄巾盾甲英雄</t>
  </si>
  <si>
    <t>黄巾炼金英雄</t>
  </si>
  <si>
    <t>黄巾刺客英雄</t>
  </si>
  <si>
    <t>铁英</t>
    <phoneticPr fontId="28" type="noConversion"/>
  </si>
  <si>
    <t>强英</t>
    <phoneticPr fontId="28" type="noConversion"/>
  </si>
  <si>
    <t>炼英</t>
    <phoneticPr fontId="28" type="noConversion"/>
  </si>
  <si>
    <t>法英</t>
    <phoneticPr fontId="28" type="noConversion"/>
  </si>
  <si>
    <t>旗兵</t>
  </si>
  <si>
    <t>教徒</t>
    <phoneticPr fontId="28" type="noConversion"/>
  </si>
  <si>
    <t>盾英</t>
    <phoneticPr fontId="28" type="noConversion"/>
  </si>
  <si>
    <t>刺英</t>
    <phoneticPr fontId="28" type="noConversion"/>
  </si>
  <si>
    <t>Type</t>
    <phoneticPr fontId="28" type="noConversion"/>
  </si>
  <si>
    <t>Index</t>
    <phoneticPr fontId="28" type="noConversion"/>
  </si>
  <si>
    <t>HeroIndex</t>
    <phoneticPr fontId="28" type="noConversion"/>
  </si>
  <si>
    <t>Name</t>
    <phoneticPr fontId="28" type="noConversion"/>
  </si>
  <si>
    <t>Difficulty</t>
    <phoneticPr fontId="28" type="noConversion"/>
  </si>
  <si>
    <t>HeroCount</t>
    <phoneticPr fontId="28" type="noConversion"/>
  </si>
  <si>
    <t>SoldierCount</t>
    <phoneticPr fontId="28" type="noConversion"/>
  </si>
  <si>
    <t>Hero1</t>
    <phoneticPr fontId="28" type="noConversion"/>
  </si>
  <si>
    <t>Hero2</t>
    <phoneticPr fontId="28" type="noConversion"/>
  </si>
  <si>
    <t>Hero3</t>
    <phoneticPr fontId="28" type="noConversion"/>
  </si>
  <si>
    <t>Soldier1</t>
    <phoneticPr fontId="28" type="noConversion"/>
  </si>
  <si>
    <t>Soldier2</t>
    <phoneticPr fontId="28" type="noConversion"/>
  </si>
  <si>
    <t>Soldier3</t>
    <phoneticPr fontId="28" type="noConversion"/>
  </si>
  <si>
    <t>Check</t>
    <phoneticPr fontId="28" type="noConversion"/>
  </si>
  <si>
    <t>Camp</t>
    <phoneticPr fontId="28" type="noConversion"/>
  </si>
  <si>
    <t>SoldierIndex</t>
    <phoneticPr fontId="28" type="noConversion"/>
  </si>
  <si>
    <t>Wave</t>
    <phoneticPr fontId="28" type="noConversion"/>
  </si>
  <si>
    <t>Soldier1</t>
    <phoneticPr fontId="28" type="noConversion"/>
  </si>
  <si>
    <t>Soldier2</t>
    <phoneticPr fontId="28" type="noConversion"/>
  </si>
  <si>
    <t>Soldier3</t>
    <phoneticPr fontId="28" type="noConversion"/>
  </si>
  <si>
    <t>Group</t>
    <phoneticPr fontId="28" type="noConversion"/>
  </si>
  <si>
    <t>GroupCount</t>
    <phoneticPr fontId="28" type="noConversion"/>
  </si>
  <si>
    <t>GroupID</t>
    <phoneticPr fontId="28" type="noConversion"/>
  </si>
  <si>
    <t>Difficulty</t>
    <phoneticPr fontId="28" type="noConversion"/>
  </si>
  <si>
    <t>IsBoss</t>
    <phoneticPr fontId="28" type="noConversion"/>
  </si>
  <si>
    <t>Camp</t>
    <phoneticPr fontId="28" type="noConversion"/>
  </si>
  <si>
    <t>StageName</t>
    <phoneticPr fontId="28" type="noConversion"/>
  </si>
  <si>
    <t>Hero1</t>
    <phoneticPr fontId="28" type="noConversion"/>
  </si>
  <si>
    <t>Hero2</t>
    <phoneticPr fontId="28" type="noConversion"/>
  </si>
  <si>
    <t>Hero3</t>
    <phoneticPr fontId="28" type="noConversion"/>
  </si>
  <si>
    <t>Boss</t>
    <phoneticPr fontId="28" type="noConversion"/>
  </si>
  <si>
    <t>三国-困难-[B]铁英+铁英</t>
  </si>
  <si>
    <t>三国-困难-[B]铁英+盾英</t>
  </si>
  <si>
    <t>三国-困难-[B]铁英+强英</t>
  </si>
  <si>
    <t>三国-困难-[B]铁英+炼英</t>
  </si>
  <si>
    <t>三国-困难-[B]铁英+法英</t>
  </si>
  <si>
    <t>三国-困难-[B]铁英+刺英</t>
  </si>
  <si>
    <t>三国-困难-[B]盾英+盾英</t>
  </si>
  <si>
    <t>三国-困难-[B]盾英+强英</t>
  </si>
  <si>
    <t>三国-困难-[B]盾英+炼英</t>
  </si>
  <si>
    <t>三国-困难-[B]盾英+法英</t>
  </si>
  <si>
    <t>三国-困难-[B]盾英+刺英</t>
  </si>
  <si>
    <t>三国-困难-[B]强英+强英</t>
  </si>
  <si>
    <t>三国-困难-[B]强英+炼英</t>
  </si>
  <si>
    <t>三国-困难-[B]强英+法英</t>
  </si>
  <si>
    <t>三国-困难-[B]强英+刺英</t>
  </si>
  <si>
    <t>三国-困难-[B]炼英+炼英</t>
  </si>
  <si>
    <t>三国-困难-[B]炼英+法英</t>
  </si>
  <si>
    <t>三国-困难-[B]炼英+刺英</t>
  </si>
  <si>
    <t>三国-困难-[B]法英+法英</t>
  </si>
  <si>
    <t>三国-困难-[B]法英+刺英</t>
  </si>
  <si>
    <t>三国-困难-[B]刺英+刺英</t>
  </si>
  <si>
    <t>三国-超难-[B]铁英+铁英</t>
  </si>
  <si>
    <t>三国-超难-[B]铁英+盾英</t>
  </si>
  <si>
    <t>三国-超难-[B]铁英+强英</t>
  </si>
  <si>
    <t>三国-超难-[B]铁英+炼英</t>
  </si>
  <si>
    <t>三国-超难-[B]铁英+法英</t>
  </si>
  <si>
    <t>三国-超难-[B]铁英+刺英</t>
  </si>
  <si>
    <t>三国-超难-[B]盾英+盾英</t>
  </si>
  <si>
    <t>三国-超难-[B]盾英+强英</t>
  </si>
  <si>
    <t>三国-超难-[B]盾英+炼英</t>
  </si>
  <si>
    <t>三国-超难-[B]盾英+法英</t>
  </si>
  <si>
    <t>三国-超难-[B]盾英+刺英</t>
  </si>
  <si>
    <t>三国-超难-[B]强英+强英</t>
  </si>
  <si>
    <t>三国-超难-[B]强英+炼英</t>
  </si>
  <si>
    <t>三国-超难-[B]强英+法英</t>
  </si>
  <si>
    <t>三国-超难-[B]强英+刺英</t>
  </si>
  <si>
    <t>三国-超难-[B]炼英+炼英</t>
  </si>
  <si>
    <t>三国-超难-[B]炼英+法英</t>
  </si>
  <si>
    <t>三国-超难-[B]炼英+刺英</t>
  </si>
  <si>
    <t>三国-超难-[B]法英+法英</t>
  </si>
  <si>
    <t>三国-超难-[B]法英+刺英</t>
  </si>
  <si>
    <t>三国-超难-[B]刺英+刺英</t>
  </si>
  <si>
    <t>三国-超难-[B]铁英+铁英+强英</t>
  </si>
  <si>
    <t>三国-超难-[B]铁英+铁英+炼英</t>
  </si>
  <si>
    <t>三国-超难-[B]铁英+铁英+法英</t>
  </si>
  <si>
    <t>三国-超难-[B]铁英+铁英+刺英</t>
  </si>
  <si>
    <t>三国-超难-[B]盾英+盾英+强英</t>
  </si>
  <si>
    <t>三国-超难-[B]盾英+盾英+炼英</t>
  </si>
  <si>
    <t>三国-超难-[B]盾英+盾英+法英</t>
  </si>
  <si>
    <t>三国-超难-[B]盾英+盾英+刺英</t>
  </si>
  <si>
    <t>三国-超难-[B]铁英+盾英+强英</t>
  </si>
  <si>
    <t>三国-超难-[B]铁英+盾英+炼英</t>
  </si>
  <si>
    <t>三国-超难-[B]铁英+盾英+法英</t>
  </si>
  <si>
    <t>三国-超难-[B]铁英+盾英+刺英</t>
  </si>
  <si>
    <t>三国-超难-[B]铁英+强英+强英</t>
  </si>
  <si>
    <t>三国-超难-[B]铁英+炼英+炼英</t>
  </si>
  <si>
    <t>三国-超难-[B]铁英+法英+法英</t>
  </si>
  <si>
    <t>三国-超难-[B]铁英+刺英+刺英</t>
  </si>
  <si>
    <t>三国-超难-[B]铁英+强英+炼英</t>
  </si>
  <si>
    <t>三国-超难-[B]铁英+强英+法英</t>
  </si>
  <si>
    <t>三国-超难-[B]铁英+炼英+法英</t>
  </si>
  <si>
    <t>三国-超难-[B]铁英+炼英+刺英</t>
  </si>
  <si>
    <t>三国-超难-[B]铁英+法英+刺英</t>
  </si>
  <si>
    <t>三国-超难-[B]盾英+炼英+炼英</t>
  </si>
  <si>
    <t>三国-超难-[B]盾英+法英+法英</t>
  </si>
  <si>
    <t>三国-超难-[B]盾英+刺英+刺英</t>
  </si>
  <si>
    <t>三国-超难-[B]盾英+强英+炼英</t>
  </si>
  <si>
    <t>三国-超难-[B]盾英+强英+法英</t>
  </si>
  <si>
    <t>三国-超难-[B]盾英+炼英+法英</t>
  </si>
  <si>
    <t>三国-超难-[B]盾英+炼英+刺英</t>
  </si>
  <si>
    <t>三国-超难-[B]盾英+法英+刺英</t>
  </si>
  <si>
    <t>三国-变态-[B]铁英+铁英+强英</t>
  </si>
  <si>
    <t>三国-变态-[B]铁英+铁英+炼英</t>
  </si>
  <si>
    <t>三国-变态-[B]铁英+铁英+法英</t>
  </si>
  <si>
    <t>三国-变态-[B]铁英+铁英+刺英</t>
  </si>
  <si>
    <t>三国-变态-[B]盾英+盾英+强英</t>
  </si>
  <si>
    <t>三国-变态-[B]盾英+盾英+炼英</t>
  </si>
  <si>
    <t>三国-变态-[B]盾英+盾英+法英</t>
  </si>
  <si>
    <t>三国-变态-[B]盾英+盾英+刺英</t>
  </si>
  <si>
    <t>三国-变态-[B]铁英+盾英+强英</t>
  </si>
  <si>
    <t>三国-变态-[B]铁英+盾英+炼英</t>
  </si>
  <si>
    <t>三国-变态-[B]铁英+盾英+法英</t>
  </si>
  <si>
    <t>三国-变态-[B]铁英+盾英+刺英</t>
  </si>
  <si>
    <t>三国-变态-[B]铁英+强英+强英</t>
  </si>
  <si>
    <t>三国-变态-[B]铁英+炼英+炼英</t>
  </si>
  <si>
    <t>三国-变态-[B]铁英+法英+法英</t>
  </si>
  <si>
    <t>三国-变态-[B]铁英+刺英+刺英</t>
  </si>
  <si>
    <t>三国-变态-[B]铁英+强英+炼英</t>
  </si>
  <si>
    <t>三国-变态-[B]铁英+强英+法英</t>
  </si>
  <si>
    <t>三国-变态-[B]铁英+炼英+法英</t>
  </si>
  <si>
    <t>三国-变态-[B]铁英+炼英+刺英</t>
  </si>
  <si>
    <t>三国-变态-[B]铁英+法英+刺英</t>
  </si>
  <si>
    <t>三国-变态-[B]盾英+炼英+炼英</t>
  </si>
  <si>
    <t>三国-变态-[B]盾英+法英+法英</t>
  </si>
  <si>
    <t>三国-变态-[B]盾英+刺英+刺英</t>
  </si>
  <si>
    <t>三国-变态-[B]盾英+强英+炼英</t>
  </si>
  <si>
    <t>三国-变态-[B]盾英+强英+法英</t>
  </si>
  <si>
    <t>三国-变态-[B]盾英+炼英+法英</t>
  </si>
  <si>
    <t>三国-变态-[B]盾英+炼英+刺英</t>
  </si>
  <si>
    <t>三国-变态-[B]盾英+法英+刺英</t>
  </si>
  <si>
    <t>黄巾</t>
  </si>
  <si>
    <t>黄巾-普通-法英</t>
  </si>
  <si>
    <t>黄巾-困难-[B]法英+强兵</t>
  </si>
  <si>
    <t>黄巾-困难-[B]法英</t>
  </si>
  <si>
    <t>黄巾-困难-[B]铁英+法英</t>
  </si>
  <si>
    <t>黄巾-困难-[B]铁英</t>
  </si>
  <si>
    <t>剧情本1-3</t>
  </si>
  <si>
    <t>剧情本2-1</t>
  </si>
  <si>
    <t>剧情本2-2</t>
  </si>
  <si>
    <t>剧情本2-3</t>
  </si>
  <si>
    <t>剧情本2-4</t>
  </si>
  <si>
    <r>
      <t>S</t>
    </r>
    <r>
      <rPr>
        <sz val="11"/>
        <color theme="1"/>
        <rFont val="微软雅黑"/>
        <family val="2"/>
        <charset val="134"/>
      </rPr>
      <t>oldier</t>
    </r>
    <phoneticPr fontId="28" type="noConversion"/>
  </si>
  <si>
    <t>铁骑</t>
    <phoneticPr fontId="28" type="noConversion"/>
  </si>
  <si>
    <t>盾甲</t>
    <phoneticPr fontId="28" type="noConversion"/>
  </si>
  <si>
    <t>强弓</t>
    <phoneticPr fontId="28" type="noConversion"/>
  </si>
  <si>
    <t>炼金</t>
    <phoneticPr fontId="28" type="noConversion"/>
  </si>
  <si>
    <t>法师</t>
    <phoneticPr fontId="28" type="noConversion"/>
  </si>
  <si>
    <t>刺客</t>
    <phoneticPr fontId="28" type="noConversion"/>
  </si>
  <si>
    <t>教徒</t>
    <phoneticPr fontId="28" type="noConversion"/>
  </si>
  <si>
    <t>黄巾-困难-法英</t>
  </si>
  <si>
    <t>[B]黄巾法师英雄</t>
  </si>
  <si>
    <t>[B]黄巾铁骑英雄</t>
  </si>
  <si>
    <t>[B]盾甲英雄</t>
  </si>
  <si>
    <t>[B]法师英雄</t>
  </si>
  <si>
    <t>[B]刺客英雄</t>
  </si>
  <si>
    <t>剧情本3-1</t>
  </si>
  <si>
    <t>剧情本3-2</t>
  </si>
  <si>
    <t>剧情本3-3</t>
  </si>
  <si>
    <t>剧情本3-4</t>
  </si>
  <si>
    <t>剧情本3-5</t>
  </si>
  <si>
    <t>剧情本3-6</t>
  </si>
  <si>
    <t>剧情本4-1</t>
  </si>
  <si>
    <t>剧情本4-2</t>
  </si>
  <si>
    <t>剧情本4-3</t>
  </si>
  <si>
    <t>剧情本4-4</t>
  </si>
  <si>
    <t>剧情本4-5</t>
  </si>
  <si>
    <t>剧情本4-6</t>
  </si>
  <si>
    <t>剧情本5-1</t>
  </si>
  <si>
    <t>剧情本5-2</t>
  </si>
  <si>
    <t>剧情本5-3</t>
  </si>
  <si>
    <t>剧情本5-4</t>
  </si>
  <si>
    <t>剧情本5-5</t>
  </si>
  <si>
    <t>剧情本5-6</t>
  </si>
  <si>
    <t>剧情本6-1</t>
  </si>
  <si>
    <t>剧情本6-2</t>
  </si>
  <si>
    <t>剧情本6-3</t>
  </si>
  <si>
    <t>剧情本6-4</t>
  </si>
  <si>
    <t>剧情本6-5</t>
  </si>
  <si>
    <t>剧情本6-6</t>
  </si>
  <si>
    <t>剧情本7-1</t>
  </si>
  <si>
    <t>剧情本7-2</t>
  </si>
  <si>
    <t>剧情本7-3</t>
  </si>
  <si>
    <t>剧情本7-4</t>
  </si>
  <si>
    <t>剧情本7-5</t>
  </si>
  <si>
    <t>剧情本7-6</t>
  </si>
  <si>
    <t>剧情本8-1</t>
  </si>
  <si>
    <t>剧情本8-2</t>
  </si>
  <si>
    <t>剧情本8-3</t>
  </si>
  <si>
    <t>剧情本8-4</t>
  </si>
  <si>
    <t>剧情本8-5</t>
  </si>
  <si>
    <t>剧情本8-6</t>
  </si>
  <si>
    <t>剧情本9-1</t>
  </si>
  <si>
    <t>剧情本9-2</t>
  </si>
  <si>
    <t>剧情本9-3</t>
  </si>
  <si>
    <t>剧情本9-4</t>
  </si>
  <si>
    <t>剧情本9-5</t>
  </si>
  <si>
    <t>剧情本9-6</t>
  </si>
  <si>
    <t>剧情本11-1</t>
  </si>
  <si>
    <t>剧情本11-2</t>
  </si>
  <si>
    <t>剧情本11-3</t>
  </si>
  <si>
    <t>剧情本11-4</t>
  </si>
  <si>
    <t>剧情本11-5</t>
  </si>
  <si>
    <t>剧情本11-6</t>
  </si>
  <si>
    <t>剧情本12-1</t>
  </si>
  <si>
    <t>剧情本12-2</t>
  </si>
  <si>
    <t>剧情本12-3</t>
  </si>
  <si>
    <t>剧情本12-4</t>
  </si>
  <si>
    <t>剧情本12-5</t>
  </si>
  <si>
    <t>剧情本12-6</t>
  </si>
  <si>
    <t>剧情本13-1</t>
  </si>
  <si>
    <t>剧情本13-2</t>
  </si>
  <si>
    <t>剧情本13-3</t>
  </si>
  <si>
    <t>剧情本13-4</t>
  </si>
  <si>
    <t>剧情本13-5</t>
  </si>
  <si>
    <t>剧情本13-6</t>
  </si>
  <si>
    <t>剧情本14-1</t>
  </si>
  <si>
    <t>剧情本14-2</t>
  </si>
  <si>
    <t>剧情本14-3</t>
  </si>
  <si>
    <t>剧情本14-4</t>
  </si>
  <si>
    <t>剧情本14-5</t>
  </si>
  <si>
    <t>剧情本14-6</t>
  </si>
  <si>
    <t>剧情本15-1</t>
  </si>
  <si>
    <t>剧情本15-2</t>
  </si>
  <si>
    <t>剧情本15-3</t>
  </si>
  <si>
    <t>剧情本15-4</t>
  </si>
  <si>
    <t>剧情本15-5</t>
  </si>
  <si>
    <t>剧情本15-6</t>
  </si>
  <si>
    <t>剧情本16-1</t>
  </si>
  <si>
    <t>剧情本16-2</t>
  </si>
  <si>
    <t>剧情本16-3</t>
  </si>
  <si>
    <t>剧情本16-4</t>
  </si>
  <si>
    <t>剧情本16-5</t>
  </si>
  <si>
    <t>剧情本16-6</t>
  </si>
  <si>
    <t>剧情本17-1</t>
  </si>
  <si>
    <t>剧情本17-2</t>
  </si>
  <si>
    <t>剧情本17-3</t>
  </si>
  <si>
    <t>剧情本17-4</t>
  </si>
  <si>
    <t>剧情本17-5</t>
  </si>
  <si>
    <t>剧情本17-6</t>
  </si>
  <si>
    <t>剧情本18-1</t>
  </si>
  <si>
    <t>剧情本18-2</t>
  </si>
  <si>
    <t>剧情本18-3</t>
  </si>
  <si>
    <t>剧情本18-4</t>
  </si>
  <si>
    <t>剧情本18-5</t>
  </si>
  <si>
    <t>剧情本18-6</t>
  </si>
  <si>
    <t>剧情本19-1</t>
  </si>
  <si>
    <t>剧情本19-2</t>
  </si>
  <si>
    <t>剧情本19-3</t>
  </si>
  <si>
    <t>剧情本19-4</t>
  </si>
  <si>
    <t>剧情本19-5</t>
  </si>
  <si>
    <t>剧情本19-6</t>
  </si>
  <si>
    <t>剧情本21-1</t>
  </si>
  <si>
    <t>剧情本21-2</t>
  </si>
  <si>
    <t>剧情本21-3</t>
  </si>
  <si>
    <t>剧情本21-4</t>
  </si>
  <si>
    <t>剧情本21-5</t>
  </si>
  <si>
    <t>剧情本21-6</t>
  </si>
  <si>
    <t>剧情本22-1</t>
  </si>
  <si>
    <t>剧情本22-2</t>
  </si>
  <si>
    <t>剧情本22-3</t>
  </si>
  <si>
    <t>剧情本22-4</t>
  </si>
  <si>
    <t>剧情本22-5</t>
  </si>
  <si>
    <t>剧情本22-6</t>
  </si>
  <si>
    <t>剧情本23-1</t>
  </si>
  <si>
    <t>剧情本23-2</t>
  </si>
  <si>
    <t>剧情本23-3</t>
  </si>
  <si>
    <t>剧情本23-4</t>
  </si>
  <si>
    <t>剧情本23-5</t>
  </si>
  <si>
    <t>剧情本23-6</t>
  </si>
  <si>
    <t>剧情本24-1</t>
  </si>
  <si>
    <t>剧情本24-2</t>
  </si>
  <si>
    <t>剧情本24-3</t>
  </si>
  <si>
    <t>剧情本24-4</t>
  </si>
  <si>
    <t>剧情本24-5</t>
  </si>
  <si>
    <t>剧情本24-6</t>
  </si>
  <si>
    <t>剧情本25-1</t>
  </si>
  <si>
    <t>剧情本25-2</t>
  </si>
  <si>
    <t>剧情本25-3</t>
  </si>
  <si>
    <t>剧情本25-4</t>
  </si>
  <si>
    <t>剧情本25-5</t>
  </si>
  <si>
    <t>剧情本25-6</t>
  </si>
  <si>
    <t>剧情本26-1</t>
  </si>
  <si>
    <t>剧情本26-2</t>
  </si>
  <si>
    <t>剧情本26-3</t>
  </si>
  <si>
    <t>剧情本26-4</t>
  </si>
  <si>
    <t>剧情本26-5</t>
  </si>
  <si>
    <t>剧情本26-6</t>
  </si>
  <si>
    <t>剧情本27-1</t>
  </si>
  <si>
    <t>剧情本27-2</t>
  </si>
  <si>
    <t>剧情本27-3</t>
  </si>
  <si>
    <t>剧情本27-4</t>
  </si>
  <si>
    <t>剧情本27-5</t>
  </si>
  <si>
    <t>剧情本27-6</t>
  </si>
  <si>
    <t>剧情本28-1</t>
  </si>
  <si>
    <t>剧情本28-2</t>
  </si>
  <si>
    <t>剧情本28-3</t>
  </si>
  <si>
    <t>剧情本28-4</t>
  </si>
  <si>
    <t>剧情本28-5</t>
  </si>
  <si>
    <t>剧情本28-6</t>
  </si>
  <si>
    <t>剧情本29-1</t>
  </si>
  <si>
    <t>剧情本29-2</t>
  </si>
  <si>
    <t>剧情本29-3</t>
  </si>
  <si>
    <t>剧情本29-4</t>
  </si>
  <si>
    <t>剧情本29-5</t>
  </si>
  <si>
    <t>剧情本29-6</t>
  </si>
  <si>
    <t>剧情本31-1</t>
  </si>
  <si>
    <t>剧情本31-2</t>
  </si>
  <si>
    <t>剧情本31-3</t>
  </si>
  <si>
    <t>剧情本31-4</t>
  </si>
  <si>
    <t>剧情本31-5</t>
  </si>
  <si>
    <t>剧情本31-6</t>
  </si>
  <si>
    <t>剧情本32-1</t>
  </si>
  <si>
    <t>剧情本32-2</t>
  </si>
  <si>
    <t>剧情本32-3</t>
  </si>
  <si>
    <t>剧情本32-4</t>
  </si>
  <si>
    <t>剧情本32-5</t>
  </si>
  <si>
    <t>剧情本32-6</t>
  </si>
  <si>
    <t>剧情本33-1</t>
  </si>
  <si>
    <t>剧情本33-2</t>
  </si>
  <si>
    <t>剧情本33-3</t>
  </si>
  <si>
    <t>剧情本33-4</t>
  </si>
  <si>
    <t>剧情本33-5</t>
  </si>
  <si>
    <t>剧情本33-6</t>
  </si>
  <si>
    <t>剧情本34-1</t>
  </si>
  <si>
    <t>剧情本34-2</t>
  </si>
  <si>
    <t>剧情本34-3</t>
  </si>
  <si>
    <t>剧情本34-4</t>
  </si>
  <si>
    <t>剧情本34-5</t>
  </si>
  <si>
    <t>剧情本34-6</t>
  </si>
  <si>
    <t>剧情本35-1</t>
  </si>
  <si>
    <t>剧情本35-2</t>
  </si>
  <si>
    <t>剧情本35-3</t>
  </si>
  <si>
    <t>剧情本35-4</t>
  </si>
  <si>
    <t>剧情本35-5</t>
  </si>
  <si>
    <t>剧情本35-6</t>
  </si>
  <si>
    <t>剧情本36-1</t>
  </si>
  <si>
    <t>剧情本36-2</t>
  </si>
  <si>
    <t>剧情本36-3</t>
  </si>
  <si>
    <t>剧情本36-4</t>
  </si>
  <si>
    <t>剧情本36-5</t>
  </si>
  <si>
    <t>剧情本36-6</t>
  </si>
  <si>
    <t>剧情本37-1</t>
  </si>
  <si>
    <t>剧情本37-2</t>
  </si>
  <si>
    <t>剧情本37-3</t>
  </si>
  <si>
    <t>剧情本37-4</t>
  </si>
  <si>
    <t>剧情本37-5</t>
  </si>
  <si>
    <t>剧情本37-6</t>
  </si>
  <si>
    <t>剧情本38-1</t>
  </si>
  <si>
    <t>剧情本38-2</t>
  </si>
  <si>
    <t>剧情本38-3</t>
  </si>
  <si>
    <t>剧情本38-4</t>
  </si>
  <si>
    <t>剧情本38-5</t>
  </si>
  <si>
    <t>剧情本38-6</t>
  </si>
  <si>
    <t>剧情本39-1</t>
  </si>
  <si>
    <t>剧情本39-2</t>
  </si>
  <si>
    <t>剧情本39-3</t>
  </si>
  <si>
    <t>剧情本39-4</t>
  </si>
  <si>
    <t>剧情本39-5</t>
  </si>
  <si>
    <t>剧情本39-6</t>
  </si>
  <si>
    <t>剧情本41-1</t>
  </si>
  <si>
    <t>剧情本41-2</t>
  </si>
  <si>
    <t>剧情本41-3</t>
  </si>
  <si>
    <t>剧情本41-4</t>
  </si>
  <si>
    <t>剧情本41-5</t>
  </si>
  <si>
    <t>剧情本41-6</t>
  </si>
  <si>
    <t>剧情本42-1</t>
  </si>
  <si>
    <t>剧情本42-2</t>
  </si>
  <si>
    <t>剧情本42-3</t>
  </si>
  <si>
    <t>剧情本42-4</t>
  </si>
  <si>
    <t>剧情本42-5</t>
  </si>
  <si>
    <t>剧情本42-6</t>
  </si>
  <si>
    <t>剧情本43-1</t>
  </si>
  <si>
    <t>剧情本43-2</t>
  </si>
  <si>
    <t>剧情本43-3</t>
  </si>
  <si>
    <t>剧情本43-4</t>
  </si>
  <si>
    <t>剧情本43-5</t>
  </si>
  <si>
    <t>剧情本43-6</t>
  </si>
  <si>
    <t>剧情本44-1</t>
  </si>
  <si>
    <t>剧情本44-2</t>
  </si>
  <si>
    <t>剧情本44-3</t>
  </si>
  <si>
    <t>剧情本44-4</t>
  </si>
  <si>
    <t>剧情本44-5</t>
  </si>
  <si>
    <t>剧情本44-6</t>
  </si>
  <si>
    <t>剧情本45-1</t>
  </si>
  <si>
    <t>剧情本45-2</t>
  </si>
  <si>
    <t>剧情本45-3</t>
  </si>
  <si>
    <t>剧情本45-4</t>
  </si>
  <si>
    <t>剧情本45-5</t>
  </si>
  <si>
    <t>剧情本45-6</t>
  </si>
  <si>
    <t>剧情本46-1</t>
  </si>
  <si>
    <t>剧情本46-2</t>
  </si>
  <si>
    <t>剧情本46-3</t>
  </si>
  <si>
    <t>剧情本46-4</t>
  </si>
  <si>
    <t>剧情本46-5</t>
  </si>
  <si>
    <t>剧情本46-6</t>
  </si>
  <si>
    <t>剧情本47-1</t>
  </si>
  <si>
    <t>剧情本47-2</t>
  </si>
  <si>
    <t>剧情本47-3</t>
  </si>
  <si>
    <t>剧情本47-4</t>
  </si>
  <si>
    <t>剧情本47-5</t>
  </si>
  <si>
    <t>剧情本47-6</t>
  </si>
  <si>
    <t>剧情本48-1</t>
  </si>
  <si>
    <t>剧情本48-2</t>
  </si>
  <si>
    <t>剧情本48-3</t>
  </si>
  <si>
    <t>剧情本48-4</t>
  </si>
  <si>
    <t>剧情本48-5</t>
  </si>
  <si>
    <t>剧情本48-6</t>
  </si>
  <si>
    <t>剧情本49-1</t>
  </si>
  <si>
    <t>剧情本49-2</t>
  </si>
  <si>
    <t>剧情本49-3</t>
  </si>
  <si>
    <t>剧情本49-4</t>
  </si>
  <si>
    <t>剧情本49-5</t>
  </si>
  <si>
    <t>剧情本49-6</t>
  </si>
  <si>
    <t>[B]铁骑英雄</t>
  </si>
  <si>
    <t>[B]强弓英雄</t>
  </si>
  <si>
    <t>[B]炼金英雄</t>
  </si>
  <si>
    <t>GroupInputJsonPath</t>
  </si>
  <si>
    <t>GroupOutputJsonPath</t>
  </si>
  <si>
    <t>StageEnemyPath</t>
  </si>
  <si>
    <t>Name</t>
    <phoneticPr fontId="28" type="noConversion"/>
  </si>
  <si>
    <r>
      <t>V</t>
    </r>
    <r>
      <rPr>
        <sz val="11"/>
        <color theme="1"/>
        <rFont val="微软雅黑"/>
        <family val="2"/>
        <charset val="134"/>
      </rPr>
      <t>alue</t>
    </r>
    <phoneticPr fontId="28" type="noConversion"/>
  </si>
  <si>
    <t>E:\git_project\monster_group_gen\group_input.json</t>
    <phoneticPr fontId="28" type="noConversion"/>
  </si>
  <si>
    <t>E:\git_project\monster_group_gen\group_output.json</t>
    <phoneticPr fontId="28" type="noConversion"/>
  </si>
  <si>
    <t>E:\git_project\lr_common\design\stage_enemy.xml</t>
    <phoneticPr fontId="28" type="noConversion"/>
  </si>
  <si>
    <t>GroupName</t>
    <phoneticPr fontId="28" type="noConversion"/>
  </si>
  <si>
    <t>Formation</t>
    <phoneticPr fontId="28" type="noConversion"/>
  </si>
  <si>
    <t>VersionID</t>
    <phoneticPr fontId="28" type="noConversion"/>
  </si>
  <si>
    <t>困难1兵</t>
    <phoneticPr fontId="28" type="noConversion"/>
  </si>
  <si>
    <r>
      <t>F</t>
    </r>
    <r>
      <rPr>
        <sz val="11"/>
        <color theme="1"/>
        <rFont val="微软雅黑"/>
        <family val="2"/>
        <charset val="134"/>
      </rPr>
      <t>ormation</t>
    </r>
    <phoneticPr fontId="28" type="noConversion"/>
  </si>
  <si>
    <r>
      <t>r</t>
    </r>
    <r>
      <rPr>
        <sz val="11"/>
        <color theme="1"/>
        <rFont val="微软雅黑"/>
        <family val="2"/>
        <charset val="134"/>
      </rPr>
      <t>ow4</t>
    </r>
    <phoneticPr fontId="28" type="noConversion"/>
  </si>
  <si>
    <r>
      <t>r</t>
    </r>
    <r>
      <rPr>
        <sz val="11"/>
        <color theme="1"/>
        <rFont val="微软雅黑"/>
        <family val="2"/>
        <charset val="134"/>
      </rPr>
      <t>ow5</t>
    </r>
    <phoneticPr fontId="28" type="noConversion"/>
  </si>
  <si>
    <r>
      <t>r</t>
    </r>
    <r>
      <rPr>
        <sz val="11"/>
        <color theme="1"/>
        <rFont val="微软雅黑"/>
        <family val="2"/>
        <charset val="134"/>
      </rPr>
      <t>ow6</t>
    </r>
    <phoneticPr fontId="28" type="noConversion"/>
  </si>
  <si>
    <r>
      <t>r</t>
    </r>
    <r>
      <rPr>
        <sz val="11"/>
        <color theme="1"/>
        <rFont val="微软雅黑"/>
        <family val="2"/>
        <charset val="134"/>
      </rPr>
      <t>ow7</t>
    </r>
    <phoneticPr fontId="28" type="noConversion"/>
  </si>
  <si>
    <r>
      <t>r</t>
    </r>
    <r>
      <rPr>
        <sz val="11"/>
        <color theme="1"/>
        <rFont val="微软雅黑"/>
        <family val="2"/>
        <charset val="134"/>
      </rPr>
      <t>ow8</t>
    </r>
    <phoneticPr fontId="28" type="noConversion"/>
  </si>
  <si>
    <r>
      <t>h</t>
    </r>
    <r>
      <rPr>
        <sz val="11"/>
        <color theme="1"/>
        <rFont val="微软雅黑"/>
        <family val="2"/>
        <charset val="134"/>
      </rPr>
      <t>eros</t>
    </r>
    <phoneticPr fontId="28" type="noConversion"/>
  </si>
  <si>
    <r>
      <t>r</t>
    </r>
    <r>
      <rPr>
        <sz val="11"/>
        <color theme="1"/>
        <rFont val="微软雅黑"/>
        <family val="2"/>
        <charset val="134"/>
      </rPr>
      <t>andom</t>
    </r>
    <phoneticPr fontId="28" type="noConversion"/>
  </si>
  <si>
    <t>row6</t>
  </si>
  <si>
    <t>三国-困难-刺兵</t>
  </si>
  <si>
    <t>困难2兵</t>
  </si>
  <si>
    <t>普通2兵</t>
  </si>
  <si>
    <t>困难3兵</t>
  </si>
  <si>
    <t>困难1英远1兵近</t>
  </si>
  <si>
    <t>困难1英远[B]1兵近</t>
  </si>
  <si>
    <t>教徒</t>
    <phoneticPr fontId="28" type="noConversion"/>
  </si>
  <si>
    <t>刺兵</t>
    <phoneticPr fontId="28" type="noConversion"/>
  </si>
  <si>
    <t/>
  </si>
  <si>
    <t>三国-普通-铁兵+刺兵</t>
  </si>
  <si>
    <t>三国-困难-铁兵+刺兵</t>
  </si>
  <si>
    <t>三国-困难-盾兵+刺兵</t>
  </si>
  <si>
    <t>三国-困难-铁兵+盾兵+刺兵</t>
  </si>
  <si>
    <t>三国-困难-盾兵+强兵+刺兵</t>
  </si>
  <si>
    <t>三国-困难-盾兵+炼兵+刺兵</t>
  </si>
  <si>
    <t>三国-困难-盾兵+法兵+刺兵</t>
  </si>
  <si>
    <t>三国-困难-铁兵+强兵+刺兵</t>
  </si>
  <si>
    <t>三国-困难-铁兵+炼兵+刺兵</t>
  </si>
  <si>
    <t>三国-困难-铁兵+法兵+刺兵</t>
  </si>
  <si>
    <t>三国-普通-盾兵+刺兵</t>
  </si>
  <si>
    <t>三国-普通-铁英+刺兵</t>
  </si>
  <si>
    <t>三国-普通-盾英+刺兵</t>
  </si>
  <si>
    <t>三国-普通-强英+教徒</t>
  </si>
  <si>
    <t>三国-普通-法英+教徒</t>
  </si>
  <si>
    <t>三国-普通-炼英+教徒</t>
  </si>
  <si>
    <t>三国-普通-刺英+铁兵</t>
  </si>
  <si>
    <t>三国-普通-刺英+盾兵</t>
  </si>
  <si>
    <t>三国-普通-刺英+教徒</t>
  </si>
  <si>
    <t>三国-困难-铁英+刺兵</t>
  </si>
  <si>
    <t>三国-困难-盾英+刺兵</t>
  </si>
  <si>
    <t>三国-困难-[B]铁英+刺兵</t>
  </si>
  <si>
    <t>三国-困难-[B]盾英+刺兵</t>
  </si>
  <si>
    <t>三国-困难-强英+教徒</t>
  </si>
  <si>
    <t>三国-困难-法英+教徒</t>
  </si>
  <si>
    <t>三国-困难-炼英+教徒</t>
  </si>
  <si>
    <t>三国-困难-刺英+铁兵</t>
  </si>
  <si>
    <t>三国-困难-刺英+盾兵</t>
  </si>
  <si>
    <t>三国-困难-刺英+教徒</t>
  </si>
  <si>
    <t>三国-困难-[B]强英+教徒</t>
  </si>
  <si>
    <t>三国-困难-[B]法英+教徒</t>
  </si>
  <si>
    <t>三国-困难-[B]炼英+教徒</t>
  </si>
  <si>
    <t>三国-困难-[B]刺英+盾兵</t>
  </si>
  <si>
    <t>三国-困难-[B]刺英+教徒</t>
  </si>
  <si>
    <t>三国-困难-[B]刺英+铁兵</t>
  </si>
  <si>
    <t>AllyHero</t>
    <phoneticPr fontId="28" type="noConversion"/>
  </si>
  <si>
    <t>名将本1-1</t>
  </si>
  <si>
    <t>名将本1-2</t>
  </si>
  <si>
    <t>名将本1-3</t>
  </si>
  <si>
    <t>名将本1-4</t>
  </si>
  <si>
    <t>名将本2-1</t>
  </si>
  <si>
    <t>名将本2-2</t>
  </si>
  <si>
    <t>名将本2-3</t>
  </si>
  <si>
    <t>名将本2-4</t>
  </si>
  <si>
    <t>名将本3-1</t>
  </si>
  <si>
    <t>名将本3-2</t>
  </si>
  <si>
    <t>名将本3-3</t>
  </si>
  <si>
    <t>名将本3-4</t>
  </si>
  <si>
    <t>名将本4-1</t>
  </si>
  <si>
    <t>名将本4-2</t>
  </si>
  <si>
    <t>名将本4-3</t>
  </si>
  <si>
    <t>名将本4-4</t>
  </si>
  <si>
    <t>名将本5-1</t>
  </si>
  <si>
    <t>名将本5-2</t>
  </si>
  <si>
    <t>名将本5-3</t>
  </si>
  <si>
    <t>名将本5-4</t>
  </si>
  <si>
    <t>名将本6-1</t>
  </si>
  <si>
    <t>名将本6-2</t>
  </si>
  <si>
    <t>名将本6-3</t>
  </si>
  <si>
    <t>名将本6-4</t>
  </si>
  <si>
    <t>名将本7-1</t>
  </si>
  <si>
    <t>名将本7-2</t>
  </si>
  <si>
    <t>名将本7-3</t>
  </si>
  <si>
    <t>名将本7-4</t>
  </si>
  <si>
    <t>名将本8-1</t>
  </si>
  <si>
    <t>名将本8-2</t>
  </si>
  <si>
    <t>名将本8-3</t>
  </si>
  <si>
    <t>名将本8-4</t>
  </si>
  <si>
    <t>名将本9-1</t>
  </si>
  <si>
    <t>名将本9-2</t>
  </si>
  <si>
    <t>名将本9-3</t>
  </si>
  <si>
    <t>名将本9-4</t>
  </si>
  <si>
    <t>名将本11-1</t>
  </si>
  <si>
    <t>名将本11-2</t>
  </si>
  <si>
    <t>名将本11-3</t>
  </si>
  <si>
    <t>名将本11-4</t>
  </si>
  <si>
    <t>名将本12-1</t>
  </si>
  <si>
    <t>名将本12-2</t>
  </si>
  <si>
    <t>名将本12-3</t>
  </si>
  <si>
    <t>名将本12-4</t>
  </si>
  <si>
    <t>名将本13-1</t>
  </si>
  <si>
    <t>名将本13-2</t>
  </si>
  <si>
    <t>名将本13-3</t>
  </si>
  <si>
    <t>名将本13-4</t>
  </si>
  <si>
    <t>名将本14-1</t>
  </si>
  <si>
    <t>名将本14-2</t>
  </si>
  <si>
    <t>名将本14-3</t>
  </si>
  <si>
    <t>名将本14-4</t>
  </si>
  <si>
    <t>名将本15-1</t>
  </si>
  <si>
    <t>名将本15-2</t>
  </si>
  <si>
    <t>名将本15-3</t>
  </si>
  <si>
    <t>名将本15-4</t>
  </si>
  <si>
    <t>名将本16-1</t>
  </si>
  <si>
    <t>名将本16-2</t>
  </si>
  <si>
    <t>名将本16-3</t>
  </si>
  <si>
    <t>名将本16-4</t>
  </si>
  <si>
    <t>名将本17-1</t>
  </si>
  <si>
    <t>名将本17-2</t>
  </si>
  <si>
    <t>名将本17-3</t>
  </si>
  <si>
    <t>名将本17-4</t>
  </si>
  <si>
    <t>名将本18-1</t>
  </si>
  <si>
    <t>名将本18-2</t>
  </si>
  <si>
    <t>名将本18-3</t>
  </si>
  <si>
    <t>名将本18-4</t>
  </si>
  <si>
    <t>名将本19-1</t>
  </si>
  <si>
    <t>名将本19-2</t>
  </si>
  <si>
    <t>名将本19-3</t>
  </si>
  <si>
    <t>名将本19-4</t>
  </si>
  <si>
    <t>名将本21-1</t>
  </si>
  <si>
    <t>名将本21-2</t>
  </si>
  <si>
    <t>名将本21-3</t>
  </si>
  <si>
    <t>名将本21-4</t>
  </si>
  <si>
    <t>名将本22-1</t>
  </si>
  <si>
    <t>名将本22-2</t>
  </si>
  <si>
    <t>名将本22-3</t>
  </si>
  <si>
    <t>名将本22-4</t>
  </si>
  <si>
    <t>名将本23-1</t>
  </si>
  <si>
    <t>名将本23-2</t>
  </si>
  <si>
    <t>名将本23-3</t>
  </si>
  <si>
    <t>名将本23-4</t>
  </si>
  <si>
    <t>名将本24-1</t>
  </si>
  <si>
    <t>名将本24-2</t>
  </si>
  <si>
    <t>名将本24-3</t>
  </si>
  <si>
    <t>名将本24-4</t>
  </si>
  <si>
    <t>名将本25-1</t>
  </si>
  <si>
    <t>名将本25-2</t>
  </si>
  <si>
    <t>名将本25-3</t>
  </si>
  <si>
    <t>名将本25-4</t>
  </si>
  <si>
    <t>名将本26-1</t>
  </si>
  <si>
    <t>名将本26-2</t>
  </si>
  <si>
    <t>名将本26-3</t>
  </si>
  <si>
    <t>名将本26-4</t>
  </si>
  <si>
    <t>名将本27-1</t>
  </si>
  <si>
    <t>名将本27-2</t>
  </si>
  <si>
    <t>名将本27-3</t>
  </si>
  <si>
    <t>名将本27-4</t>
  </si>
  <si>
    <t>名将本28-1</t>
  </si>
  <si>
    <t>名将本28-2</t>
  </si>
  <si>
    <t>名将本28-3</t>
  </si>
  <si>
    <t>名将本28-4</t>
  </si>
  <si>
    <t>名将本29-1</t>
  </si>
  <si>
    <t>名将本29-2</t>
  </si>
  <si>
    <t>名将本29-3</t>
  </si>
  <si>
    <t>名将本29-4</t>
  </si>
  <si>
    <t>名将本31-1</t>
  </si>
  <si>
    <t>名将本31-2</t>
  </si>
  <si>
    <t>名将本31-3</t>
  </si>
  <si>
    <t>名将本31-4</t>
  </si>
  <si>
    <t>名将本32-1</t>
  </si>
  <si>
    <t>名将本32-2</t>
  </si>
  <si>
    <t>名将本32-3</t>
  </si>
  <si>
    <t>名将本32-4</t>
  </si>
  <si>
    <t>名将本33-1</t>
  </si>
  <si>
    <t>名将本33-2</t>
  </si>
  <si>
    <t>名将本33-3</t>
  </si>
  <si>
    <t>名将本33-4</t>
  </si>
  <si>
    <t>名将本34-1</t>
  </si>
  <si>
    <t>名将本34-2</t>
  </si>
  <si>
    <t>名将本34-3</t>
  </si>
  <si>
    <t>名将本34-4</t>
  </si>
  <si>
    <t>名将本35-1</t>
  </si>
  <si>
    <t>名将本35-2</t>
  </si>
  <si>
    <t>名将本35-3</t>
  </si>
  <si>
    <t>名将本35-4</t>
  </si>
  <si>
    <t>名将本36-1</t>
  </si>
  <si>
    <t>名将本36-2</t>
  </si>
  <si>
    <t>名将本36-3</t>
  </si>
  <si>
    <t>名将本36-4</t>
  </si>
  <si>
    <t>名将本37-1</t>
  </si>
  <si>
    <t>名将本37-2</t>
  </si>
  <si>
    <t>名将本37-3</t>
  </si>
  <si>
    <t>名将本37-4</t>
  </si>
  <si>
    <t>名将本38-1</t>
  </si>
  <si>
    <t>名将本38-2</t>
  </si>
  <si>
    <t>名将本38-3</t>
  </si>
  <si>
    <t>名将本38-4</t>
  </si>
  <si>
    <t>名将本39-1</t>
  </si>
  <si>
    <t>名将本39-2</t>
  </si>
  <si>
    <t>名将本39-3</t>
  </si>
  <si>
    <t>名将本39-4</t>
  </si>
  <si>
    <t>名将本41-1</t>
  </si>
  <si>
    <t>名将本41-2</t>
  </si>
  <si>
    <t>名将本41-3</t>
  </si>
  <si>
    <t>名将本41-4</t>
  </si>
  <si>
    <t>名将本42-1</t>
  </si>
  <si>
    <t>名将本42-2</t>
  </si>
  <si>
    <t>名将本42-3</t>
  </si>
  <si>
    <t>名将本42-4</t>
  </si>
  <si>
    <t>名将本43-1</t>
  </si>
  <si>
    <t>名将本43-2</t>
  </si>
  <si>
    <t>名将本43-3</t>
  </si>
  <si>
    <t>名将本43-4</t>
  </si>
  <si>
    <t>名将本44-1</t>
  </si>
  <si>
    <t>名将本44-2</t>
  </si>
  <si>
    <t>名将本44-3</t>
  </si>
  <si>
    <t>名将本44-4</t>
  </si>
  <si>
    <t>名将本45-1</t>
  </si>
  <si>
    <t>名将本45-2</t>
  </si>
  <si>
    <t>名将本45-3</t>
  </si>
  <si>
    <t>名将本45-4</t>
  </si>
  <si>
    <t>名将本46-1</t>
  </si>
  <si>
    <t>名将本46-2</t>
  </si>
  <si>
    <t>名将本46-3</t>
  </si>
  <si>
    <t>名将本46-4</t>
  </si>
  <si>
    <t>名将本47-1</t>
  </si>
  <si>
    <t>名将本47-2</t>
  </si>
  <si>
    <t>名将本47-3</t>
  </si>
  <si>
    <t>名将本47-4</t>
  </si>
  <si>
    <t>名将本48-1</t>
  </si>
  <si>
    <t>名将本48-2</t>
  </si>
  <si>
    <t>名将本48-3</t>
  </si>
  <si>
    <t>名将本48-4</t>
  </si>
  <si>
    <t>困难</t>
    <phoneticPr fontId="28" type="noConversion"/>
  </si>
  <si>
    <t>超难</t>
    <phoneticPr fontId="28" type="noConversion"/>
  </si>
  <si>
    <t>AllyHero</t>
    <phoneticPr fontId="28" type="noConversion"/>
  </si>
  <si>
    <t>名将精英本1</t>
  </si>
  <si>
    <t>名将精英本2</t>
  </si>
  <si>
    <t>名将精英本3</t>
  </si>
  <si>
    <t>名将精英本4</t>
  </si>
  <si>
    <t>名将精英本5</t>
  </si>
  <si>
    <t>名将精英本6</t>
  </si>
  <si>
    <t>名将精英本7</t>
  </si>
  <si>
    <t>名将精英本8</t>
  </si>
  <si>
    <t>名将精英本9</t>
  </si>
  <si>
    <t>名将精英本11</t>
  </si>
  <si>
    <t>名将精英本12</t>
  </si>
  <si>
    <t>名将精英本13</t>
  </si>
  <si>
    <t>名将精英本14</t>
  </si>
  <si>
    <t>名将精英本15</t>
  </si>
  <si>
    <t>名将精英本16</t>
  </si>
  <si>
    <t>名将精英本17</t>
  </si>
  <si>
    <t>名将精英本18</t>
  </si>
  <si>
    <t>名将本-简单</t>
  </si>
  <si>
    <t>名将本-普通</t>
  </si>
  <si>
    <t>名将本-困难</t>
  </si>
  <si>
    <t>名将本-超难</t>
  </si>
  <si>
    <t>埋伏-简单</t>
  </si>
  <si>
    <t>埋伏-普通</t>
  </si>
  <si>
    <t>埋伏-困难</t>
  </si>
  <si>
    <t>埋伏-超难</t>
  </si>
  <si>
    <t>逃逸-简单</t>
  </si>
  <si>
    <t>逃逸-普通</t>
  </si>
  <si>
    <t>逃逸-困难</t>
  </si>
  <si>
    <t>逃逸-超难</t>
  </si>
  <si>
    <t>攻城-普通</t>
  </si>
  <si>
    <t>攻城-困难</t>
  </si>
  <si>
    <t>单挑-普通</t>
  </si>
  <si>
    <t>单挑-困难</t>
  </si>
  <si>
    <t>劫粮-普通</t>
  </si>
  <si>
    <t>劫粮-困难</t>
  </si>
  <si>
    <t>我方埋伏-普通</t>
  </si>
  <si>
    <t>我方埋伏-困难</t>
  </si>
  <si>
    <t>主线-两波怪</t>
  </si>
  <si>
    <t>法师英雄</t>
    <phoneticPr fontId="28" type="noConversion"/>
  </si>
  <si>
    <t>强弓英雄</t>
    <phoneticPr fontId="28" type="noConversion"/>
  </si>
  <si>
    <t>普通</t>
    <phoneticPr fontId="28" type="noConversion"/>
  </si>
  <si>
    <t>困难</t>
    <phoneticPr fontId="28" type="noConversion"/>
  </si>
  <si>
    <t>超难</t>
    <phoneticPr fontId="28" type="noConversion"/>
  </si>
  <si>
    <t>铁骑</t>
    <phoneticPr fontId="28" type="noConversion"/>
  </si>
  <si>
    <t>法师</t>
    <phoneticPr fontId="28" type="noConversion"/>
  </si>
  <si>
    <t>铁骑英雄</t>
    <phoneticPr fontId="28" type="noConversion"/>
  </si>
  <si>
    <t>盾甲</t>
    <phoneticPr fontId="28" type="noConversion"/>
  </si>
  <si>
    <t>强弓</t>
    <phoneticPr fontId="28" type="noConversion"/>
  </si>
  <si>
    <t>炼金</t>
    <phoneticPr fontId="28" type="noConversion"/>
  </si>
  <si>
    <t>盾甲英雄</t>
    <phoneticPr fontId="28" type="noConversion"/>
  </si>
  <si>
    <t>刺客英雄</t>
    <phoneticPr fontId="28" type="noConversion"/>
  </si>
  <si>
    <t>炼金英雄</t>
    <phoneticPr fontId="28" type="noConversion"/>
  </si>
  <si>
    <t>简单</t>
    <phoneticPr fontId="28" type="noConversion"/>
  </si>
  <si>
    <t>教徒</t>
    <phoneticPr fontId="28" type="noConversion"/>
  </si>
  <si>
    <t>刺客</t>
    <phoneticPr fontId="28" type="noConversion"/>
  </si>
  <si>
    <t>十五将军</t>
  </si>
  <si>
    <t>马超</t>
  </si>
  <si>
    <t>韩猛</t>
  </si>
  <si>
    <t>袁谭</t>
  </si>
  <si>
    <t>张允</t>
  </si>
  <si>
    <t>典韦</t>
  </si>
  <si>
    <t>孙策</t>
  </si>
  <si>
    <t>水镜先生</t>
  </si>
  <si>
    <t>黄祖</t>
  </si>
  <si>
    <t>盾甲英雄</t>
    <phoneticPr fontId="28" type="noConversion"/>
  </si>
  <si>
    <t>铁骑英雄</t>
    <phoneticPr fontId="28" type="noConversion"/>
  </si>
  <si>
    <t>炼金英雄</t>
    <phoneticPr fontId="28" type="noConversion"/>
  </si>
  <si>
    <t>刺客英雄</t>
    <phoneticPr fontId="28" type="noConversion"/>
  </si>
  <si>
    <t>法师英雄</t>
    <phoneticPr fontId="28" type="noConversion"/>
  </si>
  <si>
    <t>盾英</t>
    <phoneticPr fontId="28" type="noConversion"/>
  </si>
  <si>
    <t>heros</t>
    <phoneticPr fontId="28" type="noConversion"/>
  </si>
  <si>
    <t>强英</t>
    <phoneticPr fontId="28" type="noConversion"/>
  </si>
  <si>
    <t>Monster10</t>
  </si>
  <si>
    <t>怪物10</t>
  </si>
  <si>
    <t>Monster20</t>
  </si>
  <si>
    <t>怪物20</t>
  </si>
  <si>
    <t>黄巾-普通-盾英</t>
  </si>
  <si>
    <t>黄巾-困难-[B]盾英</t>
  </si>
  <si>
    <t>[B]黄巾盾甲英雄</t>
  </si>
  <si>
    <t>黄巾-困难-[B]强英</t>
  </si>
  <si>
    <t>[B]黄巾强弓英雄</t>
  </si>
  <si>
    <t>剧情本40-2</t>
  </si>
  <si>
    <t>剧情本40-3</t>
  </si>
  <si>
    <t>剧情本40-4</t>
  </si>
  <si>
    <t>剧情本40-5</t>
  </si>
  <si>
    <t>剧情本40-6</t>
  </si>
  <si>
    <t>剧情本50-1</t>
  </si>
  <si>
    <t>剧情本50-2</t>
  </si>
  <si>
    <t>剧情本50-3</t>
  </si>
  <si>
    <t>剧情本50-4</t>
  </si>
  <si>
    <t>剧情本50-5</t>
  </si>
  <si>
    <t>剧情本50-6</t>
  </si>
  <si>
    <t>剧情本30-1</t>
  </si>
  <si>
    <t>剧情本30-2</t>
  </si>
  <si>
    <t>剧情本30-3</t>
  </si>
  <si>
    <t>剧情本30-4</t>
  </si>
  <si>
    <t>剧情本30-5</t>
  </si>
  <si>
    <t>剧情本30-6</t>
  </si>
  <si>
    <t>剧情本20-1</t>
  </si>
  <si>
    <t>剧情本20-2</t>
  </si>
  <si>
    <t>剧情本20-3</t>
  </si>
  <si>
    <t>剧情本20-4</t>
  </si>
  <si>
    <t>剧情本20-5</t>
  </si>
  <si>
    <t>剧情本20-6</t>
  </si>
  <si>
    <t>剧情本10-1</t>
  </si>
  <si>
    <t>剧情本10-2</t>
  </si>
  <si>
    <t>剧情本10-3</t>
  </si>
  <si>
    <t>剧情本10-4</t>
  </si>
  <si>
    <t>剧情本10-5</t>
  </si>
  <si>
    <t>剧情本10-6</t>
  </si>
  <si>
    <t>名将本10-1</t>
  </si>
  <si>
    <t>名将本10-2</t>
  </si>
  <si>
    <t>名将本10-3</t>
  </si>
  <si>
    <t>名将本10-4</t>
  </si>
  <si>
    <t>名将本20-1</t>
  </si>
  <si>
    <t>名将本20-2</t>
  </si>
  <si>
    <t>名将本20-3</t>
  </si>
  <si>
    <t>名将本20-4</t>
  </si>
  <si>
    <t>名将本30-1</t>
  </si>
  <si>
    <t>名将本30-2</t>
  </si>
  <si>
    <t>名将本30-3</t>
  </si>
  <si>
    <t>名将本30-4</t>
  </si>
  <si>
    <t>名将本40-1</t>
  </si>
  <si>
    <t>名将本40-2</t>
  </si>
  <si>
    <t>名将本40-3</t>
  </si>
  <si>
    <t>名将本40-4</t>
  </si>
  <si>
    <t>剧情本1-1</t>
  </si>
  <si>
    <t>剧情本1-2</t>
  </si>
  <si>
    <t>剧情本1-4</t>
  </si>
  <si>
    <t>剧情本40-1</t>
  </si>
  <si>
    <t>Suffix</t>
    <phoneticPr fontId="28" type="noConversion"/>
  </si>
  <si>
    <t>IgnoreGen</t>
  </si>
  <si>
    <t>黄巾-简单-教徒2</t>
  </si>
  <si>
    <t>黄巾-简单-教徒1</t>
  </si>
  <si>
    <t>黄巾-简单-教徒3</t>
  </si>
  <si>
    <t>黄巾-简单-教徒4</t>
  </si>
  <si>
    <t>炼兵</t>
    <phoneticPr fontId="28" type="noConversion"/>
  </si>
  <si>
    <t>刺兵</t>
    <phoneticPr fontId="28" type="noConversion"/>
  </si>
  <si>
    <t>row4</t>
  </si>
  <si>
    <t>黄巾-简单-炼兵</t>
  </si>
  <si>
    <t>黄巾-简单-刺兵</t>
  </si>
  <si>
    <t>黄巾-普通-炼兵</t>
  </si>
  <si>
    <t>黄巾-普通-刺兵</t>
  </si>
  <si>
    <t>名将精英本10</t>
    <phoneticPr fontId="28" type="noConversion"/>
  </si>
  <si>
    <t>铁骑英雄</t>
    <phoneticPr fontId="28" type="noConversion"/>
  </si>
  <si>
    <r>
      <t>n</t>
    </r>
    <r>
      <rPr>
        <sz val="11"/>
        <color theme="1"/>
        <rFont val="微软雅黑"/>
        <family val="2"/>
        <charset val="134"/>
      </rPr>
      <t>ame</t>
    </r>
    <phoneticPr fontId="28" type="noConversion"/>
  </si>
  <si>
    <r>
      <t>t</t>
    </r>
    <r>
      <rPr>
        <sz val="11"/>
        <color theme="1"/>
        <rFont val="微软雅黑"/>
        <family val="2"/>
        <charset val="134"/>
      </rPr>
      <t>ype</t>
    </r>
    <phoneticPr fontId="28" type="noConversion"/>
  </si>
  <si>
    <t>张梁</t>
    <phoneticPr fontId="28" type="noConversion"/>
  </si>
  <si>
    <t>张宝</t>
    <phoneticPr fontId="28" type="noConversion"/>
  </si>
  <si>
    <t>黄巾-困难-法英+教徒</t>
  </si>
  <si>
    <t>炼金英雄</t>
    <phoneticPr fontId="28" type="noConversion"/>
  </si>
  <si>
    <t>炼金</t>
    <phoneticPr fontId="28" type="noConversion"/>
  </si>
  <si>
    <t>2波-简单</t>
  </si>
  <si>
    <t>3波-简单</t>
    <phoneticPr fontId="28" type="noConversion"/>
  </si>
  <si>
    <t>3波-普通</t>
    <phoneticPr fontId="28" type="noConversion"/>
  </si>
  <si>
    <t>3波-困难</t>
  </si>
  <si>
    <t>3波-超难</t>
  </si>
  <si>
    <t>剧情本-测试</t>
    <phoneticPr fontId="28" type="noConversion"/>
  </si>
  <si>
    <t>2波-普通</t>
  </si>
  <si>
    <t>2波-困难</t>
  </si>
  <si>
    <t>2波-超难</t>
  </si>
  <si>
    <t>2波</t>
    <phoneticPr fontId="28" type="noConversion"/>
  </si>
  <si>
    <t>Play</t>
    <phoneticPr fontId="28" type="noConversion"/>
  </si>
  <si>
    <t>StageDifficultyPath</t>
    <phoneticPr fontId="28" type="noConversion"/>
  </si>
  <si>
    <t>E:\svn_project\mp\LR\design\S数值规划\关卡难度.xlsx</t>
    <phoneticPr fontId="28" type="noConversion"/>
  </si>
  <si>
    <t>WaveDifficulty</t>
    <phoneticPr fontId="28" type="noConversion"/>
  </si>
  <si>
    <t>黄巾-困难-教徒</t>
  </si>
  <si>
    <t>黄巾-困难-盾英</t>
  </si>
  <si>
    <t>三国-困难-教徒</t>
  </si>
  <si>
    <t>row4</t>
    <phoneticPr fontId="28" type="noConversion"/>
  </si>
  <si>
    <t>张角</t>
    <phoneticPr fontId="28" type="noConversion"/>
  </si>
  <si>
    <t>黄巾-困难-法英1</t>
  </si>
  <si>
    <t>黄巾-普通-教徒1</t>
  </si>
  <si>
    <t>名将</t>
    <phoneticPr fontId="28" type="noConversion"/>
  </si>
  <si>
    <t>名将精英</t>
    <phoneticPr fontId="28" type="noConversion"/>
  </si>
  <si>
    <t>庞统</t>
    <phoneticPr fontId="28" type="noConversion"/>
  </si>
  <si>
    <t>9波-简单</t>
  </si>
  <si>
    <t>9波-普通</t>
  </si>
  <si>
    <t>9波-困难</t>
  </si>
  <si>
    <t>9波-超难</t>
  </si>
  <si>
    <t>5波-简单</t>
  </si>
  <si>
    <t>5波-普通</t>
  </si>
  <si>
    <t>5波-困难</t>
  </si>
  <si>
    <t>5波-超难</t>
  </si>
  <si>
    <t>WaitTime</t>
    <phoneticPr fontId="28" type="noConversion"/>
  </si>
  <si>
    <t>强弓英雄</t>
    <phoneticPr fontId="28" type="noConversion"/>
  </si>
  <si>
    <t>铁骑</t>
    <phoneticPr fontId="28" type="noConversion"/>
  </si>
  <si>
    <t>法师</t>
    <phoneticPr fontId="28" type="noConversion"/>
  </si>
  <si>
    <t>强弓</t>
    <phoneticPr fontId="28" type="noConversion"/>
  </si>
  <si>
    <t>铁骑英雄</t>
    <phoneticPr fontId="28" type="noConversion"/>
  </si>
  <si>
    <t>强弓英雄</t>
    <phoneticPr fontId="28" type="noConversion"/>
  </si>
  <si>
    <t>盾甲英雄</t>
    <phoneticPr fontId="28" type="noConversion"/>
  </si>
  <si>
    <t>法师英雄</t>
    <phoneticPr fontId="28" type="noConversion"/>
  </si>
  <si>
    <t>玉玺本1</t>
  </si>
  <si>
    <t>玉玺本2</t>
  </si>
  <si>
    <t>玉玺本3</t>
  </si>
  <si>
    <t>玉玺本4</t>
  </si>
  <si>
    <t>玉玺本5</t>
  </si>
  <si>
    <t>玉玺本6</t>
  </si>
  <si>
    <t>玉玺本7</t>
  </si>
  <si>
    <t>玉玺本8</t>
  </si>
  <si>
    <t>玉玺本9</t>
  </si>
  <si>
    <t>玉玺本10</t>
  </si>
  <si>
    <t>玉玺本11</t>
  </si>
  <si>
    <t>玉玺本12</t>
  </si>
  <si>
    <t>玉玺本13</t>
  </si>
  <si>
    <t>5波</t>
  </si>
  <si>
    <t>5波</t>
    <phoneticPr fontId="28" type="noConversion"/>
  </si>
  <si>
    <t>WaitTime</t>
    <phoneticPr fontId="28" type="noConversion"/>
  </si>
  <si>
    <t>简单</t>
    <phoneticPr fontId="28" type="noConversion"/>
  </si>
  <si>
    <t>普通</t>
    <phoneticPr fontId="28" type="noConversion"/>
  </si>
  <si>
    <t>简单</t>
    <phoneticPr fontId="28" type="noConversion"/>
  </si>
  <si>
    <t>普通</t>
    <phoneticPr fontId="28" type="noConversion"/>
  </si>
  <si>
    <t>刘兰芝</t>
    <phoneticPr fontId="39" type="noConversion"/>
  </si>
  <si>
    <t>张让</t>
    <phoneticPr fontId="39" type="noConversion"/>
  </si>
  <si>
    <t>少帝刘辩</t>
    <phoneticPr fontId="39" type="noConversion"/>
  </si>
  <si>
    <t>曹植</t>
    <phoneticPr fontId="39" type="noConversion"/>
  </si>
  <si>
    <t>杨修</t>
    <phoneticPr fontId="39" type="noConversion"/>
  </si>
  <si>
    <t>华佗</t>
    <phoneticPr fontId="39" type="noConversion"/>
  </si>
  <si>
    <t>张角</t>
    <phoneticPr fontId="28" type="noConversion"/>
  </si>
  <si>
    <t>张梁</t>
    <phoneticPr fontId="28" type="noConversion"/>
  </si>
  <si>
    <t>张宝</t>
    <phoneticPr fontId="28" type="noConversion"/>
  </si>
  <si>
    <t>十五将军</t>
    <phoneticPr fontId="28" type="noConversion"/>
  </si>
  <si>
    <t>刘兰芝</t>
  </si>
  <si>
    <t>刘兰芝</t>
    <phoneticPr fontId="28" type="noConversion"/>
  </si>
  <si>
    <t>铁骑英雄</t>
    <phoneticPr fontId="28" type="noConversion"/>
  </si>
  <si>
    <t>何进</t>
    <phoneticPr fontId="28" type="noConversion"/>
  </si>
  <si>
    <t>盾甲英雄</t>
    <phoneticPr fontId="28" type="noConversion"/>
  </si>
  <si>
    <t>张让</t>
  </si>
  <si>
    <t>张让</t>
    <phoneticPr fontId="28" type="noConversion"/>
  </si>
  <si>
    <t>曹操</t>
    <phoneticPr fontId="28" type="noConversion"/>
  </si>
  <si>
    <t>炼金英雄</t>
    <phoneticPr fontId="28" type="noConversion"/>
  </si>
  <si>
    <t>甄宓</t>
    <phoneticPr fontId="28" type="noConversion"/>
  </si>
  <si>
    <t>张飞</t>
    <phoneticPr fontId="28" type="noConversion"/>
  </si>
  <si>
    <t>少帝刘辩</t>
  </si>
  <si>
    <t>颜良</t>
    <phoneticPr fontId="28" type="noConversion"/>
  </si>
  <si>
    <t>文丑</t>
    <phoneticPr fontId="28" type="noConversion"/>
  </si>
  <si>
    <t>于吉</t>
    <phoneticPr fontId="28" type="noConversion"/>
  </si>
  <si>
    <t>曹植</t>
  </si>
  <si>
    <t>曹植</t>
    <phoneticPr fontId="28" type="noConversion"/>
  </si>
  <si>
    <t>杨修</t>
  </si>
  <si>
    <t>杨修</t>
    <phoneticPr fontId="28" type="noConversion"/>
  </si>
  <si>
    <t>华佗</t>
    <phoneticPr fontId="28" type="noConversion"/>
  </si>
  <si>
    <t>盾英</t>
    <phoneticPr fontId="28" type="noConversion"/>
  </si>
  <si>
    <t>法英</t>
    <phoneticPr fontId="28" type="noConversion"/>
  </si>
  <si>
    <t>黄巾-超难-[B]盾英+法英+法英</t>
  </si>
  <si>
    <t>强弓</t>
    <phoneticPr fontId="28" type="noConversion"/>
  </si>
  <si>
    <t>强弓英雄</t>
    <phoneticPr fontId="28" type="noConversion"/>
  </si>
  <si>
    <t>法师英雄</t>
    <phoneticPr fontId="28" type="noConversion"/>
  </si>
  <si>
    <t>盾甲</t>
    <phoneticPr fontId="28" type="noConversion"/>
  </si>
  <si>
    <t>刺客英雄</t>
    <phoneticPr fontId="28" type="noConversion"/>
  </si>
  <si>
    <t>炼金</t>
    <phoneticPr fontId="28" type="noConversion"/>
  </si>
  <si>
    <t>教徒</t>
    <phoneticPr fontId="28" type="noConversion"/>
  </si>
  <si>
    <t>法师</t>
    <phoneticPr fontId="28" type="noConversion"/>
  </si>
  <si>
    <t>刺客</t>
    <phoneticPr fontId="28" type="noConversion"/>
  </si>
  <si>
    <t>铁骑</t>
    <phoneticPr fontId="2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</si>
</sst>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0">
    <font>
      <sz val="11"/>
      <color theme="1"/>
      <name val="宋体"/>
      <family val="2"/>
      <scheme val="minor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theme="3" tint="0.3999755851924192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rgb="FF000000"/>
      <name val="Microsoft YaHei Mono"/>
      <family val="3"/>
      <charset val="134"/>
    </font>
    <font>
      <sz val="12"/>
      <color rgb="FF000000"/>
      <name val="Microsoft YaHei Mono"/>
      <family val="3"/>
      <charset val="134"/>
    </font>
    <font>
      <sz val="11"/>
      <color theme="4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1"/>
      <color rgb="FF0070C0"/>
      <name val="微软雅黑"/>
      <family val="2"/>
      <charset val="134"/>
    </font>
    <font>
      <sz val="11"/>
      <name val="微软雅黑"/>
      <family val="2"/>
      <charset val="134"/>
    </font>
    <font>
      <sz val="9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9" fillId="0" borderId="0">
      <alignment vertical="center"/>
    </xf>
  </cellStyleXfs>
  <cellXfs count="42">
    <xf numFmtId="0" fontId="0" fillId="0" borderId="0" xfId="0"/>
    <xf numFmtId="0" fontId="30" fillId="0" borderId="0" xfId="0" applyFont="1"/>
    <xf numFmtId="0" fontId="31" fillId="0" borderId="0" xfId="0" applyFont="1"/>
    <xf numFmtId="0" fontId="27" fillId="0" borderId="0" xfId="0" applyFont="1"/>
    <xf numFmtId="0" fontId="32" fillId="0" borderId="0" xfId="0" applyFont="1"/>
    <xf numFmtId="0" fontId="26" fillId="0" borderId="0" xfId="0" applyFont="1"/>
    <xf numFmtId="0" fontId="25" fillId="0" borderId="0" xfId="0" applyFont="1"/>
    <xf numFmtId="0" fontId="24" fillId="0" borderId="0" xfId="0" applyFont="1"/>
    <xf numFmtId="0" fontId="23" fillId="0" borderId="0" xfId="0" applyFont="1"/>
    <xf numFmtId="0" fontId="22" fillId="0" borderId="0" xfId="0" applyFont="1"/>
    <xf numFmtId="0" fontId="21" fillId="0" borderId="0" xfId="0" applyFont="1"/>
    <xf numFmtId="0" fontId="20" fillId="0" borderId="0" xfId="0" applyFont="1"/>
    <xf numFmtId="0" fontId="35" fillId="0" borderId="0" xfId="0" applyFont="1"/>
    <xf numFmtId="0" fontId="35" fillId="0" borderId="0" xfId="0" applyNumberFormat="1" applyFont="1"/>
    <xf numFmtId="0" fontId="19" fillId="0" borderId="0" xfId="0" applyFont="1"/>
    <xf numFmtId="0" fontId="18" fillId="0" borderId="0" xfId="0" applyFont="1"/>
    <xf numFmtId="0" fontId="17" fillId="0" borderId="0" xfId="0" applyFont="1"/>
    <xf numFmtId="0" fontId="16" fillId="0" borderId="0" xfId="0" applyFont="1"/>
    <xf numFmtId="0" fontId="15" fillId="0" borderId="0" xfId="0" applyFont="1"/>
    <xf numFmtId="0" fontId="36" fillId="0" borderId="0" xfId="0" applyFont="1" applyAlignment="1">
      <alignment vertical="center"/>
    </xf>
    <xf numFmtId="0" fontId="14" fillId="0" borderId="0" xfId="0" applyFont="1"/>
    <xf numFmtId="0" fontId="14" fillId="0" borderId="0" xfId="0" applyNumberFormat="1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11" fillId="0" borderId="0" xfId="0" applyNumberFormat="1" applyFont="1"/>
    <xf numFmtId="0" fontId="37" fillId="0" borderId="0" xfId="0" applyFont="1"/>
    <xf numFmtId="0" fontId="37" fillId="0" borderId="0" xfId="0" applyNumberFormat="1" applyFont="1"/>
    <xf numFmtId="0" fontId="38" fillId="0" borderId="0" xfId="0" applyFont="1"/>
    <xf numFmtId="0" fontId="38" fillId="0" borderId="0" xfId="0" applyNumberFormat="1" applyFont="1"/>
    <xf numFmtId="0" fontId="10" fillId="0" borderId="0" xfId="0" applyFont="1"/>
    <xf numFmtId="0" fontId="9" fillId="0" borderId="0" xfId="0" applyFont="1"/>
    <xf numFmtId="0" fontId="8" fillId="0" borderId="0" xfId="0" applyFont="1"/>
    <xf numFmtId="0" fontId="7" fillId="0" borderId="0" xfId="0" applyFont="1"/>
    <xf numFmtId="0" fontId="6" fillId="0" borderId="0" xfId="0" applyFont="1"/>
    <xf numFmtId="0" fontId="5" fillId="0" borderId="0" xfId="0" applyFont="1"/>
    <xf numFmtId="0" fontId="4" fillId="0" borderId="0" xfId="0" applyFont="1"/>
    <xf numFmtId="0" fontId="3" fillId="0" borderId="0" xfId="0" applyFont="1"/>
    <xf numFmtId="0" fontId="2" fillId="0" borderId="0" xfId="0" applyFont="1"/>
    <xf numFmtId="0" fontId="1" fillId="0" borderId="0" xfId="0" applyFont="1" applyAlignment="1">
      <alignment vertical="center"/>
    </xf>
    <xf numFmtId="0" fontId="1" fillId="0" borderId="0" xfId="0" applyFont="1"/>
    <xf numFmtId="0" fontId="1" fillId="0" borderId="0" xfId="0" applyNumberFormat="1" applyFont="1"/>
  </cellXfs>
  <cellStyles count="2">
    <cellStyle name="常规" xfId="0" builtinId="0"/>
    <cellStyle name="常规 2" xfId="1"/>
  </cellStyles>
  <dxfs count="19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209550</xdr:rowOff>
        </xdr:from>
        <xdr:to>
          <xdr:col>2</xdr:col>
          <xdr:colOff>200025</xdr:colOff>
          <xdr:row>1</xdr:row>
          <xdr:rowOff>209550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209550</xdr:rowOff>
        </xdr:from>
        <xdr:to>
          <xdr:col>11</xdr:col>
          <xdr:colOff>9525</xdr:colOff>
          <xdr:row>2</xdr:row>
          <xdr:rowOff>9525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读取并更新到stage_enemy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0</xdr:row>
          <xdr:rowOff>171450</xdr:rowOff>
        </xdr:from>
        <xdr:to>
          <xdr:col>5</xdr:col>
          <xdr:colOff>390525</xdr:colOff>
          <xdr:row>2</xdr:row>
          <xdr:rowOff>66675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读取难度配置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171450</xdr:rowOff>
        </xdr:from>
        <xdr:to>
          <xdr:col>5</xdr:col>
          <xdr:colOff>342900</xdr:colOff>
          <xdr:row>2</xdr:row>
          <xdr:rowOff>66675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读取难度配置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0</xdr:row>
          <xdr:rowOff>171450</xdr:rowOff>
        </xdr:from>
        <xdr:to>
          <xdr:col>5</xdr:col>
          <xdr:colOff>381000</xdr:colOff>
          <xdr:row>2</xdr:row>
          <xdr:rowOff>66675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读取难度配置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0</xdr:row>
          <xdr:rowOff>171450</xdr:rowOff>
        </xdr:from>
        <xdr:to>
          <xdr:col>5</xdr:col>
          <xdr:colOff>381000</xdr:colOff>
          <xdr:row>2</xdr:row>
          <xdr:rowOff>66675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读取难度配置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266700</xdr:colOff>
          <xdr:row>2</xdr:row>
          <xdr:rowOff>66675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866775</xdr:colOff>
          <xdr:row>1</xdr:row>
          <xdr:rowOff>0</xdr:rowOff>
        </xdr:from>
        <xdr:to>
          <xdr:col>0</xdr:col>
          <xdr:colOff>1419225</xdr:colOff>
          <xdr:row>1</xdr:row>
          <xdr:rowOff>200025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2076450</xdr:colOff>
          <xdr:row>1</xdr:row>
          <xdr:rowOff>9525</xdr:rowOff>
        </xdr:from>
        <xdr:to>
          <xdr:col>0</xdr:col>
          <xdr:colOff>2581275</xdr:colOff>
          <xdr:row>1</xdr:row>
          <xdr:rowOff>200025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1495425</xdr:colOff>
          <xdr:row>0</xdr:row>
          <xdr:rowOff>200025</xdr:rowOff>
        </xdr:from>
        <xdr:to>
          <xdr:col>0</xdr:col>
          <xdr:colOff>2000250</xdr:colOff>
          <xdr:row>1</xdr:row>
          <xdr:rowOff>200025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bGroup" displayName="tbGroup" ref="B4:AQ356" totalsRowShown="0" headerRowDxfId="193" dataDxfId="192">
  <tableColumns count="42">
    <tableColumn id="1" name="Camp" dataDxfId="191"/>
    <tableColumn id="2" name="Difficulty" dataDxfId="190"/>
    <tableColumn id="13" name="Type" dataDxfId="189"/>
    <tableColumn id="11" name="IsBoss" dataDxfId="188"/>
    <tableColumn id="3" name="HeroCount" dataDxfId="187"/>
    <tableColumn id="4" name="SoldierCount" dataDxfId="186"/>
    <tableColumn id="5" name="Hero1" dataDxfId="185"/>
    <tableColumn id="6" name="Hero2" dataDxfId="184"/>
    <tableColumn id="7" name="Hero3" dataDxfId="183"/>
    <tableColumn id="8" name="Soldier1" dataDxfId="182"/>
    <tableColumn id="9" name="Soldier2" dataDxfId="181"/>
    <tableColumn id="14" name="Soldier3" dataDxfId="180"/>
    <tableColumn id="12" name="Check" dataDxfId="179">
      <calculatedColumnFormula>AND(COUNTA(tbGroup[[#This Row],[Hero1]:[Hero3]])=tbGroup[[#This Row],[HeroCount]],COUNTA(tbGroup[[#This Row],[Soldier1]:[Soldier3]])=tbGroup[[#This Row],[SoldierCount]],CHECK_SORT_ID(tbGroup[[#This Row],[Hero1]:[Soldier3]]))</calculatedColumnFormula>
    </tableColumn>
    <tableColumn id="17" name="Suffix" dataDxfId="178"/>
    <tableColumn id="10" name="GroupName" dataDxfId="177">
      <calculatedColumnFormula>tbGroup[[#This Row],[Camp]]&amp;"-"&amp;tbGroup[[#This Row],[Difficulty]]&amp;"-"&amp;GET_GROUP_NAME(tbGroup[[#This Row],[IsBoss]],tbGroup[[#This Row],[Hero1]:[Soldier3]])&amp;tbGroup[[#This Row],[Suffix]]</calculatedColumnFormula>
    </tableColumn>
    <tableColumn id="15" name="Formation" dataDxfId="176"/>
    <tableColumn id="16" name="VersionID" dataDxfId="175"/>
    <tableColumn id="43" name="IgnoreGen" dataDxfId="174"/>
    <tableColumn id="18" name="Monster1" dataDxfId="173"/>
    <tableColumn id="19" name="Monster2" dataDxfId="172"/>
    <tableColumn id="20" name="Monster3" dataDxfId="171"/>
    <tableColumn id="21" name="Monster4" dataDxfId="170"/>
    <tableColumn id="22" name="Monster5" dataDxfId="169"/>
    <tableColumn id="23" name="Monster6" dataDxfId="168"/>
    <tableColumn id="24" name="Monster7" dataDxfId="167"/>
    <tableColumn id="25" name="Monster8" dataDxfId="166"/>
    <tableColumn id="26" name="Monster9" dataDxfId="165"/>
    <tableColumn id="27" name="Monster10" dataDxfId="164"/>
    <tableColumn id="28" name="Monster11" dataDxfId="163"/>
    <tableColumn id="29" name="Monster12" dataDxfId="162"/>
    <tableColumn id="30" name="Monster13" dataDxfId="161"/>
    <tableColumn id="31" name="Monster14" dataDxfId="160"/>
    <tableColumn id="32" name="Monster15" dataDxfId="159"/>
    <tableColumn id="33" name="Monster16" dataDxfId="158"/>
    <tableColumn id="34" name="Monster17" dataDxfId="157"/>
    <tableColumn id="35" name="Monster18" dataDxfId="156"/>
    <tableColumn id="36" name="Monster19" dataDxfId="155"/>
    <tableColumn id="37" name="Monster20" dataDxfId="154"/>
    <tableColumn id="38" name="Monster21" dataDxfId="153"/>
    <tableColumn id="39" name="Monster22" dataDxfId="152"/>
    <tableColumn id="40" name="Monster23" dataDxfId="151"/>
    <tableColumn id="41" name="Monster24" dataDxfId="15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tbStoryEnemy" displayName="tbStoryEnemy" ref="B4:S596" totalsRowShown="0" headerRowDxfId="149" dataDxfId="148">
  <tableColumns count="18">
    <tableColumn id="2" name="StageName" dataDxfId="147"/>
    <tableColumn id="17" name="Play" dataDxfId="146"/>
    <tableColumn id="3" name="Wave" dataDxfId="145"/>
    <tableColumn id="18" name="WaitTime" dataDxfId="144"/>
    <tableColumn id="15" name="Camp" dataDxfId="143"/>
    <tableColumn id="13" name="Difficulty" dataDxfId="142"/>
    <tableColumn id="14" name="IsBoss" dataDxfId="141"/>
    <tableColumn id="4" name="Hero1" dataDxfId="140"/>
    <tableColumn id="5" name="Hero2" dataDxfId="139"/>
    <tableColumn id="6" name="Hero3" dataDxfId="138"/>
    <tableColumn id="7" name="Soldier1" dataDxfId="137"/>
    <tableColumn id="8" name="Soldier2" dataDxfId="136"/>
    <tableColumn id="9" name="Soldier3" dataDxfId="135"/>
    <tableColumn id="10" name="GroupCount" dataDxfId="134">
      <calculatedColumnFormula>GET_OK_GROUPS_COUNT(tbStoryEnemy[[#This Row],[Camp]],tbStoryEnemy[[#This Row],[Difficulty]],tbStoryEnemy[[#This Row],[IsBoss]],tbStoryEnemy[[#This Row],[Hero1]:[Soldier3]])</calculatedColumnFormula>
    </tableColumn>
    <tableColumn id="11" name="GroupID" dataDxfId="133"/>
    <tableColumn id="1" name="Boss" dataDxfId="132"/>
    <tableColumn id="16" name="AllyHero" dataDxfId="131"/>
    <tableColumn id="12" name="Group" dataDxfId="130">
      <calculatedColumnFormula>GET_OK_GROUP(tbStoryEnemy[[#This Row],[Camp]],tbStoryEnemy[[#This Row],[Difficulty]],tbStoryEnemy[[#This Row],[IsBoss]],tbStoryEnemy[[#This Row],[Hero1]:[Soldier3]],tbStoryEnemy[[#This Row],[GroupID]])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3" name="表13" displayName="表13" ref="V9:W13" totalsRowShown="0" headerRowDxfId="129" dataDxfId="128">
  <tableColumns count="2">
    <tableColumn id="1" name="name" dataDxfId="127"/>
    <tableColumn id="2" name="type" dataDxfId="126">
      <calculatedColumnFormula>VLOOKUP(表13[name],tbUnitNameToType[],3,FALSE)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9" name="tbHeroEnemy" displayName="tbHeroEnemy" ref="B4:S388" totalsRowShown="0" headerRowDxfId="125" dataDxfId="124">
  <tableColumns count="18">
    <tableColumn id="2" name="StageName" dataDxfId="123"/>
    <tableColumn id="17" name="Play" dataDxfId="122"/>
    <tableColumn id="3" name="Wave" dataDxfId="121"/>
    <tableColumn id="18" name="WaitTime" dataDxfId="120"/>
    <tableColumn id="15" name="Camp" dataDxfId="119"/>
    <tableColumn id="13" name="Difficulty" dataDxfId="118"/>
    <tableColumn id="14" name="IsBoss" dataDxfId="117"/>
    <tableColumn id="4" name="Hero1" dataDxfId="116"/>
    <tableColumn id="5" name="Hero2" dataDxfId="115"/>
    <tableColumn id="6" name="Hero3" dataDxfId="114"/>
    <tableColumn id="7" name="Soldier1" dataDxfId="113"/>
    <tableColumn id="8" name="Soldier2" dataDxfId="112"/>
    <tableColumn id="9" name="Soldier3" dataDxfId="111"/>
    <tableColumn id="10" name="GroupCount" dataDxfId="110">
      <calculatedColumnFormula>GET_OK_GROUPS_COUNT(tbHeroEnemy[[#This Row],[Camp]],tbHeroEnemy[[#This Row],[Difficulty]],tbHeroEnemy[[#This Row],[IsBoss]],tbHeroEnemy[[#This Row],[Hero1]:[Soldier3]])</calculatedColumnFormula>
    </tableColumn>
    <tableColumn id="11" name="GroupID" dataDxfId="109"/>
    <tableColumn id="16" name="AllyHero" dataDxfId="108"/>
    <tableColumn id="1" name="Boss" dataDxfId="107"/>
    <tableColumn id="12" name="Group" dataDxfId="106">
      <calculatedColumnFormula>GET_OK_GROUP(tbHeroEnemy[[#This Row],[Camp]],tbHeroEnemy[[#This Row],[Difficulty]],tbHeroEnemy[[#This Row],[IsBoss]],tbHeroEnemy[[#This Row],[Hero1]:[Soldier3]],tbHeroEnemy[[#This Row],[GroupID]])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tbHeroEliteEnemy16" displayName="tbHeroEliteEnemy16" ref="B4:S69" totalsRowShown="0" headerRowDxfId="105" dataDxfId="104">
  <tableColumns count="18">
    <tableColumn id="2" name="StageName" dataDxfId="103"/>
    <tableColumn id="17" name="Play" dataDxfId="102"/>
    <tableColumn id="3" name="Wave" dataDxfId="101"/>
    <tableColumn id="18" name="WaitTime" dataDxfId="100"/>
    <tableColumn id="15" name="Camp" dataDxfId="99"/>
    <tableColumn id="13" name="Difficulty" dataDxfId="98"/>
    <tableColumn id="14" name="IsBoss" dataDxfId="97"/>
    <tableColumn id="4" name="Hero1" dataDxfId="96"/>
    <tableColumn id="5" name="Hero2" dataDxfId="95"/>
    <tableColumn id="6" name="Hero3" dataDxfId="94"/>
    <tableColumn id="7" name="Soldier1" dataDxfId="93"/>
    <tableColumn id="8" name="Soldier2" dataDxfId="92"/>
    <tableColumn id="9" name="Soldier3" dataDxfId="91"/>
    <tableColumn id="10" name="GroupCount" dataDxfId="90">
      <calculatedColumnFormula>GET_OK_GROUPS_COUNT(tbHeroEliteEnemy16[[#This Row],[Camp]],tbHeroEliteEnemy16[[#This Row],[Difficulty]],tbHeroEliteEnemy16[[#This Row],[IsBoss]],tbHeroEliteEnemy16[[#This Row],[Hero1]:[Soldier3]])</calculatedColumnFormula>
    </tableColumn>
    <tableColumn id="11" name="GroupID" dataDxfId="89"/>
    <tableColumn id="16" name="AllyHero" dataDxfId="88"/>
    <tableColumn id="1" name="Boss" dataDxfId="87"/>
    <tableColumn id="12" name="Group" dataDxfId="86">
      <calculatedColumnFormula>GET_OK_GROUP(tbHeroEliteEnemy16[[#This Row],[Camp]],tbHeroEliteEnemy16[[#This Row],[Difficulty]],tbHeroEliteEnemy16[[#This Row],[IsBoss]],tbHeroEliteEnemy16[[#This Row],[Hero1]:[Soldier3]],tbHeroEliteEnemy16[[#This Row],[GroupID]])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0" name="tbHeroEliteEnemy" displayName="tbHeroEliteEnemy" ref="B4:S166" totalsRowShown="0" headerRowDxfId="85" dataDxfId="84">
  <tableColumns count="18">
    <tableColumn id="2" name="StageName" dataDxfId="83"/>
    <tableColumn id="17" name="Play" dataDxfId="82"/>
    <tableColumn id="3" name="Wave" dataDxfId="81"/>
    <tableColumn id="18" name="WaitTime" dataDxfId="80"/>
    <tableColumn id="15" name="Camp" dataDxfId="79"/>
    <tableColumn id="13" name="Difficulty" dataDxfId="78"/>
    <tableColumn id="14" name="IsBoss" dataDxfId="77"/>
    <tableColumn id="4" name="Hero1" dataDxfId="76"/>
    <tableColumn id="5" name="Hero2" dataDxfId="75"/>
    <tableColumn id="6" name="Hero3" dataDxfId="74"/>
    <tableColumn id="7" name="Soldier1" dataDxfId="73"/>
    <tableColumn id="8" name="Soldier2" dataDxfId="72"/>
    <tableColumn id="9" name="Soldier3" dataDxfId="71"/>
    <tableColumn id="10" name="GroupCount" dataDxfId="70">
      <calculatedColumnFormula>GET_OK_GROUPS_COUNT(tbHeroEliteEnemy[[#This Row],[Camp]],tbHeroEliteEnemy[[#This Row],[Difficulty]],tbHeroEliteEnemy[[#This Row],[IsBoss]],tbHeroEliteEnemy[[#This Row],[Hero1]:[Soldier3]])</calculatedColumnFormula>
    </tableColumn>
    <tableColumn id="11" name="GroupID" dataDxfId="69"/>
    <tableColumn id="16" name="AllyHero" dataDxfId="68"/>
    <tableColumn id="1" name="Boss" dataDxfId="67"/>
    <tableColumn id="12" name="Group" dataDxfId="66">
      <calculatedColumnFormula>GET_OK_GROUP(tbHeroEliteEnemy[[#This Row],[Camp]],tbHeroEliteEnemy[[#This Row],[Difficulty]],tbHeroEliteEnemy[[#This Row],[IsBoss]],tbHeroEliteEnemy[[#This Row],[Hero1]:[Soldier3]],tbHeroEliteEnemy[[#This Row],[GroupID]])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2" name="tbTestEnemy" displayName="tbTestEnemy" ref="B4:R139" totalsRowShown="0" headerRowDxfId="65" dataDxfId="64">
  <tableColumns count="17">
    <tableColumn id="2" name="StageName" dataDxfId="63"/>
    <tableColumn id="3" name="Wave" dataDxfId="62"/>
    <tableColumn id="17" name="WaitTime" dataDxfId="61"/>
    <tableColumn id="15" name="Camp" dataDxfId="60"/>
    <tableColumn id="13" name="Difficulty" dataDxfId="59"/>
    <tableColumn id="14" name="IsBoss" dataDxfId="58"/>
    <tableColumn id="4" name="Hero1" dataDxfId="57"/>
    <tableColumn id="5" name="Hero2" dataDxfId="56"/>
    <tableColumn id="6" name="Hero3" dataDxfId="55"/>
    <tableColumn id="7" name="Soldier1" dataDxfId="54"/>
    <tableColumn id="8" name="Soldier2" dataDxfId="53"/>
    <tableColumn id="9" name="Soldier3" dataDxfId="52"/>
    <tableColumn id="10" name="GroupCount" dataDxfId="51">
      <calculatedColumnFormula>GET_OK_GROUPS_COUNT(tbTestEnemy[[#This Row],[Camp]],tbTestEnemy[[#This Row],[Difficulty]],tbTestEnemy[[#This Row],[IsBoss]],tbTestEnemy[[#This Row],[Hero1]:[Soldier3]])</calculatedColumnFormula>
    </tableColumn>
    <tableColumn id="11" name="GroupID" dataDxfId="50"/>
    <tableColumn id="16" name="AllyHero" dataDxfId="49"/>
    <tableColumn id="1" name="Boss" dataDxfId="48"/>
    <tableColumn id="12" name="Group" dataDxfId="47">
      <calculatedColumnFormula>GET_OK_GROUP(tbTestEnemy[[#This Row],[Camp]],tbTestEnemy[[#This Row],[Difficulty]],tbTestEnemy[[#This Row],[IsBoss]],tbTestEnemy[[#This Row],[Hero1]:[Soldier3]],tbTestEnemy[[#This Row],[GroupID]])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4" name="tbUnitTypeToIndex" displayName="tbUnitTypeToIndex" ref="F2:G38" totalsRowShown="0" headerRowDxfId="46" dataDxfId="45">
  <tableColumns count="2">
    <tableColumn id="1" name="Type" dataDxfId="44"/>
    <tableColumn id="2" name="Index" dataDxfId="4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5" name="tbUnitNameToType" displayName="tbUnitNameToType" ref="B2:D179" totalsRowShown="0" headerRowDxfId="42" dataDxfId="41">
  <autoFilter ref="B2:D179"/>
  <tableColumns count="3">
    <tableColumn id="1" name="Name" dataDxfId="40"/>
    <tableColumn id="2" name="Type" dataDxfId="39"/>
    <tableColumn id="3" name="Index" dataDxfId="38">
      <calculatedColumnFormula>INDEX(tbUnitTypeToIndex[Index],MATCH(tbUnitNameToType[[#This Row],[Type]],tbUnitTypeToIndex[Type],))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" name="表2" displayName="表2" ref="B4:B10" totalsRowShown="0" headerRowDxfId="37" dataDxfId="36">
  <tableColumns count="1">
    <tableColumn id="1" name="HeroIndex" dataDxfId="3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3" name="表3" displayName="表3" ref="D4:D11" totalsRowShown="0" headerRowDxfId="34" dataDxfId="33">
  <tableColumns count="1">
    <tableColumn id="1" name="SoldierIndex" dataDxfId="3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8" name="表8" displayName="表8" ref="F4:F11" totalsRowShown="0" headerRowDxfId="31" dataDxfId="30">
  <tableColumns count="1">
    <tableColumn id="1" name="Soldier" dataDxfId="2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1" name="表11" displayName="表11" ref="J4:K8" totalsRowShown="0" headerRowDxfId="28" dataDxfId="27">
  <tableColumns count="2">
    <tableColumn id="1" name="Name" dataDxfId="26"/>
    <tableColumn id="2" name="Value" dataDxfId="2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7" name="表7" displayName="表7" ref="H4:H11" totalsRowShown="0" headerRowDxfId="24" dataDxfId="23">
  <tableColumns count="1">
    <tableColumn id="1" name="Formation" dataDxfId="2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4" name="表14" displayName="表14" ref="B2:F30" totalsRowShown="0" headerRowDxfId="21" dataDxfId="20">
  <tableColumns count="5">
    <tableColumn id="1" name="Play" dataDxfId="19"/>
    <tableColumn id="2" name="Difficulty" dataDxfId="18"/>
    <tableColumn id="3" name="Wave" dataDxfId="17"/>
    <tableColumn id="4" name="WaveDifficulty" dataDxfId="16"/>
    <tableColumn id="5" name="WaitTime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Q356"/>
  <sheetViews>
    <sheetView showGridLines="0" zoomScale="90" zoomScaleNormal="90" workbookViewId="0">
      <pane ySplit="4" topLeftCell="A17" activePane="bottomLeft" state="frozen"/>
      <selection pane="bottomLeft" activeCell="S36" sqref="S36"/>
    </sheetView>
  </sheetViews>
  <sheetFormatPr defaultColWidth="9" defaultRowHeight="16.5"/>
  <cols>
    <col min="1" max="1" width="5" style="1" customWidth="1"/>
    <col min="2" max="3" width="9" style="1"/>
    <col min="4" max="4" width="18.375" bestFit="1" customWidth="1"/>
    <col min="5" max="5" width="7.5" style="1" bestFit="1" customWidth="1"/>
    <col min="6" max="6" width="9.625" style="1" bestFit="1" customWidth="1"/>
    <col min="7" max="8" width="10" style="1" customWidth="1"/>
    <col min="9" max="14" width="9" style="1"/>
    <col min="15" max="15" width="9.375" style="1" customWidth="1"/>
    <col min="16" max="16" width="18.25" style="1" customWidth="1"/>
    <col min="17" max="17" width="11.125" style="1" bestFit="1" customWidth="1"/>
    <col min="18" max="19" width="10.625" style="1" customWidth="1"/>
    <col min="20" max="21" width="9" style="1"/>
    <col min="22" max="22" width="9.625" style="1" bestFit="1" customWidth="1"/>
    <col min="23" max="16384" width="9" style="1"/>
  </cols>
  <sheetData>
    <row r="1" spans="2:43">
      <c r="D1" s="1"/>
    </row>
    <row r="2" spans="2:43">
      <c r="D2" s="12" t="str">
        <f>GroupInputJsonPath</f>
        <v>E:\git_project\monster_group_gen\group_input.json</v>
      </c>
    </row>
    <row r="3" spans="2:43">
      <c r="D3" s="1"/>
    </row>
    <row r="4" spans="2:43">
      <c r="B4" s="6" t="s">
        <v>480</v>
      </c>
      <c r="C4" s="6" t="s">
        <v>470</v>
      </c>
      <c r="D4" s="6" t="s">
        <v>466</v>
      </c>
      <c r="E4" s="7" t="s">
        <v>490</v>
      </c>
      <c r="F4" s="6" t="s">
        <v>471</v>
      </c>
      <c r="G4" s="6" t="s">
        <v>472</v>
      </c>
      <c r="H4" s="6" t="s">
        <v>473</v>
      </c>
      <c r="I4" s="6" t="s">
        <v>474</v>
      </c>
      <c r="J4" s="6" t="s">
        <v>475</v>
      </c>
      <c r="K4" s="6" t="s">
        <v>476</v>
      </c>
      <c r="L4" s="6" t="s">
        <v>477</v>
      </c>
      <c r="M4" s="6" t="s">
        <v>478</v>
      </c>
      <c r="N4" s="6" t="s">
        <v>479</v>
      </c>
      <c r="O4" s="24" t="s">
        <v>1258</v>
      </c>
      <c r="P4" s="15" t="s">
        <v>891</v>
      </c>
      <c r="Q4" s="15" t="s">
        <v>892</v>
      </c>
      <c r="R4" s="15" t="s">
        <v>893</v>
      </c>
      <c r="S4" s="15" t="s">
        <v>1259</v>
      </c>
      <c r="T4" s="24" t="s">
        <v>2</v>
      </c>
      <c r="U4" s="24" t="s">
        <v>3</v>
      </c>
      <c r="V4" s="24" t="s">
        <v>4</v>
      </c>
      <c r="W4" s="24" t="s">
        <v>5</v>
      </c>
      <c r="X4" s="24" t="s">
        <v>6</v>
      </c>
      <c r="Y4" s="24" t="s">
        <v>7</v>
      </c>
      <c r="Z4" s="24" t="s">
        <v>8</v>
      </c>
      <c r="AA4" s="24" t="s">
        <v>9</v>
      </c>
      <c r="AB4" s="24" t="s">
        <v>10</v>
      </c>
      <c r="AC4" s="24" t="s">
        <v>1200</v>
      </c>
      <c r="AD4" s="24" t="s">
        <v>11</v>
      </c>
      <c r="AE4" s="24" t="s">
        <v>12</v>
      </c>
      <c r="AF4" s="24" t="s">
        <v>13</v>
      </c>
      <c r="AG4" s="24" t="s">
        <v>14</v>
      </c>
      <c r="AH4" s="24" t="s">
        <v>15</v>
      </c>
      <c r="AI4" s="24" t="s">
        <v>16</v>
      </c>
      <c r="AJ4" s="24" t="s">
        <v>17</v>
      </c>
      <c r="AK4" s="24" t="s">
        <v>18</v>
      </c>
      <c r="AL4" s="24" t="s">
        <v>19</v>
      </c>
      <c r="AM4" s="24" t="s">
        <v>1202</v>
      </c>
      <c r="AN4" s="24" t="s">
        <v>20</v>
      </c>
      <c r="AO4" s="24" t="s">
        <v>21</v>
      </c>
      <c r="AP4" s="24" t="s">
        <v>22</v>
      </c>
      <c r="AQ4" s="24" t="s">
        <v>23</v>
      </c>
    </row>
    <row r="5" spans="2:43">
      <c r="B5" s="6" t="s">
        <v>597</v>
      </c>
      <c r="C5" s="6" t="s">
        <v>29</v>
      </c>
      <c r="D5" s="6"/>
      <c r="E5" s="7"/>
      <c r="F5" s="6"/>
      <c r="G5" s="6">
        <v>1</v>
      </c>
      <c r="H5" s="6"/>
      <c r="I5" s="6"/>
      <c r="J5" s="6"/>
      <c r="K5" s="6" t="s">
        <v>49</v>
      </c>
      <c r="L5" s="6"/>
      <c r="M5" s="6"/>
      <c r="N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" s="28">
        <v>1</v>
      </c>
      <c r="P5" s="26" t="str">
        <f>tbGroup[[#This Row],[Camp]]&amp;"-"&amp;tbGroup[[#This Row],[Difficulty]]&amp;"-"&amp;GET_GROUP_NAME(tbGroup[[#This Row],[IsBoss]],tbGroup[[#This Row],[Hero1]:[Soldier3]])&amp;tbGroup[[#This Row],[Suffix]]</f>
        <v>黄巾-简单-教徒1</v>
      </c>
      <c r="Q5" s="15" t="s">
        <v>38</v>
      </c>
      <c r="R5" s="15">
        <v>0</v>
      </c>
      <c r="S5" s="15" t="b">
        <v>1</v>
      </c>
      <c r="T5" s="24" t="s">
        <v>30</v>
      </c>
      <c r="U5" s="24" t="s">
        <v>30</v>
      </c>
      <c r="V5" s="24" t="s">
        <v>30</v>
      </c>
      <c r="W5" s="24" t="s">
        <v>30</v>
      </c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</row>
    <row r="6" spans="2:43">
      <c r="B6" s="6" t="s">
        <v>597</v>
      </c>
      <c r="C6" s="6" t="s">
        <v>29</v>
      </c>
      <c r="D6" s="6"/>
      <c r="E6" s="7"/>
      <c r="F6" s="6"/>
      <c r="G6" s="6">
        <v>1</v>
      </c>
      <c r="H6" s="6"/>
      <c r="I6" s="6"/>
      <c r="J6" s="6"/>
      <c r="K6" s="6" t="s">
        <v>49</v>
      </c>
      <c r="L6" s="6"/>
      <c r="M6" s="6"/>
      <c r="N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" s="28">
        <v>2</v>
      </c>
      <c r="P6" s="26" t="str">
        <f>tbGroup[[#This Row],[Camp]]&amp;"-"&amp;tbGroup[[#This Row],[Difficulty]]&amp;"-"&amp;GET_GROUP_NAME(tbGroup[[#This Row],[IsBoss]],tbGroup[[#This Row],[Hero1]:[Soldier3]])&amp;tbGroup[[#This Row],[Suffix]]</f>
        <v>黄巾-简单-教徒2</v>
      </c>
      <c r="Q6" s="15" t="s">
        <v>38</v>
      </c>
      <c r="R6" s="15">
        <v>0</v>
      </c>
      <c r="S6" s="15" t="b">
        <v>1</v>
      </c>
      <c r="T6" s="24" t="s">
        <v>30</v>
      </c>
      <c r="U6" s="24" t="s">
        <v>30</v>
      </c>
      <c r="V6" s="24" t="s">
        <v>30</v>
      </c>
      <c r="W6" s="24" t="s">
        <v>30</v>
      </c>
      <c r="X6" s="24" t="s">
        <v>30</v>
      </c>
      <c r="Y6" s="24" t="s">
        <v>30</v>
      </c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</row>
    <row r="7" spans="2:43">
      <c r="B7" s="6" t="s">
        <v>597</v>
      </c>
      <c r="C7" s="6" t="s">
        <v>29</v>
      </c>
      <c r="D7" s="6"/>
      <c r="E7" s="7"/>
      <c r="F7" s="6"/>
      <c r="G7" s="6">
        <v>1</v>
      </c>
      <c r="H7" s="6"/>
      <c r="I7" s="6"/>
      <c r="J7" s="6"/>
      <c r="K7" s="6" t="s">
        <v>49</v>
      </c>
      <c r="L7" s="6"/>
      <c r="M7" s="6"/>
      <c r="N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" s="28">
        <v>3</v>
      </c>
      <c r="P7" s="26" t="str">
        <f>tbGroup[[#This Row],[Camp]]&amp;"-"&amp;tbGroup[[#This Row],[Difficulty]]&amp;"-"&amp;GET_GROUP_NAME(tbGroup[[#This Row],[IsBoss]],tbGroup[[#This Row],[Hero1]:[Soldier3]])&amp;tbGroup[[#This Row],[Suffix]]</f>
        <v>黄巾-简单-教徒3</v>
      </c>
      <c r="Q7" s="15" t="s">
        <v>38</v>
      </c>
      <c r="R7" s="15">
        <v>0</v>
      </c>
      <c r="S7" s="15" t="b">
        <v>1</v>
      </c>
      <c r="T7" s="24" t="s">
        <v>30</v>
      </c>
      <c r="U7" s="24" t="s">
        <v>30</v>
      </c>
      <c r="V7" s="24" t="s">
        <v>30</v>
      </c>
      <c r="W7" s="24" t="s">
        <v>30</v>
      </c>
      <c r="X7" s="24" t="s">
        <v>30</v>
      </c>
      <c r="Y7" s="24" t="s">
        <v>30</v>
      </c>
      <c r="Z7" s="24" t="s">
        <v>30</v>
      </c>
      <c r="AA7" s="24" t="s">
        <v>30</v>
      </c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</row>
    <row r="8" spans="2:43">
      <c r="B8" s="6" t="s">
        <v>597</v>
      </c>
      <c r="C8" s="6" t="s">
        <v>29</v>
      </c>
      <c r="D8" s="6"/>
      <c r="E8" s="7"/>
      <c r="F8" s="6"/>
      <c r="G8" s="6">
        <v>1</v>
      </c>
      <c r="H8" s="6"/>
      <c r="I8" s="6"/>
      <c r="J8" s="6"/>
      <c r="K8" s="6" t="s">
        <v>49</v>
      </c>
      <c r="L8" s="6"/>
      <c r="M8" s="6"/>
      <c r="N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" s="28">
        <v>4</v>
      </c>
      <c r="P8" s="26" t="str">
        <f>tbGroup[[#This Row],[Camp]]&amp;"-"&amp;tbGroup[[#This Row],[Difficulty]]&amp;"-"&amp;GET_GROUP_NAME(tbGroup[[#This Row],[IsBoss]],tbGroup[[#This Row],[Hero1]:[Soldier3]])&amp;tbGroup[[#This Row],[Suffix]]</f>
        <v>黄巾-简单-教徒4</v>
      </c>
      <c r="Q8" s="15" t="s">
        <v>38</v>
      </c>
      <c r="R8" s="15">
        <v>2</v>
      </c>
      <c r="S8" s="15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</row>
    <row r="9" spans="2:43">
      <c r="B9" s="6" t="s">
        <v>597</v>
      </c>
      <c r="C9" s="6" t="s">
        <v>29</v>
      </c>
      <c r="D9" s="6"/>
      <c r="E9" s="7"/>
      <c r="F9" s="6"/>
      <c r="G9" s="6">
        <v>1</v>
      </c>
      <c r="H9" s="6"/>
      <c r="I9" s="6"/>
      <c r="J9" s="6"/>
      <c r="K9" s="6" t="s">
        <v>158</v>
      </c>
      <c r="L9" s="6"/>
      <c r="M9" s="6"/>
      <c r="N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" s="28"/>
      <c r="P9" s="26" t="str">
        <f>tbGroup[[#This Row],[Camp]]&amp;"-"&amp;tbGroup[[#This Row],[Difficulty]]&amp;"-"&amp;GET_GROUP_NAME(tbGroup[[#This Row],[IsBoss]],tbGroup[[#This Row],[Hero1]:[Soldier3]])&amp;tbGroup[[#This Row],[Suffix]]</f>
        <v>黄巾-简单-铁兵</v>
      </c>
      <c r="Q9" s="15" t="s">
        <v>903</v>
      </c>
      <c r="R9" s="15">
        <v>2</v>
      </c>
      <c r="S9" s="15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</row>
    <row r="10" spans="2:43">
      <c r="B10" s="6" t="s">
        <v>597</v>
      </c>
      <c r="C10" s="6" t="s">
        <v>29</v>
      </c>
      <c r="D10" s="6"/>
      <c r="E10" s="7"/>
      <c r="F10" s="6"/>
      <c r="G10" s="6">
        <v>1</v>
      </c>
      <c r="H10" s="6"/>
      <c r="I10" s="6"/>
      <c r="J10" s="6"/>
      <c r="K10" s="6" t="s">
        <v>161</v>
      </c>
      <c r="L10" s="6"/>
      <c r="M10" s="6"/>
      <c r="N1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" s="28"/>
      <c r="P10" s="26" t="str">
        <f>tbGroup[[#This Row],[Camp]]&amp;"-"&amp;tbGroup[[#This Row],[Difficulty]]&amp;"-"&amp;GET_GROUP_NAME(tbGroup[[#This Row],[IsBoss]],tbGroup[[#This Row],[Hero1]:[Soldier3]])&amp;tbGroup[[#This Row],[Suffix]]</f>
        <v>黄巾-简单-炼兵</v>
      </c>
      <c r="Q10" s="15" t="s">
        <v>903</v>
      </c>
      <c r="R10" s="15">
        <v>1</v>
      </c>
      <c r="S10" s="15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</row>
    <row r="11" spans="2:43">
      <c r="B11" s="6" t="s">
        <v>597</v>
      </c>
      <c r="C11" s="6" t="s">
        <v>29</v>
      </c>
      <c r="D11" s="6"/>
      <c r="E11" s="7"/>
      <c r="F11" s="6"/>
      <c r="G11" s="6">
        <v>1</v>
      </c>
      <c r="H11" s="6"/>
      <c r="I11" s="6"/>
      <c r="J11" s="6"/>
      <c r="K11" s="6" t="s">
        <v>163</v>
      </c>
      <c r="L11" s="6"/>
      <c r="M11" s="6"/>
      <c r="N1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" s="28"/>
      <c r="P11" s="26" t="str">
        <f>tbGroup[[#This Row],[Camp]]&amp;"-"&amp;tbGroup[[#This Row],[Difficulty]]&amp;"-"&amp;GET_GROUP_NAME(tbGroup[[#This Row],[IsBoss]],tbGroup[[#This Row],[Hero1]:[Soldier3]])&amp;tbGroup[[#This Row],[Suffix]]</f>
        <v>黄巾-简单-刺兵</v>
      </c>
      <c r="Q11" s="15" t="s">
        <v>903</v>
      </c>
      <c r="R11" s="15">
        <v>1</v>
      </c>
      <c r="S11" s="15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</row>
    <row r="12" spans="2:43">
      <c r="B12" s="6" t="s">
        <v>597</v>
      </c>
      <c r="C12" s="6" t="s">
        <v>33</v>
      </c>
      <c r="D12" s="6"/>
      <c r="E12" s="7"/>
      <c r="F12" s="6"/>
      <c r="G12" s="6">
        <v>1</v>
      </c>
      <c r="H12" s="6"/>
      <c r="I12" s="6"/>
      <c r="J12" s="6"/>
      <c r="K12" s="6" t="s">
        <v>162</v>
      </c>
      <c r="L12" s="6"/>
      <c r="M12" s="6"/>
      <c r="N1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" s="28"/>
      <c r="P12" s="26" t="str">
        <f>tbGroup[[#This Row],[Camp]]&amp;"-"&amp;tbGroup[[#This Row],[Difficulty]]&amp;"-"&amp;GET_GROUP_NAME(tbGroup[[#This Row],[IsBoss]],tbGroup[[#This Row],[Hero1]:[Soldier3]])&amp;tbGroup[[#This Row],[Suffix]]</f>
        <v>黄巾-普通-法兵</v>
      </c>
      <c r="Q12" s="15" t="s">
        <v>1266</v>
      </c>
      <c r="R12" s="15">
        <v>1</v>
      </c>
      <c r="S12" s="15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</row>
    <row r="13" spans="2:43">
      <c r="B13" s="6" t="s">
        <v>597</v>
      </c>
      <c r="C13" s="6" t="s">
        <v>33</v>
      </c>
      <c r="D13" s="6"/>
      <c r="E13" s="7"/>
      <c r="F13" s="6"/>
      <c r="G13" s="6">
        <v>1</v>
      </c>
      <c r="H13" s="6"/>
      <c r="I13" s="6"/>
      <c r="J13" s="6"/>
      <c r="K13" s="6" t="s">
        <v>49</v>
      </c>
      <c r="L13" s="6"/>
      <c r="M13" s="6"/>
      <c r="N1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" s="28"/>
      <c r="P13" s="26" t="str">
        <f>tbGroup[[#This Row],[Camp]]&amp;"-"&amp;tbGroup[[#This Row],[Difficulty]]&amp;"-"&amp;GET_GROUP_NAME(tbGroup[[#This Row],[IsBoss]],tbGroup[[#This Row],[Hero1]:[Soldier3]])&amp;tbGroup[[#This Row],[Suffix]]</f>
        <v>黄巾-普通-教徒</v>
      </c>
      <c r="Q13" s="15" t="s">
        <v>903</v>
      </c>
      <c r="R13" s="15">
        <v>1</v>
      </c>
      <c r="S13" s="15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</row>
    <row r="14" spans="2:43">
      <c r="B14" s="6" t="s">
        <v>597</v>
      </c>
      <c r="C14" s="6" t="s">
        <v>33</v>
      </c>
      <c r="D14" s="6"/>
      <c r="E14" s="7"/>
      <c r="F14" s="6"/>
      <c r="G14" s="6">
        <v>1</v>
      </c>
      <c r="H14" s="6"/>
      <c r="I14" s="6"/>
      <c r="J14" s="6"/>
      <c r="K14" s="6" t="s">
        <v>49</v>
      </c>
      <c r="L14" s="6"/>
      <c r="M14" s="6"/>
      <c r="N1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" s="28">
        <v>1</v>
      </c>
      <c r="P14" s="26" t="str">
        <f>tbGroup[[#This Row],[Camp]]&amp;"-"&amp;tbGroup[[#This Row],[Difficulty]]&amp;"-"&amp;GET_GROUP_NAME(tbGroup[[#This Row],[IsBoss]],tbGroup[[#This Row],[Hero1]:[Soldier3]])&amp;tbGroup[[#This Row],[Suffix]]</f>
        <v>黄巾-普通-教徒1</v>
      </c>
      <c r="Q14" s="34" t="s">
        <v>1297</v>
      </c>
      <c r="R14" s="15">
        <v>1</v>
      </c>
      <c r="S14" s="15" t="b">
        <v>1</v>
      </c>
      <c r="T14" s="24" t="s">
        <v>30</v>
      </c>
      <c r="U14" s="24" t="s">
        <v>30</v>
      </c>
      <c r="V14" s="24" t="s">
        <v>30</v>
      </c>
      <c r="W14" s="24" t="s">
        <v>30</v>
      </c>
      <c r="X14" s="24" t="s">
        <v>30</v>
      </c>
      <c r="Y14" s="24" t="s">
        <v>30</v>
      </c>
      <c r="Z14" s="24" t="s">
        <v>30</v>
      </c>
      <c r="AA14" s="24" t="s">
        <v>30</v>
      </c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</row>
    <row r="15" spans="2:43">
      <c r="B15" s="6" t="s">
        <v>597</v>
      </c>
      <c r="C15" s="6" t="s">
        <v>33</v>
      </c>
      <c r="D15" s="6"/>
      <c r="E15" s="7"/>
      <c r="F15" s="6"/>
      <c r="G15" s="6">
        <v>1</v>
      </c>
      <c r="H15" s="6"/>
      <c r="I15" s="6"/>
      <c r="J15" s="6"/>
      <c r="K15" s="6" t="s">
        <v>160</v>
      </c>
      <c r="L15" s="6"/>
      <c r="M15" s="6"/>
      <c r="N1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" s="28"/>
      <c r="P15" s="26" t="str">
        <f>tbGroup[[#This Row],[Camp]]&amp;"-"&amp;tbGroup[[#This Row],[Difficulty]]&amp;"-"&amp;GET_GROUP_NAME(tbGroup[[#This Row],[IsBoss]],tbGroup[[#This Row],[Hero1]:[Soldier3]])&amp;tbGroup[[#This Row],[Suffix]]</f>
        <v>黄巾-普通-强兵</v>
      </c>
      <c r="Q15" s="15" t="s">
        <v>903</v>
      </c>
      <c r="R15" s="15">
        <v>1</v>
      </c>
      <c r="S15" s="15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</row>
    <row r="16" spans="2:43">
      <c r="B16" s="6" t="s">
        <v>597</v>
      </c>
      <c r="C16" s="6" t="s">
        <v>33</v>
      </c>
      <c r="D16" s="6"/>
      <c r="E16" s="7"/>
      <c r="F16" s="6"/>
      <c r="G16" s="6">
        <v>1</v>
      </c>
      <c r="H16" s="6"/>
      <c r="I16" s="6"/>
      <c r="J16" s="6"/>
      <c r="K16" s="30" t="s">
        <v>1264</v>
      </c>
      <c r="L16" s="6"/>
      <c r="M16" s="6"/>
      <c r="N1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" s="28"/>
      <c r="P16" s="26" t="str">
        <f>tbGroup[[#This Row],[Camp]]&amp;"-"&amp;tbGroup[[#This Row],[Difficulty]]&amp;"-"&amp;GET_GROUP_NAME(tbGroup[[#This Row],[IsBoss]],tbGroup[[#This Row],[Hero1]:[Soldier3]])&amp;tbGroup[[#This Row],[Suffix]]</f>
        <v>黄巾-普通-炼兵</v>
      </c>
      <c r="Q16" s="15" t="s">
        <v>1266</v>
      </c>
      <c r="R16" s="15">
        <v>1</v>
      </c>
      <c r="S16" s="15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</row>
    <row r="17" spans="2:43">
      <c r="B17" s="6" t="s">
        <v>597</v>
      </c>
      <c r="C17" s="6" t="s">
        <v>33</v>
      </c>
      <c r="D17" s="6"/>
      <c r="E17" s="7"/>
      <c r="F17" s="6"/>
      <c r="G17" s="6">
        <v>1</v>
      </c>
      <c r="H17" s="6"/>
      <c r="I17" s="6"/>
      <c r="J17" s="6"/>
      <c r="K17" s="30" t="s">
        <v>1265</v>
      </c>
      <c r="L17" s="6"/>
      <c r="M17" s="6"/>
      <c r="N1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" s="28"/>
      <c r="P17" s="26" t="str">
        <f>tbGroup[[#This Row],[Camp]]&amp;"-"&amp;tbGroup[[#This Row],[Difficulty]]&amp;"-"&amp;GET_GROUP_NAME(tbGroup[[#This Row],[IsBoss]],tbGroup[[#This Row],[Hero1]:[Soldier3]])&amp;tbGroup[[#This Row],[Suffix]]</f>
        <v>黄巾-普通-刺兵</v>
      </c>
      <c r="Q17" s="15" t="s">
        <v>1266</v>
      </c>
      <c r="R17" s="15">
        <v>1</v>
      </c>
      <c r="S17" s="15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</row>
    <row r="18" spans="2:43">
      <c r="B18" s="6" t="s">
        <v>597</v>
      </c>
      <c r="C18" s="6" t="s">
        <v>33</v>
      </c>
      <c r="D18" s="6"/>
      <c r="E18" s="7"/>
      <c r="F18" s="6">
        <v>1</v>
      </c>
      <c r="G18" s="6"/>
      <c r="H18" s="6" t="s">
        <v>156</v>
      </c>
      <c r="I18" s="6"/>
      <c r="J18" s="6"/>
      <c r="K18" s="6"/>
      <c r="L18" s="6"/>
      <c r="M18" s="6"/>
      <c r="N1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" s="28"/>
      <c r="P18" s="26" t="str">
        <f>tbGroup[[#This Row],[Camp]]&amp;"-"&amp;tbGroup[[#This Row],[Difficulty]]&amp;"-"&amp;GET_GROUP_NAME(tbGroup[[#This Row],[IsBoss]],tbGroup[[#This Row],[Hero1]:[Soldier3]])&amp;tbGroup[[#This Row],[Suffix]]</f>
        <v>黄巾-普通-法英</v>
      </c>
      <c r="Q18" s="15" t="s">
        <v>40</v>
      </c>
      <c r="R18" s="15">
        <v>1</v>
      </c>
      <c r="S18" s="15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</row>
    <row r="19" spans="2:43">
      <c r="B19" s="6" t="s">
        <v>597</v>
      </c>
      <c r="C19" s="6" t="s">
        <v>33</v>
      </c>
      <c r="D19" s="6"/>
      <c r="E19" s="7"/>
      <c r="F19" s="6">
        <v>1</v>
      </c>
      <c r="G19" s="6"/>
      <c r="H19" s="23" t="s">
        <v>1197</v>
      </c>
      <c r="I19" s="6"/>
      <c r="J19" s="6"/>
      <c r="K19" s="6"/>
      <c r="L19" s="6"/>
      <c r="M19" s="6"/>
      <c r="N1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" s="28"/>
      <c r="P19" s="26" t="str">
        <f>tbGroup[[#This Row],[Camp]]&amp;"-"&amp;tbGroup[[#This Row],[Difficulty]]&amp;"-"&amp;GET_GROUP_NAME(tbGroup[[#This Row],[IsBoss]],tbGroup[[#This Row],[Hero1]:[Soldier3]])&amp;tbGroup[[#This Row],[Suffix]]</f>
        <v>黄巾-普通-盾英</v>
      </c>
      <c r="Q19" s="23" t="s">
        <v>1198</v>
      </c>
      <c r="R19" s="15">
        <v>1</v>
      </c>
      <c r="S19" s="15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4"/>
    </row>
    <row r="20" spans="2:43">
      <c r="B20" s="6" t="s">
        <v>597</v>
      </c>
      <c r="C20" s="6" t="s">
        <v>33</v>
      </c>
      <c r="D20" s="6"/>
      <c r="E20" s="7"/>
      <c r="F20" s="6"/>
      <c r="G20" s="6">
        <v>2</v>
      </c>
      <c r="H20" s="6"/>
      <c r="I20" s="6"/>
      <c r="J20" s="6"/>
      <c r="K20" s="6" t="s">
        <v>158</v>
      </c>
      <c r="L20" s="6" t="s">
        <v>162</v>
      </c>
      <c r="M20" s="6"/>
      <c r="N2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" s="28"/>
      <c r="P20" s="26" t="str">
        <f>tbGroup[[#This Row],[Camp]]&amp;"-"&amp;tbGroup[[#This Row],[Difficulty]]&amp;"-"&amp;GET_GROUP_NAME(tbGroup[[#This Row],[IsBoss]],tbGroup[[#This Row],[Hero1]:[Soldier3]])&amp;tbGroup[[#This Row],[Suffix]]</f>
        <v>黄巾-普通-铁兵+法兵</v>
      </c>
      <c r="Q20" s="15" t="s">
        <v>40</v>
      </c>
      <c r="R20" s="15">
        <v>1</v>
      </c>
      <c r="S20" s="15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</row>
    <row r="21" spans="2:43">
      <c r="B21" s="6" t="s">
        <v>597</v>
      </c>
      <c r="C21" s="6" t="s">
        <v>33</v>
      </c>
      <c r="D21" s="6"/>
      <c r="E21" s="7"/>
      <c r="F21" s="6"/>
      <c r="G21" s="6">
        <v>2</v>
      </c>
      <c r="H21" s="6"/>
      <c r="I21" s="6"/>
      <c r="J21" s="6"/>
      <c r="K21" s="6" t="s">
        <v>158</v>
      </c>
      <c r="L21" s="6" t="s">
        <v>160</v>
      </c>
      <c r="M21" s="6"/>
      <c r="N2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" s="28"/>
      <c r="P21" s="26" t="str">
        <f>tbGroup[[#This Row],[Camp]]&amp;"-"&amp;tbGroup[[#This Row],[Difficulty]]&amp;"-"&amp;GET_GROUP_NAME(tbGroup[[#This Row],[IsBoss]],tbGroup[[#This Row],[Hero1]:[Soldier3]])&amp;tbGroup[[#This Row],[Suffix]]</f>
        <v>黄巾-普通-铁兵+强兵</v>
      </c>
      <c r="Q21" s="15" t="s">
        <v>40</v>
      </c>
      <c r="R21" s="15">
        <v>1</v>
      </c>
      <c r="S21" s="15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</row>
    <row r="22" spans="2:43">
      <c r="B22" s="6" t="s">
        <v>597</v>
      </c>
      <c r="C22" s="6" t="s">
        <v>33</v>
      </c>
      <c r="D22" s="6"/>
      <c r="E22" s="7"/>
      <c r="F22" s="6">
        <v>1</v>
      </c>
      <c r="G22" s="6"/>
      <c r="H22" s="6" t="s">
        <v>152</v>
      </c>
      <c r="I22" s="6"/>
      <c r="J22" s="6"/>
      <c r="K22" s="6"/>
      <c r="L22" s="6"/>
      <c r="M22" s="6"/>
      <c r="N2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" s="28"/>
      <c r="P22" s="26" t="str">
        <f>tbGroup[[#This Row],[Camp]]&amp;"-"&amp;tbGroup[[#This Row],[Difficulty]]&amp;"-"&amp;GET_GROUP_NAME(tbGroup[[#This Row],[IsBoss]],tbGroup[[#This Row],[Hero1]:[Soldier3]])&amp;tbGroup[[#This Row],[Suffix]]</f>
        <v>黄巾-普通-铁英</v>
      </c>
      <c r="Q22" s="15" t="s">
        <v>40</v>
      </c>
      <c r="R22" s="15">
        <v>1</v>
      </c>
      <c r="S22" s="15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4"/>
    </row>
    <row r="23" spans="2:43">
      <c r="B23" s="6" t="s">
        <v>597</v>
      </c>
      <c r="C23" s="6" t="s">
        <v>35</v>
      </c>
      <c r="D23" s="6"/>
      <c r="E23" s="7"/>
      <c r="F23" s="6"/>
      <c r="G23" s="6">
        <v>1</v>
      </c>
      <c r="H23" s="6"/>
      <c r="I23" s="6"/>
      <c r="J23" s="6"/>
      <c r="K23" s="6" t="s">
        <v>49</v>
      </c>
      <c r="L23" s="6"/>
      <c r="M23" s="6"/>
      <c r="N2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" s="28"/>
      <c r="P23" s="26" t="str">
        <f>tbGroup[[#This Row],[Camp]]&amp;"-"&amp;tbGroup[[#This Row],[Difficulty]]&amp;"-"&amp;GET_GROUP_NAME(tbGroup[[#This Row],[IsBoss]],tbGroup[[#This Row],[Hero1]:[Soldier3]])&amp;tbGroup[[#This Row],[Suffix]]</f>
        <v>黄巾-困难-教徒</v>
      </c>
      <c r="Q23" s="15" t="s">
        <v>38</v>
      </c>
      <c r="R23" s="15">
        <v>1</v>
      </c>
      <c r="S23" s="15" t="b">
        <v>1</v>
      </c>
      <c r="T23" s="24" t="s">
        <v>30</v>
      </c>
      <c r="U23" s="24" t="s">
        <v>30</v>
      </c>
      <c r="V23" s="24" t="s">
        <v>30</v>
      </c>
      <c r="W23" s="24" t="s">
        <v>30</v>
      </c>
      <c r="X23" s="24" t="s">
        <v>30</v>
      </c>
      <c r="Y23" s="24" t="s">
        <v>30</v>
      </c>
      <c r="Z23" s="24" t="s">
        <v>30</v>
      </c>
      <c r="AA23" s="24" t="s">
        <v>30</v>
      </c>
      <c r="AB23" s="24" t="s">
        <v>30</v>
      </c>
      <c r="AC23" s="24" t="s">
        <v>30</v>
      </c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</row>
    <row r="24" spans="2:43">
      <c r="B24" s="6" t="s">
        <v>597</v>
      </c>
      <c r="C24" s="6" t="s">
        <v>35</v>
      </c>
      <c r="D24" s="6"/>
      <c r="E24" s="7"/>
      <c r="F24" s="6">
        <v>1</v>
      </c>
      <c r="G24" s="6"/>
      <c r="H24" s="6" t="s">
        <v>153</v>
      </c>
      <c r="I24" s="6"/>
      <c r="J24" s="6"/>
      <c r="K24" s="6"/>
      <c r="L24" s="6"/>
      <c r="M24" s="6"/>
      <c r="N2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" s="28"/>
      <c r="P24" s="26" t="str">
        <f>tbGroup[[#This Row],[Camp]]&amp;"-"&amp;tbGroup[[#This Row],[Difficulty]]&amp;"-"&amp;GET_GROUP_NAME(tbGroup[[#This Row],[IsBoss]],tbGroup[[#This Row],[Hero1]:[Soldier3]])&amp;tbGroup[[#This Row],[Suffix]]</f>
        <v>黄巾-困难-盾英</v>
      </c>
      <c r="Q24" s="15" t="s">
        <v>40</v>
      </c>
      <c r="R24" s="15">
        <v>1</v>
      </c>
      <c r="S24" s="15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</row>
    <row r="25" spans="2:43">
      <c r="B25" s="6" t="s">
        <v>597</v>
      </c>
      <c r="C25" s="6" t="s">
        <v>35</v>
      </c>
      <c r="D25" s="6"/>
      <c r="E25" s="7"/>
      <c r="F25" s="6">
        <v>1</v>
      </c>
      <c r="G25" s="6"/>
      <c r="H25" s="6" t="s">
        <v>156</v>
      </c>
      <c r="I25" s="6"/>
      <c r="J25" s="6"/>
      <c r="K25" s="6"/>
      <c r="L25" s="6"/>
      <c r="M25" s="6"/>
      <c r="N2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" s="28"/>
      <c r="P25" s="26" t="str">
        <f>tbGroup[[#This Row],[Camp]]&amp;"-"&amp;tbGroup[[#This Row],[Difficulty]]&amp;"-"&amp;GET_GROUP_NAME(tbGroup[[#This Row],[IsBoss]],tbGroup[[#This Row],[Hero1]:[Soldier3]])&amp;tbGroup[[#This Row],[Suffix]]</f>
        <v>黄巾-困难-法英</v>
      </c>
      <c r="Q25" s="15" t="s">
        <v>40</v>
      </c>
      <c r="R25" s="15">
        <v>1</v>
      </c>
      <c r="S25" s="15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</row>
    <row r="26" spans="2:43">
      <c r="B26" s="6" t="s">
        <v>597</v>
      </c>
      <c r="C26" s="6" t="s">
        <v>35</v>
      </c>
      <c r="D26" s="6"/>
      <c r="E26" s="7"/>
      <c r="F26" s="6">
        <v>1</v>
      </c>
      <c r="G26" s="6"/>
      <c r="H26" s="6" t="s">
        <v>156</v>
      </c>
      <c r="I26" s="6"/>
      <c r="J26" s="6"/>
      <c r="K26" s="6"/>
      <c r="L26" s="6"/>
      <c r="M26" s="6"/>
      <c r="N2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" s="28">
        <v>1</v>
      </c>
      <c r="P26" s="26" t="str">
        <f>tbGroup[[#This Row],[Camp]]&amp;"-"&amp;tbGroup[[#This Row],[Difficulty]]&amp;"-"&amp;GET_GROUP_NAME(tbGroup[[#This Row],[IsBoss]],tbGroup[[#This Row],[Hero1]:[Soldier3]])&amp;tbGroup[[#This Row],[Suffix]]</f>
        <v>黄巾-困难-法英1</v>
      </c>
      <c r="Q26" s="15" t="s">
        <v>40</v>
      </c>
      <c r="R26" s="15">
        <v>1</v>
      </c>
      <c r="S26" s="15" t="b">
        <v>1</v>
      </c>
      <c r="T26" s="24" t="s">
        <v>379</v>
      </c>
      <c r="U26" s="24" t="s">
        <v>32</v>
      </c>
      <c r="V26" s="24" t="s">
        <v>32</v>
      </c>
      <c r="W26" s="24" t="s">
        <v>32</v>
      </c>
      <c r="X26" s="24" t="s">
        <v>32</v>
      </c>
      <c r="Y26" s="24" t="s">
        <v>32</v>
      </c>
      <c r="Z26" s="24" t="s">
        <v>32</v>
      </c>
      <c r="AA26" s="24" t="s">
        <v>32</v>
      </c>
      <c r="AB26" s="24" t="s">
        <v>32</v>
      </c>
      <c r="AC26" s="24"/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</row>
    <row r="27" spans="2:43">
      <c r="B27" s="6" t="s">
        <v>597</v>
      </c>
      <c r="C27" s="6" t="s">
        <v>35</v>
      </c>
      <c r="D27" s="6"/>
      <c r="E27" s="7"/>
      <c r="F27" s="6">
        <v>1</v>
      </c>
      <c r="G27" s="6">
        <v>1</v>
      </c>
      <c r="H27" s="6" t="s">
        <v>156</v>
      </c>
      <c r="I27" s="6"/>
      <c r="J27" s="6"/>
      <c r="K27" s="6" t="s">
        <v>49</v>
      </c>
      <c r="L27" s="6"/>
      <c r="M27" s="6"/>
      <c r="N2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" s="28"/>
      <c r="P27" s="26" t="str">
        <f>tbGroup[[#This Row],[Camp]]&amp;"-"&amp;tbGroup[[#This Row],[Difficulty]]&amp;"-"&amp;GET_GROUP_NAME(tbGroup[[#This Row],[IsBoss]],tbGroup[[#This Row],[Hero1]:[Soldier3]])&amp;tbGroup[[#This Row],[Suffix]]</f>
        <v>黄巾-困难-法英+教徒</v>
      </c>
      <c r="Q27" s="15" t="s">
        <v>40</v>
      </c>
      <c r="R27" s="15">
        <v>1</v>
      </c>
      <c r="S27" s="15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</row>
    <row r="28" spans="2:43">
      <c r="B28" s="6" t="s">
        <v>597</v>
      </c>
      <c r="C28" s="6" t="s">
        <v>35</v>
      </c>
      <c r="D28" s="6"/>
      <c r="E28" s="7" t="b">
        <v>1</v>
      </c>
      <c r="F28" s="6">
        <v>1</v>
      </c>
      <c r="G28" s="6">
        <v>1</v>
      </c>
      <c r="H28" s="6" t="s">
        <v>156</v>
      </c>
      <c r="I28" s="6"/>
      <c r="J28" s="6"/>
      <c r="K28" s="6" t="s">
        <v>160</v>
      </c>
      <c r="L28" s="6"/>
      <c r="M28" s="6"/>
      <c r="N2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" s="28"/>
      <c r="P28" s="26" t="str">
        <f>tbGroup[[#This Row],[Camp]]&amp;"-"&amp;tbGroup[[#This Row],[Difficulty]]&amp;"-"&amp;GET_GROUP_NAME(tbGroup[[#This Row],[IsBoss]],tbGroup[[#This Row],[Hero1]:[Soldier3]])&amp;tbGroup[[#This Row],[Suffix]]</f>
        <v>黄巾-困难-[B]法英+强兵</v>
      </c>
      <c r="Q28" s="15" t="s">
        <v>40</v>
      </c>
      <c r="R28" s="15">
        <v>1</v>
      </c>
      <c r="S28" s="15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</row>
    <row r="29" spans="2:43">
      <c r="B29" s="6" t="s">
        <v>597</v>
      </c>
      <c r="C29" s="6" t="s">
        <v>35</v>
      </c>
      <c r="D29" s="6"/>
      <c r="E29" s="7" t="b">
        <v>1</v>
      </c>
      <c r="F29" s="6">
        <v>1</v>
      </c>
      <c r="G29" s="6"/>
      <c r="H29" s="6" t="s">
        <v>156</v>
      </c>
      <c r="I29" s="6"/>
      <c r="J29" s="6"/>
      <c r="K29" s="6"/>
      <c r="L29" s="6"/>
      <c r="M29" s="6"/>
      <c r="N2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" s="28"/>
      <c r="P29" s="26" t="str">
        <f>tbGroup[[#This Row],[Camp]]&amp;"-"&amp;tbGroup[[#This Row],[Difficulty]]&amp;"-"&amp;GET_GROUP_NAME(tbGroup[[#This Row],[IsBoss]],tbGroup[[#This Row],[Hero1]:[Soldier3]])&amp;tbGroup[[#This Row],[Suffix]]</f>
        <v>黄巾-困难-[B]法英</v>
      </c>
      <c r="Q29" s="15" t="s">
        <v>40</v>
      </c>
      <c r="R29" s="15">
        <v>1</v>
      </c>
      <c r="S29" s="15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</row>
    <row r="30" spans="2:43">
      <c r="B30" s="6" t="s">
        <v>597</v>
      </c>
      <c r="C30" s="6" t="s">
        <v>35</v>
      </c>
      <c r="D30" s="6"/>
      <c r="E30" s="7" t="b">
        <v>1</v>
      </c>
      <c r="F30" s="6">
        <v>2</v>
      </c>
      <c r="G30" s="6"/>
      <c r="H30" s="6" t="s">
        <v>152</v>
      </c>
      <c r="I30" s="6" t="s">
        <v>156</v>
      </c>
      <c r="J30" s="6"/>
      <c r="K30" s="6"/>
      <c r="L30" s="6"/>
      <c r="M30" s="6"/>
      <c r="N3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" s="28"/>
      <c r="P30" s="26" t="str">
        <f>tbGroup[[#This Row],[Camp]]&amp;"-"&amp;tbGroup[[#This Row],[Difficulty]]&amp;"-"&amp;GET_GROUP_NAME(tbGroup[[#This Row],[IsBoss]],tbGroup[[#This Row],[Hero1]:[Soldier3]])&amp;tbGroup[[#This Row],[Suffix]]</f>
        <v>黄巾-困难-[B]铁英+法英</v>
      </c>
      <c r="Q30" s="15" t="s">
        <v>40</v>
      </c>
      <c r="R30" s="15">
        <v>1</v>
      </c>
      <c r="S30" s="15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</row>
    <row r="31" spans="2:43">
      <c r="B31" s="6" t="s">
        <v>597</v>
      </c>
      <c r="C31" s="6" t="s">
        <v>35</v>
      </c>
      <c r="D31" s="6"/>
      <c r="E31" s="7" t="b">
        <v>1</v>
      </c>
      <c r="F31" s="6">
        <v>1</v>
      </c>
      <c r="G31" s="6"/>
      <c r="H31" s="6" t="s">
        <v>152</v>
      </c>
      <c r="I31" s="6"/>
      <c r="J31" s="6"/>
      <c r="K31" s="6"/>
      <c r="L31" s="6"/>
      <c r="M31" s="6"/>
      <c r="N3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" s="28"/>
      <c r="P31" s="26" t="str">
        <f>tbGroup[[#This Row],[Camp]]&amp;"-"&amp;tbGroup[[#This Row],[Difficulty]]&amp;"-"&amp;GET_GROUP_NAME(tbGroup[[#This Row],[IsBoss]],tbGroup[[#This Row],[Hero1]:[Soldier3]])&amp;tbGroup[[#This Row],[Suffix]]</f>
        <v>黄巾-困难-[B]铁英</v>
      </c>
      <c r="Q31" s="15" t="s">
        <v>40</v>
      </c>
      <c r="R31" s="15">
        <v>1</v>
      </c>
      <c r="S31" s="15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</row>
    <row r="32" spans="2:43">
      <c r="B32" s="6" t="s">
        <v>597</v>
      </c>
      <c r="C32" s="6" t="s">
        <v>35</v>
      </c>
      <c r="D32" s="6"/>
      <c r="E32" s="7" t="b">
        <v>1</v>
      </c>
      <c r="F32" s="6">
        <v>1</v>
      </c>
      <c r="G32" s="6"/>
      <c r="H32" s="23" t="s">
        <v>1197</v>
      </c>
      <c r="I32" s="6"/>
      <c r="J32" s="6"/>
      <c r="K32" s="6"/>
      <c r="L32" s="6"/>
      <c r="M32" s="6"/>
      <c r="N3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" s="28"/>
      <c r="P32" s="26" t="str">
        <f>tbGroup[[#This Row],[Camp]]&amp;"-"&amp;tbGroup[[#This Row],[Difficulty]]&amp;"-"&amp;GET_GROUP_NAME(tbGroup[[#This Row],[IsBoss]],tbGroup[[#This Row],[Hero1]:[Soldier3]])&amp;tbGroup[[#This Row],[Suffix]]</f>
        <v>黄巾-困难-[B]盾英</v>
      </c>
      <c r="Q32" s="15" t="s">
        <v>40</v>
      </c>
      <c r="R32" s="15">
        <v>1</v>
      </c>
      <c r="S32" s="15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</row>
    <row r="33" spans="2:43">
      <c r="B33" s="6" t="s">
        <v>597</v>
      </c>
      <c r="C33" s="6" t="s">
        <v>35</v>
      </c>
      <c r="D33" s="6"/>
      <c r="E33" s="7" t="b">
        <v>1</v>
      </c>
      <c r="F33" s="6">
        <v>1</v>
      </c>
      <c r="G33" s="6"/>
      <c r="H33" s="23" t="s">
        <v>1199</v>
      </c>
      <c r="I33" s="6"/>
      <c r="J33" s="6"/>
      <c r="K33" s="6"/>
      <c r="L33" s="6"/>
      <c r="M33" s="6"/>
      <c r="N3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" s="28"/>
      <c r="P33" s="26" t="str">
        <f>tbGroup[[#This Row],[Camp]]&amp;"-"&amp;tbGroup[[#This Row],[Difficulty]]&amp;"-"&amp;GET_GROUP_NAME(tbGroup[[#This Row],[IsBoss]],tbGroup[[#This Row],[Hero1]:[Soldier3]])&amp;tbGroup[[#This Row],[Suffix]]</f>
        <v>黄巾-困难-[B]强英</v>
      </c>
      <c r="Q33" s="15" t="s">
        <v>40</v>
      </c>
      <c r="R33" s="15">
        <v>1</v>
      </c>
      <c r="S33" s="15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</row>
    <row r="34" spans="2:43">
      <c r="B34" s="6" t="s">
        <v>597</v>
      </c>
      <c r="C34" s="6" t="s">
        <v>35</v>
      </c>
      <c r="D34" s="6"/>
      <c r="E34" s="7"/>
      <c r="F34" s="6"/>
      <c r="G34" s="6">
        <v>2</v>
      </c>
      <c r="H34" s="6"/>
      <c r="I34" s="6"/>
      <c r="J34" s="6"/>
      <c r="K34" s="6" t="s">
        <v>158</v>
      </c>
      <c r="L34" s="6" t="s">
        <v>162</v>
      </c>
      <c r="M34" s="6"/>
      <c r="N3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" s="28"/>
      <c r="P34" s="26" t="str">
        <f>tbGroup[[#This Row],[Camp]]&amp;"-"&amp;tbGroup[[#This Row],[Difficulty]]&amp;"-"&amp;GET_GROUP_NAME(tbGroup[[#This Row],[IsBoss]],tbGroup[[#This Row],[Hero1]:[Soldier3]])&amp;tbGroup[[#This Row],[Suffix]]</f>
        <v>黄巾-困难-铁兵+法兵</v>
      </c>
      <c r="Q34" s="15" t="s">
        <v>40</v>
      </c>
      <c r="R34" s="15">
        <v>1</v>
      </c>
      <c r="S34" s="15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</row>
    <row r="35" spans="2:43">
      <c r="B35" s="6" t="s">
        <v>597</v>
      </c>
      <c r="C35" s="6" t="s">
        <v>35</v>
      </c>
      <c r="D35" s="6"/>
      <c r="E35" s="7"/>
      <c r="F35" s="6">
        <v>1</v>
      </c>
      <c r="G35" s="6"/>
      <c r="H35" s="6" t="s">
        <v>152</v>
      </c>
      <c r="I35" s="6"/>
      <c r="J35" s="6"/>
      <c r="K35" s="6"/>
      <c r="L35" s="6"/>
      <c r="M35" s="6"/>
      <c r="N3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" s="28"/>
      <c r="P35" s="26" t="str">
        <f>tbGroup[[#This Row],[Camp]]&amp;"-"&amp;tbGroup[[#This Row],[Difficulty]]&amp;"-"&amp;GET_GROUP_NAME(tbGroup[[#This Row],[IsBoss]],tbGroup[[#This Row],[Hero1]:[Soldier3]])&amp;tbGroup[[#This Row],[Suffix]]</f>
        <v>黄巾-困难-铁英</v>
      </c>
      <c r="Q35" s="15" t="s">
        <v>40</v>
      </c>
      <c r="R35" s="15">
        <v>1</v>
      </c>
      <c r="S35" s="15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</row>
    <row r="36" spans="2:43">
      <c r="B36" s="6" t="s">
        <v>597</v>
      </c>
      <c r="C36" s="6" t="s">
        <v>36</v>
      </c>
      <c r="D36" s="6"/>
      <c r="E36" s="7" t="b">
        <v>1</v>
      </c>
      <c r="F36" s="6">
        <v>3</v>
      </c>
      <c r="G36" s="6"/>
      <c r="H36" s="40" t="s">
        <v>1371</v>
      </c>
      <c r="I36" s="40" t="s">
        <v>1372</v>
      </c>
      <c r="J36" s="40" t="s">
        <v>1372</v>
      </c>
      <c r="K36" s="6"/>
      <c r="L36" s="6"/>
      <c r="M36" s="6"/>
      <c r="N3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" s="28"/>
      <c r="P36" s="26" t="str">
        <f>tbGroup[[#This Row],[Camp]]&amp;"-"&amp;tbGroup[[#This Row],[Difficulty]]&amp;"-"&amp;GET_GROUP_NAME(tbGroup[[#This Row],[IsBoss]],tbGroup[[#This Row],[Hero1]:[Soldier3]])&amp;tbGroup[[#This Row],[Suffix]]</f>
        <v>黄巾-超难-[B]盾英+法英+法英</v>
      </c>
      <c r="Q36" s="15" t="s">
        <v>40</v>
      </c>
      <c r="R36" s="15">
        <v>1</v>
      </c>
      <c r="S36" s="15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</row>
    <row r="37" spans="2:43">
      <c r="B37" s="1" t="s">
        <v>151</v>
      </c>
      <c r="C37" s="1" t="s">
        <v>29</v>
      </c>
      <c r="D37" s="1" t="s">
        <v>165</v>
      </c>
      <c r="G37" s="1">
        <v>1</v>
      </c>
      <c r="K37" s="1" t="s">
        <v>158</v>
      </c>
      <c r="N3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" s="28"/>
      <c r="P37" s="26" t="str">
        <f>tbGroup[[#This Row],[Camp]]&amp;"-"&amp;tbGroup[[#This Row],[Difficulty]]&amp;"-"&amp;GET_GROUP_NAME(tbGroup[[#This Row],[IsBoss]],tbGroup[[#This Row],[Hero1]:[Soldier3]])&amp;tbGroup[[#This Row],[Suffix]]</f>
        <v>三国-简单-铁兵</v>
      </c>
      <c r="Q37" s="15" t="s">
        <v>40</v>
      </c>
      <c r="R37" s="15">
        <v>2</v>
      </c>
      <c r="S37" s="15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</row>
    <row r="38" spans="2:43">
      <c r="B38" s="1" t="s">
        <v>151</v>
      </c>
      <c r="C38" s="1" t="s">
        <v>29</v>
      </c>
      <c r="D38" s="1" t="s">
        <v>165</v>
      </c>
      <c r="G38" s="1">
        <v>1</v>
      </c>
      <c r="K38" s="1" t="s">
        <v>159</v>
      </c>
      <c r="N3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" s="28"/>
      <c r="P38" s="26" t="str">
        <f>tbGroup[[#This Row],[Camp]]&amp;"-"&amp;tbGroup[[#This Row],[Difficulty]]&amp;"-"&amp;GET_GROUP_NAME(tbGroup[[#This Row],[IsBoss]],tbGroup[[#This Row],[Hero1]:[Soldier3]])&amp;tbGroup[[#This Row],[Suffix]]</f>
        <v>三国-简单-盾兵</v>
      </c>
      <c r="Q38" s="15" t="s">
        <v>40</v>
      </c>
      <c r="R38" s="15">
        <v>2</v>
      </c>
      <c r="S38" s="15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</row>
    <row r="39" spans="2:43">
      <c r="B39" s="1" t="s">
        <v>151</v>
      </c>
      <c r="C39" s="1" t="s">
        <v>29</v>
      </c>
      <c r="D39" s="1" t="s">
        <v>165</v>
      </c>
      <c r="G39" s="1">
        <v>1</v>
      </c>
      <c r="K39" s="1" t="s">
        <v>160</v>
      </c>
      <c r="N3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" s="28"/>
      <c r="P39" s="26" t="str">
        <f>tbGroup[[#This Row],[Camp]]&amp;"-"&amp;tbGroup[[#This Row],[Difficulty]]&amp;"-"&amp;GET_GROUP_NAME(tbGroup[[#This Row],[IsBoss]],tbGroup[[#This Row],[Hero1]:[Soldier3]])&amp;tbGroup[[#This Row],[Suffix]]</f>
        <v>三国-简单-强兵</v>
      </c>
      <c r="Q39" s="15" t="s">
        <v>40</v>
      </c>
      <c r="R39" s="15">
        <v>2</v>
      </c>
      <c r="S39" s="15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</row>
    <row r="40" spans="2:43">
      <c r="B40" s="1" t="s">
        <v>151</v>
      </c>
      <c r="C40" s="1" t="s">
        <v>29</v>
      </c>
      <c r="D40" s="1" t="s">
        <v>165</v>
      </c>
      <c r="G40" s="1">
        <v>1</v>
      </c>
      <c r="K40" s="1" t="s">
        <v>161</v>
      </c>
      <c r="N4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" s="28"/>
      <c r="P40" s="26" t="str">
        <f>tbGroup[[#This Row],[Camp]]&amp;"-"&amp;tbGroup[[#This Row],[Difficulty]]&amp;"-"&amp;GET_GROUP_NAME(tbGroup[[#This Row],[IsBoss]],tbGroup[[#This Row],[Hero1]:[Soldier3]])&amp;tbGroup[[#This Row],[Suffix]]</f>
        <v>三国-简单-炼兵</v>
      </c>
      <c r="Q40" s="15" t="s">
        <v>40</v>
      </c>
      <c r="R40" s="15">
        <v>2</v>
      </c>
      <c r="S40" s="15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</row>
    <row r="41" spans="2:43">
      <c r="B41" s="1" t="s">
        <v>151</v>
      </c>
      <c r="C41" s="1" t="s">
        <v>29</v>
      </c>
      <c r="D41" s="1" t="s">
        <v>165</v>
      </c>
      <c r="G41" s="1">
        <v>1</v>
      </c>
      <c r="K41" s="1" t="s">
        <v>162</v>
      </c>
      <c r="N4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1" s="28"/>
      <c r="P41" s="26" t="str">
        <f>tbGroup[[#This Row],[Camp]]&amp;"-"&amp;tbGroup[[#This Row],[Difficulty]]&amp;"-"&amp;GET_GROUP_NAME(tbGroup[[#This Row],[IsBoss]],tbGroup[[#This Row],[Hero1]:[Soldier3]])&amp;tbGroup[[#This Row],[Suffix]]</f>
        <v>三国-简单-法兵</v>
      </c>
      <c r="Q41" s="15" t="s">
        <v>40</v>
      </c>
      <c r="R41" s="15">
        <v>2</v>
      </c>
      <c r="S41" s="15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</row>
    <row r="42" spans="2:43">
      <c r="B42" s="1" t="s">
        <v>151</v>
      </c>
      <c r="C42" s="1" t="s">
        <v>29</v>
      </c>
      <c r="D42" s="1" t="s">
        <v>165</v>
      </c>
      <c r="G42" s="1">
        <v>1</v>
      </c>
      <c r="K42" s="1" t="s">
        <v>163</v>
      </c>
      <c r="N4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2" s="28"/>
      <c r="P42" s="26" t="str">
        <f>tbGroup[[#This Row],[Camp]]&amp;"-"&amp;tbGroup[[#This Row],[Difficulty]]&amp;"-"&amp;GET_GROUP_NAME(tbGroup[[#This Row],[IsBoss]],tbGroup[[#This Row],[Hero1]:[Soldier3]])&amp;tbGroup[[#This Row],[Suffix]]</f>
        <v>三国-简单-刺兵</v>
      </c>
      <c r="Q42" s="15" t="s">
        <v>40</v>
      </c>
      <c r="R42" s="15">
        <v>2</v>
      </c>
      <c r="S42" s="15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</row>
    <row r="43" spans="2:43">
      <c r="B43" s="1" t="s">
        <v>151</v>
      </c>
      <c r="C43" s="1" t="s">
        <v>29</v>
      </c>
      <c r="D43" s="1" t="s">
        <v>165</v>
      </c>
      <c r="G43" s="1">
        <v>1</v>
      </c>
      <c r="K43" s="1" t="s">
        <v>49</v>
      </c>
      <c r="N4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3" s="28"/>
      <c r="P43" s="26" t="str">
        <f>tbGroup[[#This Row],[Camp]]&amp;"-"&amp;tbGroup[[#This Row],[Difficulty]]&amp;"-"&amp;GET_GROUP_NAME(tbGroup[[#This Row],[IsBoss]],tbGroup[[#This Row],[Hero1]:[Soldier3]])&amp;tbGroup[[#This Row],[Suffix]]</f>
        <v>三国-简单-教徒</v>
      </c>
      <c r="Q43" s="15" t="s">
        <v>40</v>
      </c>
      <c r="R43" s="15">
        <v>2</v>
      </c>
      <c r="S43" s="15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</row>
    <row r="44" spans="2:43">
      <c r="B44" s="1" t="s">
        <v>151</v>
      </c>
      <c r="C44" s="1" t="s">
        <v>29</v>
      </c>
      <c r="D44" s="1" t="s">
        <v>166</v>
      </c>
      <c r="G44" s="1">
        <v>2</v>
      </c>
      <c r="K44" s="1" t="s">
        <v>158</v>
      </c>
      <c r="L44" s="1" t="s">
        <v>161</v>
      </c>
      <c r="N4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4" s="28"/>
      <c r="P44" s="26" t="str">
        <f>tbGroup[[#This Row],[Camp]]&amp;"-"&amp;tbGroup[[#This Row],[Difficulty]]&amp;"-"&amp;GET_GROUP_NAME(tbGroup[[#This Row],[IsBoss]],tbGroup[[#This Row],[Hero1]:[Soldier3]])&amp;tbGroup[[#This Row],[Suffix]]</f>
        <v>三国-简单-铁兵+炼兵</v>
      </c>
      <c r="Q44" s="15" t="s">
        <v>40</v>
      </c>
      <c r="R44" s="15">
        <v>2</v>
      </c>
      <c r="S44" s="15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</row>
    <row r="45" spans="2:43">
      <c r="B45" s="1" t="s">
        <v>151</v>
      </c>
      <c r="C45" s="1" t="s">
        <v>29</v>
      </c>
      <c r="D45" s="1" t="s">
        <v>166</v>
      </c>
      <c r="G45" s="1">
        <v>2</v>
      </c>
      <c r="K45" s="1" t="s">
        <v>158</v>
      </c>
      <c r="L45" s="1" t="s">
        <v>160</v>
      </c>
      <c r="N4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5" s="28"/>
      <c r="P45" s="26" t="str">
        <f>tbGroup[[#This Row],[Camp]]&amp;"-"&amp;tbGroup[[#This Row],[Difficulty]]&amp;"-"&amp;GET_GROUP_NAME(tbGroup[[#This Row],[IsBoss]],tbGroup[[#This Row],[Hero1]:[Soldier3]])&amp;tbGroup[[#This Row],[Suffix]]</f>
        <v>三国-简单-铁兵+强兵</v>
      </c>
      <c r="Q45" s="15" t="s">
        <v>40</v>
      </c>
      <c r="R45" s="15">
        <v>2</v>
      </c>
      <c r="S45" s="15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</row>
    <row r="46" spans="2:43">
      <c r="B46" s="1" t="s">
        <v>151</v>
      </c>
      <c r="C46" s="1" t="s">
        <v>29</v>
      </c>
      <c r="D46" s="1" t="s">
        <v>166</v>
      </c>
      <c r="G46" s="1">
        <v>2</v>
      </c>
      <c r="K46" s="1" t="s">
        <v>158</v>
      </c>
      <c r="L46" s="1" t="s">
        <v>162</v>
      </c>
      <c r="N4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6" s="28"/>
      <c r="P46" s="26" t="str">
        <f>tbGroup[[#This Row],[Camp]]&amp;"-"&amp;tbGroup[[#This Row],[Difficulty]]&amp;"-"&amp;GET_GROUP_NAME(tbGroup[[#This Row],[IsBoss]],tbGroup[[#This Row],[Hero1]:[Soldier3]])&amp;tbGroup[[#This Row],[Suffix]]</f>
        <v>三国-简单-铁兵+法兵</v>
      </c>
      <c r="Q46" s="15" t="s">
        <v>40</v>
      </c>
      <c r="R46" s="15">
        <v>2</v>
      </c>
      <c r="S46" s="15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  <c r="AL46" s="24"/>
      <c r="AM46" s="24"/>
      <c r="AN46" s="24"/>
      <c r="AO46" s="24"/>
      <c r="AP46" s="24"/>
      <c r="AQ46" s="24"/>
    </row>
    <row r="47" spans="2:43">
      <c r="B47" s="1" t="s">
        <v>151</v>
      </c>
      <c r="C47" s="1" t="s">
        <v>29</v>
      </c>
      <c r="D47" s="1" t="s">
        <v>166</v>
      </c>
      <c r="G47" s="1">
        <v>2</v>
      </c>
      <c r="K47" s="1" t="s">
        <v>159</v>
      </c>
      <c r="L47" s="1" t="s">
        <v>161</v>
      </c>
      <c r="N4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7" s="28"/>
      <c r="P47" s="26" t="str">
        <f>tbGroup[[#This Row],[Camp]]&amp;"-"&amp;tbGroup[[#This Row],[Difficulty]]&amp;"-"&amp;GET_GROUP_NAME(tbGroup[[#This Row],[IsBoss]],tbGroup[[#This Row],[Hero1]:[Soldier3]])&amp;tbGroup[[#This Row],[Suffix]]</f>
        <v>三国-简单-盾兵+炼兵</v>
      </c>
      <c r="Q47" s="15" t="s">
        <v>40</v>
      </c>
      <c r="R47" s="15">
        <v>2</v>
      </c>
      <c r="S47" s="15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</row>
    <row r="48" spans="2:43">
      <c r="B48" s="1" t="s">
        <v>151</v>
      </c>
      <c r="C48" s="1" t="s">
        <v>29</v>
      </c>
      <c r="D48" s="1" t="s">
        <v>166</v>
      </c>
      <c r="G48" s="1">
        <v>2</v>
      </c>
      <c r="K48" s="1" t="s">
        <v>159</v>
      </c>
      <c r="L48" s="1" t="s">
        <v>160</v>
      </c>
      <c r="N4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8" s="28"/>
      <c r="P48" s="26" t="str">
        <f>tbGroup[[#This Row],[Camp]]&amp;"-"&amp;tbGroup[[#This Row],[Difficulty]]&amp;"-"&amp;GET_GROUP_NAME(tbGroup[[#This Row],[IsBoss]],tbGroup[[#This Row],[Hero1]:[Soldier3]])&amp;tbGroup[[#This Row],[Suffix]]</f>
        <v>三国-简单-盾兵+强兵</v>
      </c>
      <c r="Q48" s="15" t="s">
        <v>40</v>
      </c>
      <c r="R48" s="15">
        <v>2</v>
      </c>
      <c r="S48" s="15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</row>
    <row r="49" spans="2:43">
      <c r="B49" s="1" t="s">
        <v>151</v>
      </c>
      <c r="C49" s="1" t="s">
        <v>29</v>
      </c>
      <c r="D49" s="1" t="s">
        <v>166</v>
      </c>
      <c r="G49" s="1">
        <v>2</v>
      </c>
      <c r="K49" s="1" t="s">
        <v>159</v>
      </c>
      <c r="L49" s="1" t="s">
        <v>162</v>
      </c>
      <c r="N4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9" s="28"/>
      <c r="P49" s="26" t="str">
        <f>tbGroup[[#This Row],[Camp]]&amp;"-"&amp;tbGroup[[#This Row],[Difficulty]]&amp;"-"&amp;GET_GROUP_NAME(tbGroup[[#This Row],[IsBoss]],tbGroup[[#This Row],[Hero1]:[Soldier3]])&amp;tbGroup[[#This Row],[Suffix]]</f>
        <v>三国-简单-盾兵+法兵</v>
      </c>
      <c r="Q49" s="15" t="s">
        <v>40</v>
      </c>
      <c r="R49" s="15">
        <v>2</v>
      </c>
      <c r="S49" s="15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</row>
    <row r="50" spans="2:43">
      <c r="B50" s="1" t="s">
        <v>151</v>
      </c>
      <c r="C50" s="1" t="s">
        <v>33</v>
      </c>
      <c r="D50" s="1" t="s">
        <v>167</v>
      </c>
      <c r="G50" s="1">
        <v>1</v>
      </c>
      <c r="K50" s="1" t="s">
        <v>158</v>
      </c>
      <c r="N5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0" s="28"/>
      <c r="P50" s="26" t="str">
        <f>tbGroup[[#This Row],[Camp]]&amp;"-"&amp;tbGroup[[#This Row],[Difficulty]]&amp;"-"&amp;GET_GROUP_NAME(tbGroup[[#This Row],[IsBoss]],tbGroup[[#This Row],[Hero1]:[Soldier3]])&amp;tbGroup[[#This Row],[Suffix]]</f>
        <v>三国-普通-铁兵</v>
      </c>
      <c r="Q50" s="15" t="s">
        <v>40</v>
      </c>
      <c r="R50" s="15">
        <v>2</v>
      </c>
      <c r="S50" s="15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</row>
    <row r="51" spans="2:43">
      <c r="B51" s="1" t="s">
        <v>151</v>
      </c>
      <c r="C51" s="1" t="s">
        <v>33</v>
      </c>
      <c r="D51" s="1" t="s">
        <v>167</v>
      </c>
      <c r="G51" s="1">
        <v>1</v>
      </c>
      <c r="K51" s="1" t="s">
        <v>159</v>
      </c>
      <c r="N5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1" s="28"/>
      <c r="P51" s="26" t="str">
        <f>tbGroup[[#This Row],[Camp]]&amp;"-"&amp;tbGroup[[#This Row],[Difficulty]]&amp;"-"&amp;GET_GROUP_NAME(tbGroup[[#This Row],[IsBoss]],tbGroup[[#This Row],[Hero1]:[Soldier3]])&amp;tbGroup[[#This Row],[Suffix]]</f>
        <v>三国-普通-盾兵</v>
      </c>
      <c r="Q51" s="15" t="s">
        <v>40</v>
      </c>
      <c r="R51" s="15">
        <v>2</v>
      </c>
      <c r="S51" s="15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/>
      <c r="AK51" s="24"/>
      <c r="AL51" s="24"/>
      <c r="AM51" s="24"/>
      <c r="AN51" s="24"/>
      <c r="AO51" s="24"/>
      <c r="AP51" s="24"/>
      <c r="AQ51" s="24"/>
    </row>
    <row r="52" spans="2:43">
      <c r="B52" s="1" t="s">
        <v>151</v>
      </c>
      <c r="C52" s="1" t="s">
        <v>33</v>
      </c>
      <c r="D52" s="1" t="s">
        <v>167</v>
      </c>
      <c r="G52" s="1">
        <v>1</v>
      </c>
      <c r="K52" s="1" t="s">
        <v>160</v>
      </c>
      <c r="N5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2" s="28"/>
      <c r="P52" s="26" t="str">
        <f>tbGroup[[#This Row],[Camp]]&amp;"-"&amp;tbGroup[[#This Row],[Difficulty]]&amp;"-"&amp;GET_GROUP_NAME(tbGroup[[#This Row],[IsBoss]],tbGroup[[#This Row],[Hero1]:[Soldier3]])&amp;tbGroup[[#This Row],[Suffix]]</f>
        <v>三国-普通-强兵</v>
      </c>
      <c r="Q52" s="15" t="s">
        <v>40</v>
      </c>
      <c r="R52" s="15">
        <v>2</v>
      </c>
      <c r="S52" s="15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24"/>
      <c r="AQ52" s="24"/>
    </row>
    <row r="53" spans="2:43">
      <c r="B53" s="1" t="s">
        <v>151</v>
      </c>
      <c r="C53" s="1" t="s">
        <v>33</v>
      </c>
      <c r="D53" s="1" t="s">
        <v>167</v>
      </c>
      <c r="G53" s="1">
        <v>1</v>
      </c>
      <c r="K53" s="1" t="s">
        <v>161</v>
      </c>
      <c r="N5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3" s="28"/>
      <c r="P53" s="26" t="str">
        <f>tbGroup[[#This Row],[Camp]]&amp;"-"&amp;tbGroup[[#This Row],[Difficulty]]&amp;"-"&amp;GET_GROUP_NAME(tbGroup[[#This Row],[IsBoss]],tbGroup[[#This Row],[Hero1]:[Soldier3]])&amp;tbGroup[[#This Row],[Suffix]]</f>
        <v>三国-普通-炼兵</v>
      </c>
      <c r="Q53" s="15" t="s">
        <v>40</v>
      </c>
      <c r="R53" s="15">
        <v>2</v>
      </c>
      <c r="S53" s="15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24"/>
      <c r="AQ53" s="24"/>
    </row>
    <row r="54" spans="2:43">
      <c r="B54" s="1" t="s">
        <v>151</v>
      </c>
      <c r="C54" s="1" t="s">
        <v>33</v>
      </c>
      <c r="D54" s="1" t="s">
        <v>167</v>
      </c>
      <c r="G54" s="1">
        <v>1</v>
      </c>
      <c r="K54" s="1" t="s">
        <v>162</v>
      </c>
      <c r="N5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4" s="28"/>
      <c r="P54" s="26" t="str">
        <f>tbGroup[[#This Row],[Camp]]&amp;"-"&amp;tbGroup[[#This Row],[Difficulty]]&amp;"-"&amp;GET_GROUP_NAME(tbGroup[[#This Row],[IsBoss]],tbGroup[[#This Row],[Hero1]:[Soldier3]])&amp;tbGroup[[#This Row],[Suffix]]</f>
        <v>三国-普通-法兵</v>
      </c>
      <c r="Q54" s="15" t="s">
        <v>40</v>
      </c>
      <c r="R54" s="15">
        <v>2</v>
      </c>
      <c r="S54" s="15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24"/>
      <c r="AN54" s="24"/>
      <c r="AO54" s="24"/>
      <c r="AP54" s="24"/>
      <c r="AQ54" s="24"/>
    </row>
    <row r="55" spans="2:43">
      <c r="B55" s="1" t="s">
        <v>151</v>
      </c>
      <c r="C55" s="1" t="s">
        <v>33</v>
      </c>
      <c r="D55" s="1" t="s">
        <v>167</v>
      </c>
      <c r="G55" s="1">
        <v>1</v>
      </c>
      <c r="K55" s="1" t="s">
        <v>163</v>
      </c>
      <c r="N5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5" s="28"/>
      <c r="P55" s="26" t="str">
        <f>tbGroup[[#This Row],[Camp]]&amp;"-"&amp;tbGroup[[#This Row],[Difficulty]]&amp;"-"&amp;GET_GROUP_NAME(tbGroup[[#This Row],[IsBoss]],tbGroup[[#This Row],[Hero1]:[Soldier3]])&amp;tbGroup[[#This Row],[Suffix]]</f>
        <v>三国-普通-刺兵</v>
      </c>
      <c r="Q55" s="15" t="s">
        <v>40</v>
      </c>
      <c r="R55" s="15">
        <v>2</v>
      </c>
      <c r="S55" s="15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4"/>
      <c r="AM55" s="24"/>
      <c r="AN55" s="24"/>
      <c r="AO55" s="24"/>
      <c r="AP55" s="24"/>
      <c r="AQ55" s="24"/>
    </row>
    <row r="56" spans="2:43">
      <c r="B56" s="1" t="s">
        <v>151</v>
      </c>
      <c r="C56" s="1" t="s">
        <v>33</v>
      </c>
      <c r="D56" s="1" t="s">
        <v>167</v>
      </c>
      <c r="G56" s="1">
        <v>1</v>
      </c>
      <c r="K56" s="1" t="s">
        <v>49</v>
      </c>
      <c r="N5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6" s="28"/>
      <c r="P56" s="26" t="str">
        <f>tbGroup[[#This Row],[Camp]]&amp;"-"&amp;tbGroup[[#This Row],[Difficulty]]&amp;"-"&amp;GET_GROUP_NAME(tbGroup[[#This Row],[IsBoss]],tbGroup[[#This Row],[Hero1]:[Soldier3]])&amp;tbGroup[[#This Row],[Suffix]]</f>
        <v>三国-普通-教徒</v>
      </c>
      <c r="Q56" s="15" t="s">
        <v>40</v>
      </c>
      <c r="R56" s="15">
        <v>2</v>
      </c>
      <c r="S56" s="15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  <c r="AL56" s="24"/>
      <c r="AM56" s="24"/>
      <c r="AN56" s="24"/>
      <c r="AO56" s="24"/>
      <c r="AP56" s="24"/>
      <c r="AQ56" s="24"/>
    </row>
    <row r="57" spans="2:43">
      <c r="B57" s="1" t="s">
        <v>151</v>
      </c>
      <c r="C57" s="1" t="s">
        <v>33</v>
      </c>
      <c r="D57" s="1" t="s">
        <v>168</v>
      </c>
      <c r="G57" s="1">
        <v>2</v>
      </c>
      <c r="K57" s="1" t="s">
        <v>158</v>
      </c>
      <c r="L57" s="1" t="s">
        <v>161</v>
      </c>
      <c r="N5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7" s="28"/>
      <c r="P57" s="26" t="str">
        <f>tbGroup[[#This Row],[Camp]]&amp;"-"&amp;tbGroup[[#This Row],[Difficulty]]&amp;"-"&amp;GET_GROUP_NAME(tbGroup[[#This Row],[IsBoss]],tbGroup[[#This Row],[Hero1]:[Soldier3]])&amp;tbGroup[[#This Row],[Suffix]]</f>
        <v>三国-普通-铁兵+炼兵</v>
      </c>
      <c r="Q57" s="15" t="s">
        <v>40</v>
      </c>
      <c r="R57" s="15">
        <v>2</v>
      </c>
      <c r="S57" s="15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4"/>
      <c r="AI57" s="24"/>
      <c r="AJ57" s="24"/>
      <c r="AK57" s="24"/>
      <c r="AL57" s="24"/>
      <c r="AM57" s="24"/>
      <c r="AN57" s="24"/>
      <c r="AO57" s="24"/>
      <c r="AP57" s="24"/>
      <c r="AQ57" s="24"/>
    </row>
    <row r="58" spans="2:43">
      <c r="B58" s="1" t="s">
        <v>151</v>
      </c>
      <c r="C58" s="1" t="s">
        <v>33</v>
      </c>
      <c r="D58" s="1" t="s">
        <v>168</v>
      </c>
      <c r="G58" s="1">
        <v>2</v>
      </c>
      <c r="K58" s="1" t="s">
        <v>158</v>
      </c>
      <c r="L58" s="1" t="s">
        <v>160</v>
      </c>
      <c r="N5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8" s="28"/>
      <c r="P58" s="26" t="str">
        <f>tbGroup[[#This Row],[Camp]]&amp;"-"&amp;tbGroup[[#This Row],[Difficulty]]&amp;"-"&amp;GET_GROUP_NAME(tbGroup[[#This Row],[IsBoss]],tbGroup[[#This Row],[Hero1]:[Soldier3]])&amp;tbGroup[[#This Row],[Suffix]]</f>
        <v>三国-普通-铁兵+强兵</v>
      </c>
      <c r="Q58" s="15" t="s">
        <v>40</v>
      </c>
      <c r="R58" s="15">
        <v>2</v>
      </c>
      <c r="S58" s="15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</row>
    <row r="59" spans="2:43">
      <c r="B59" s="1" t="s">
        <v>151</v>
      </c>
      <c r="C59" s="1" t="s">
        <v>33</v>
      </c>
      <c r="D59" s="1" t="s">
        <v>168</v>
      </c>
      <c r="G59" s="1">
        <v>2</v>
      </c>
      <c r="K59" s="1" t="s">
        <v>158</v>
      </c>
      <c r="L59" s="1" t="s">
        <v>162</v>
      </c>
      <c r="N5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9" s="28"/>
      <c r="P59" s="26" t="str">
        <f>tbGroup[[#This Row],[Camp]]&amp;"-"&amp;tbGroup[[#This Row],[Difficulty]]&amp;"-"&amp;GET_GROUP_NAME(tbGroup[[#This Row],[IsBoss]],tbGroup[[#This Row],[Hero1]:[Soldier3]])&amp;tbGroup[[#This Row],[Suffix]]</f>
        <v>三国-普通-铁兵+法兵</v>
      </c>
      <c r="Q59" s="15" t="s">
        <v>40</v>
      </c>
      <c r="R59" s="15">
        <v>2</v>
      </c>
      <c r="S59" s="15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</row>
    <row r="60" spans="2:43">
      <c r="B60" s="1" t="s">
        <v>151</v>
      </c>
      <c r="C60" s="1" t="s">
        <v>33</v>
      </c>
      <c r="D60" s="1" t="s">
        <v>906</v>
      </c>
      <c r="G60" s="1">
        <v>2</v>
      </c>
      <c r="K60" s="1" t="s">
        <v>158</v>
      </c>
      <c r="L60" s="1" t="s">
        <v>163</v>
      </c>
      <c r="N6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0" s="28"/>
      <c r="P60" s="26" t="str">
        <f>tbGroup[[#This Row],[Camp]]&amp;"-"&amp;tbGroup[[#This Row],[Difficulty]]&amp;"-"&amp;GET_GROUP_NAME(tbGroup[[#This Row],[IsBoss]],tbGroup[[#This Row],[Hero1]:[Soldier3]])&amp;tbGroup[[#This Row],[Suffix]]</f>
        <v>三国-普通-铁兵+刺兵</v>
      </c>
      <c r="Q60" s="15" t="s">
        <v>40</v>
      </c>
      <c r="R60" s="15">
        <v>1</v>
      </c>
      <c r="S60" s="15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4"/>
      <c r="AI60" s="24"/>
      <c r="AJ60" s="24"/>
      <c r="AK60" s="24"/>
      <c r="AL60" s="24"/>
      <c r="AM60" s="24"/>
      <c r="AN60" s="24"/>
      <c r="AO60" s="24"/>
      <c r="AP60" s="24"/>
      <c r="AQ60" s="24"/>
    </row>
    <row r="61" spans="2:43">
      <c r="B61" s="1" t="s">
        <v>151</v>
      </c>
      <c r="C61" s="1" t="s">
        <v>33</v>
      </c>
      <c r="D61" s="1" t="s">
        <v>168</v>
      </c>
      <c r="G61" s="1">
        <v>2</v>
      </c>
      <c r="K61" s="1" t="s">
        <v>159</v>
      </c>
      <c r="L61" s="1" t="s">
        <v>161</v>
      </c>
      <c r="N6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1" s="28"/>
      <c r="P61" s="26" t="str">
        <f>tbGroup[[#This Row],[Camp]]&amp;"-"&amp;tbGroup[[#This Row],[Difficulty]]&amp;"-"&amp;GET_GROUP_NAME(tbGroup[[#This Row],[IsBoss]],tbGroup[[#This Row],[Hero1]:[Soldier3]])&amp;tbGroup[[#This Row],[Suffix]]</f>
        <v>三国-普通-盾兵+炼兵</v>
      </c>
      <c r="Q61" s="15" t="s">
        <v>40</v>
      </c>
      <c r="R61" s="15">
        <v>2</v>
      </c>
      <c r="S61" s="15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4"/>
      <c r="AI61" s="24"/>
      <c r="AJ61" s="24"/>
      <c r="AK61" s="24"/>
      <c r="AL61" s="24"/>
      <c r="AM61" s="24"/>
      <c r="AN61" s="24"/>
      <c r="AO61" s="24"/>
      <c r="AP61" s="24"/>
      <c r="AQ61" s="24"/>
    </row>
    <row r="62" spans="2:43">
      <c r="B62" s="1" t="s">
        <v>151</v>
      </c>
      <c r="C62" s="1" t="s">
        <v>33</v>
      </c>
      <c r="D62" s="1" t="s">
        <v>168</v>
      </c>
      <c r="G62" s="1">
        <v>2</v>
      </c>
      <c r="K62" s="1" t="s">
        <v>159</v>
      </c>
      <c r="L62" s="1" t="s">
        <v>160</v>
      </c>
      <c r="N6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2" s="28"/>
      <c r="P62" s="26" t="str">
        <f>tbGroup[[#This Row],[Camp]]&amp;"-"&amp;tbGroup[[#This Row],[Difficulty]]&amp;"-"&amp;GET_GROUP_NAME(tbGroup[[#This Row],[IsBoss]],tbGroup[[#This Row],[Hero1]:[Soldier3]])&amp;tbGroup[[#This Row],[Suffix]]</f>
        <v>三国-普通-盾兵+强兵</v>
      </c>
      <c r="Q62" s="15" t="s">
        <v>40</v>
      </c>
      <c r="R62" s="15">
        <v>2</v>
      </c>
      <c r="S62" s="15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4"/>
      <c r="AI62" s="24"/>
      <c r="AJ62" s="24"/>
      <c r="AK62" s="24"/>
      <c r="AL62" s="24"/>
      <c r="AM62" s="24"/>
      <c r="AN62" s="24"/>
      <c r="AO62" s="24"/>
      <c r="AP62" s="24"/>
      <c r="AQ62" s="24"/>
    </row>
    <row r="63" spans="2:43">
      <c r="B63" s="1" t="s">
        <v>151</v>
      </c>
      <c r="C63" s="1" t="s">
        <v>33</v>
      </c>
      <c r="D63" s="1" t="s">
        <v>168</v>
      </c>
      <c r="G63" s="1">
        <v>2</v>
      </c>
      <c r="K63" s="1" t="s">
        <v>159</v>
      </c>
      <c r="L63" s="1" t="s">
        <v>162</v>
      </c>
      <c r="N6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3" s="28"/>
      <c r="P63" s="26" t="str">
        <f>tbGroup[[#This Row],[Camp]]&amp;"-"&amp;tbGroup[[#This Row],[Difficulty]]&amp;"-"&amp;GET_GROUP_NAME(tbGroup[[#This Row],[IsBoss]],tbGroup[[#This Row],[Hero1]:[Soldier3]])&amp;tbGroup[[#This Row],[Suffix]]</f>
        <v>三国-普通-盾兵+法兵</v>
      </c>
      <c r="Q63" s="15" t="s">
        <v>40</v>
      </c>
      <c r="R63" s="15">
        <v>2</v>
      </c>
      <c r="S63" s="15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4"/>
      <c r="AI63" s="24"/>
      <c r="AJ63" s="24"/>
      <c r="AK63" s="24"/>
      <c r="AL63" s="24"/>
      <c r="AM63" s="24"/>
      <c r="AN63" s="24"/>
      <c r="AO63" s="24"/>
      <c r="AP63" s="24"/>
      <c r="AQ63" s="24"/>
    </row>
    <row r="64" spans="2:43">
      <c r="B64" s="1" t="s">
        <v>151</v>
      </c>
      <c r="C64" s="1" t="s">
        <v>33</v>
      </c>
      <c r="D64" s="1" t="s">
        <v>906</v>
      </c>
      <c r="G64" s="1">
        <v>2</v>
      </c>
      <c r="K64" s="1" t="s">
        <v>159</v>
      </c>
      <c r="L64" s="1" t="s">
        <v>163</v>
      </c>
      <c r="N6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4" s="28"/>
      <c r="P64" s="26" t="str">
        <f>tbGroup[[#This Row],[Camp]]&amp;"-"&amp;tbGroup[[#This Row],[Difficulty]]&amp;"-"&amp;GET_GROUP_NAME(tbGroup[[#This Row],[IsBoss]],tbGroup[[#This Row],[Hero1]:[Soldier3]])&amp;tbGroup[[#This Row],[Suffix]]</f>
        <v>三国-普通-盾兵+刺兵</v>
      </c>
      <c r="Q64" s="15" t="s">
        <v>40</v>
      </c>
      <c r="R64" s="15">
        <v>1</v>
      </c>
      <c r="S64" s="15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</row>
    <row r="65" spans="2:43">
      <c r="B65" s="1" t="s">
        <v>151</v>
      </c>
      <c r="C65" s="1" t="s">
        <v>33</v>
      </c>
      <c r="D65" s="1" t="s">
        <v>169</v>
      </c>
      <c r="F65" s="1">
        <v>1</v>
      </c>
      <c r="H65" s="1" t="s">
        <v>152</v>
      </c>
      <c r="N6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5" s="29"/>
      <c r="P65" s="27" t="str">
        <f>tbGroup[[#This Row],[Camp]]&amp;"-"&amp;tbGroup[[#This Row],[Difficulty]]&amp;"-"&amp;GET_GROUP_NAME(tbGroup[[#This Row],[IsBoss]],tbGroup[[#This Row],[Hero1]:[Soldier3]])&amp;tbGroup[[#This Row],[Suffix]]</f>
        <v>三国-普通-铁英</v>
      </c>
      <c r="Q65" s="15" t="s">
        <v>40</v>
      </c>
      <c r="R65" s="15">
        <v>2</v>
      </c>
      <c r="S65" s="15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4"/>
      <c r="AI65" s="24"/>
      <c r="AJ65" s="24"/>
      <c r="AK65" s="24"/>
      <c r="AL65" s="24"/>
      <c r="AM65" s="24"/>
      <c r="AN65" s="24"/>
      <c r="AO65" s="24"/>
      <c r="AP65" s="24"/>
      <c r="AQ65" s="24"/>
    </row>
    <row r="66" spans="2:43">
      <c r="B66" s="1" t="s">
        <v>151</v>
      </c>
      <c r="C66" s="1" t="s">
        <v>33</v>
      </c>
      <c r="D66" s="1" t="s">
        <v>169</v>
      </c>
      <c r="F66" s="1">
        <v>1</v>
      </c>
      <c r="H66" s="1" t="s">
        <v>153</v>
      </c>
      <c r="N6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6" s="29"/>
      <c r="P66" s="27" t="str">
        <f>tbGroup[[#This Row],[Camp]]&amp;"-"&amp;tbGroup[[#This Row],[Difficulty]]&amp;"-"&amp;GET_GROUP_NAME(tbGroup[[#This Row],[IsBoss]],tbGroup[[#This Row],[Hero1]:[Soldier3]])&amp;tbGroup[[#This Row],[Suffix]]</f>
        <v>三国-普通-盾英</v>
      </c>
      <c r="Q66" s="15" t="s">
        <v>40</v>
      </c>
      <c r="R66" s="15">
        <v>2</v>
      </c>
      <c r="S66" s="15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</row>
    <row r="67" spans="2:43">
      <c r="B67" s="1" t="s">
        <v>151</v>
      </c>
      <c r="C67" s="1" t="s">
        <v>33</v>
      </c>
      <c r="D67" s="1" t="s">
        <v>169</v>
      </c>
      <c r="F67" s="1">
        <v>1</v>
      </c>
      <c r="H67" s="1" t="s">
        <v>154</v>
      </c>
      <c r="N6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7" s="29"/>
      <c r="P67" s="27" t="str">
        <f>tbGroup[[#This Row],[Camp]]&amp;"-"&amp;tbGroup[[#This Row],[Difficulty]]&amp;"-"&amp;GET_GROUP_NAME(tbGroup[[#This Row],[IsBoss]],tbGroup[[#This Row],[Hero1]:[Soldier3]])&amp;tbGroup[[#This Row],[Suffix]]</f>
        <v>三国-普通-强英</v>
      </c>
      <c r="Q67" s="15" t="s">
        <v>40</v>
      </c>
      <c r="R67" s="15">
        <v>2</v>
      </c>
      <c r="S67" s="15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4"/>
      <c r="AI67" s="24"/>
      <c r="AJ67" s="24"/>
      <c r="AK67" s="24"/>
      <c r="AL67" s="24"/>
      <c r="AM67" s="24"/>
      <c r="AN67" s="24"/>
      <c r="AO67" s="24"/>
      <c r="AP67" s="24"/>
      <c r="AQ67" s="24"/>
    </row>
    <row r="68" spans="2:43">
      <c r="B68" s="1" t="s">
        <v>151</v>
      </c>
      <c r="C68" s="1" t="s">
        <v>33</v>
      </c>
      <c r="D68" s="1" t="s">
        <v>169</v>
      </c>
      <c r="F68" s="1">
        <v>1</v>
      </c>
      <c r="H68" s="1" t="s">
        <v>155</v>
      </c>
      <c r="N6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8" s="29"/>
      <c r="P68" s="27" t="str">
        <f>tbGroup[[#This Row],[Camp]]&amp;"-"&amp;tbGroup[[#This Row],[Difficulty]]&amp;"-"&amp;GET_GROUP_NAME(tbGroup[[#This Row],[IsBoss]],tbGroup[[#This Row],[Hero1]:[Soldier3]])&amp;tbGroup[[#This Row],[Suffix]]</f>
        <v>三国-普通-炼英</v>
      </c>
      <c r="Q68" s="15" t="s">
        <v>40</v>
      </c>
      <c r="R68" s="15">
        <v>2</v>
      </c>
      <c r="S68" s="15" t="b">
        <v>1</v>
      </c>
      <c r="T68" s="33" t="s">
        <v>1278</v>
      </c>
      <c r="U68" s="33" t="s">
        <v>1279</v>
      </c>
      <c r="V68" s="33" t="s">
        <v>1279</v>
      </c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</row>
    <row r="69" spans="2:43">
      <c r="B69" s="1" t="s">
        <v>151</v>
      </c>
      <c r="C69" s="1" t="s">
        <v>33</v>
      </c>
      <c r="D69" s="1" t="s">
        <v>169</v>
      </c>
      <c r="F69" s="1">
        <v>1</v>
      </c>
      <c r="H69" s="1" t="s">
        <v>156</v>
      </c>
      <c r="N6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9" s="29"/>
      <c r="P69" s="27" t="str">
        <f>tbGroup[[#This Row],[Camp]]&amp;"-"&amp;tbGroup[[#This Row],[Difficulty]]&amp;"-"&amp;GET_GROUP_NAME(tbGroup[[#This Row],[IsBoss]],tbGroup[[#This Row],[Hero1]:[Soldier3]])&amp;tbGroup[[#This Row],[Suffix]]</f>
        <v>三国-普通-法英</v>
      </c>
      <c r="Q69" s="15" t="s">
        <v>40</v>
      </c>
      <c r="R69" s="15">
        <v>2</v>
      </c>
      <c r="S69" s="15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/>
    </row>
    <row r="70" spans="2:43">
      <c r="B70" s="1" t="s">
        <v>151</v>
      </c>
      <c r="C70" s="1" t="s">
        <v>33</v>
      </c>
      <c r="D70" s="1" t="s">
        <v>169</v>
      </c>
      <c r="F70" s="1">
        <v>1</v>
      </c>
      <c r="H70" s="1" t="s">
        <v>157</v>
      </c>
      <c r="N7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0" s="29"/>
      <c r="P70" s="27" t="str">
        <f>tbGroup[[#This Row],[Camp]]&amp;"-"&amp;tbGroup[[#This Row],[Difficulty]]&amp;"-"&amp;GET_GROUP_NAME(tbGroup[[#This Row],[IsBoss]],tbGroup[[#This Row],[Hero1]:[Soldier3]])&amp;tbGroup[[#This Row],[Suffix]]</f>
        <v>三国-普通-刺英</v>
      </c>
      <c r="Q70" s="15" t="s">
        <v>40</v>
      </c>
      <c r="R70" s="15">
        <v>2</v>
      </c>
      <c r="S70" s="15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</row>
    <row r="71" spans="2:43">
      <c r="B71" s="1" t="s">
        <v>151</v>
      </c>
      <c r="C71" s="1" t="s">
        <v>33</v>
      </c>
      <c r="D71" s="1" t="s">
        <v>170</v>
      </c>
      <c r="F71" s="1">
        <v>1</v>
      </c>
      <c r="G71" s="1">
        <v>1</v>
      </c>
      <c r="H71" s="1" t="s">
        <v>152</v>
      </c>
      <c r="K71" s="1" t="s">
        <v>160</v>
      </c>
      <c r="N7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1" s="29"/>
      <c r="P71" s="27" t="str">
        <f>tbGroup[[#This Row],[Camp]]&amp;"-"&amp;tbGroup[[#This Row],[Difficulty]]&amp;"-"&amp;GET_GROUP_NAME(tbGroup[[#This Row],[IsBoss]],tbGroup[[#This Row],[Hero1]:[Soldier3]])&amp;tbGroup[[#This Row],[Suffix]]</f>
        <v>三国-普通-铁英+强兵</v>
      </c>
      <c r="Q71" s="15" t="s">
        <v>40</v>
      </c>
      <c r="R71" s="15">
        <v>2</v>
      </c>
      <c r="S71" s="15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4"/>
      <c r="AI71" s="24"/>
      <c r="AJ71" s="24"/>
      <c r="AK71" s="24"/>
      <c r="AL71" s="24"/>
      <c r="AM71" s="24"/>
      <c r="AN71" s="24"/>
      <c r="AO71" s="24"/>
      <c r="AP71" s="24"/>
      <c r="AQ71" s="24"/>
    </row>
    <row r="72" spans="2:43">
      <c r="B72" s="1" t="s">
        <v>151</v>
      </c>
      <c r="C72" s="1" t="s">
        <v>33</v>
      </c>
      <c r="D72" s="1" t="s">
        <v>170</v>
      </c>
      <c r="F72" s="1">
        <v>1</v>
      </c>
      <c r="G72" s="1">
        <v>1</v>
      </c>
      <c r="H72" s="1" t="s">
        <v>152</v>
      </c>
      <c r="K72" s="1" t="s">
        <v>161</v>
      </c>
      <c r="N7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2" s="29"/>
      <c r="P72" s="27" t="str">
        <f>tbGroup[[#This Row],[Camp]]&amp;"-"&amp;tbGroup[[#This Row],[Difficulty]]&amp;"-"&amp;GET_GROUP_NAME(tbGroup[[#This Row],[IsBoss]],tbGroup[[#This Row],[Hero1]:[Soldier3]])&amp;tbGroup[[#This Row],[Suffix]]</f>
        <v>三国-普通-铁英+炼兵</v>
      </c>
      <c r="Q72" s="15" t="s">
        <v>40</v>
      </c>
      <c r="R72" s="15">
        <v>2</v>
      </c>
      <c r="S72" s="15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4"/>
      <c r="AI72" s="24"/>
      <c r="AJ72" s="24"/>
      <c r="AK72" s="24"/>
      <c r="AL72" s="24"/>
      <c r="AM72" s="24"/>
      <c r="AN72" s="24"/>
      <c r="AO72" s="24"/>
      <c r="AP72" s="24"/>
      <c r="AQ72" s="24"/>
    </row>
    <row r="73" spans="2:43">
      <c r="B73" s="1" t="s">
        <v>151</v>
      </c>
      <c r="C73" s="1" t="s">
        <v>33</v>
      </c>
      <c r="D73" s="1" t="s">
        <v>170</v>
      </c>
      <c r="F73" s="1">
        <v>1</v>
      </c>
      <c r="G73" s="1">
        <v>1</v>
      </c>
      <c r="H73" s="1" t="s">
        <v>152</v>
      </c>
      <c r="K73" s="1" t="s">
        <v>162</v>
      </c>
      <c r="N7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3" s="29"/>
      <c r="P73" s="27" t="str">
        <f>tbGroup[[#This Row],[Camp]]&amp;"-"&amp;tbGroup[[#This Row],[Difficulty]]&amp;"-"&amp;GET_GROUP_NAME(tbGroup[[#This Row],[IsBoss]],tbGroup[[#This Row],[Hero1]:[Soldier3]])&amp;tbGroup[[#This Row],[Suffix]]</f>
        <v>三国-普通-铁英+法兵</v>
      </c>
      <c r="Q73" s="15" t="s">
        <v>40</v>
      </c>
      <c r="R73" s="15">
        <v>2</v>
      </c>
      <c r="S73" s="15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4"/>
      <c r="AI73" s="24"/>
      <c r="AJ73" s="24"/>
      <c r="AK73" s="24"/>
      <c r="AL73" s="24"/>
      <c r="AM73" s="24"/>
      <c r="AN73" s="24"/>
      <c r="AO73" s="24"/>
      <c r="AP73" s="24"/>
      <c r="AQ73" s="24"/>
    </row>
    <row r="74" spans="2:43">
      <c r="B74" s="1" t="s">
        <v>151</v>
      </c>
      <c r="C74" s="1" t="s">
        <v>33</v>
      </c>
      <c r="D74" s="1" t="s">
        <v>170</v>
      </c>
      <c r="F74" s="1">
        <v>1</v>
      </c>
      <c r="G74" s="1">
        <v>1</v>
      </c>
      <c r="H74" s="1" t="s">
        <v>152</v>
      </c>
      <c r="K74" s="16" t="s">
        <v>911</v>
      </c>
      <c r="N7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4" s="29"/>
      <c r="P74" s="27" t="str">
        <f>tbGroup[[#This Row],[Camp]]&amp;"-"&amp;tbGroup[[#This Row],[Difficulty]]&amp;"-"&amp;GET_GROUP_NAME(tbGroup[[#This Row],[IsBoss]],tbGroup[[#This Row],[Hero1]:[Soldier3]])&amp;tbGroup[[#This Row],[Suffix]]</f>
        <v>三国-普通-铁英+刺兵</v>
      </c>
      <c r="Q74" s="15" t="s">
        <v>40</v>
      </c>
      <c r="R74" s="15">
        <v>1</v>
      </c>
      <c r="S74" s="15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4"/>
      <c r="AI74" s="24"/>
      <c r="AJ74" s="24"/>
      <c r="AK74" s="24"/>
      <c r="AL74" s="24"/>
      <c r="AM74" s="24"/>
      <c r="AN74" s="24"/>
      <c r="AO74" s="24"/>
      <c r="AP74" s="24"/>
      <c r="AQ74" s="24"/>
    </row>
    <row r="75" spans="2:43">
      <c r="B75" s="1" t="s">
        <v>151</v>
      </c>
      <c r="C75" s="1" t="s">
        <v>33</v>
      </c>
      <c r="D75" s="1" t="s">
        <v>170</v>
      </c>
      <c r="F75" s="1">
        <v>1</v>
      </c>
      <c r="G75" s="1">
        <v>1</v>
      </c>
      <c r="H75" s="1" t="s">
        <v>153</v>
      </c>
      <c r="K75" s="1" t="s">
        <v>160</v>
      </c>
      <c r="N7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5" s="29"/>
      <c r="P75" s="27" t="str">
        <f>tbGroup[[#This Row],[Camp]]&amp;"-"&amp;tbGroup[[#This Row],[Difficulty]]&amp;"-"&amp;GET_GROUP_NAME(tbGroup[[#This Row],[IsBoss]],tbGroup[[#This Row],[Hero1]:[Soldier3]])&amp;tbGroup[[#This Row],[Suffix]]</f>
        <v>三国-普通-盾英+强兵</v>
      </c>
      <c r="Q75" s="15" t="s">
        <v>40</v>
      </c>
      <c r="R75" s="15">
        <v>2</v>
      </c>
      <c r="S75" s="15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4"/>
      <c r="AI75" s="24"/>
      <c r="AJ75" s="24"/>
      <c r="AK75" s="24"/>
      <c r="AL75" s="24"/>
      <c r="AM75" s="24"/>
      <c r="AN75" s="24"/>
      <c r="AO75" s="24"/>
      <c r="AP75" s="24"/>
      <c r="AQ75" s="24"/>
    </row>
    <row r="76" spans="2:43">
      <c r="B76" s="1" t="s">
        <v>151</v>
      </c>
      <c r="C76" s="1" t="s">
        <v>33</v>
      </c>
      <c r="D76" s="1" t="s">
        <v>170</v>
      </c>
      <c r="F76" s="1">
        <v>1</v>
      </c>
      <c r="G76" s="1">
        <v>1</v>
      </c>
      <c r="H76" s="1" t="s">
        <v>153</v>
      </c>
      <c r="K76" s="1" t="s">
        <v>161</v>
      </c>
      <c r="N7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6" s="29"/>
      <c r="P76" s="27" t="str">
        <f>tbGroup[[#This Row],[Camp]]&amp;"-"&amp;tbGroup[[#This Row],[Difficulty]]&amp;"-"&amp;GET_GROUP_NAME(tbGroup[[#This Row],[IsBoss]],tbGroup[[#This Row],[Hero1]:[Soldier3]])&amp;tbGroup[[#This Row],[Suffix]]</f>
        <v>三国-普通-盾英+炼兵</v>
      </c>
      <c r="Q76" s="15" t="s">
        <v>40</v>
      </c>
      <c r="R76" s="15">
        <v>2</v>
      </c>
      <c r="S76" s="15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4"/>
      <c r="AI76" s="24"/>
      <c r="AJ76" s="24"/>
      <c r="AK76" s="24"/>
      <c r="AL76" s="24"/>
      <c r="AM76" s="24"/>
      <c r="AN76" s="24"/>
      <c r="AO76" s="24"/>
      <c r="AP76" s="24"/>
      <c r="AQ76" s="24"/>
    </row>
    <row r="77" spans="2:43">
      <c r="B77" s="1" t="s">
        <v>151</v>
      </c>
      <c r="C77" s="1" t="s">
        <v>33</v>
      </c>
      <c r="D77" s="1" t="s">
        <v>170</v>
      </c>
      <c r="F77" s="1">
        <v>1</v>
      </c>
      <c r="G77" s="1">
        <v>1</v>
      </c>
      <c r="H77" s="1" t="s">
        <v>153</v>
      </c>
      <c r="K77" s="1" t="s">
        <v>162</v>
      </c>
      <c r="N7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7" s="29"/>
      <c r="P77" s="27" t="str">
        <f>tbGroup[[#This Row],[Camp]]&amp;"-"&amp;tbGroup[[#This Row],[Difficulty]]&amp;"-"&amp;GET_GROUP_NAME(tbGroup[[#This Row],[IsBoss]],tbGroup[[#This Row],[Hero1]:[Soldier3]])&amp;tbGroup[[#This Row],[Suffix]]</f>
        <v>三国-普通-盾英+法兵</v>
      </c>
      <c r="Q77" s="15" t="s">
        <v>40</v>
      </c>
      <c r="R77" s="15">
        <v>2</v>
      </c>
      <c r="S77" s="15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4"/>
      <c r="AI77" s="24"/>
      <c r="AJ77" s="24"/>
      <c r="AK77" s="24"/>
      <c r="AL77" s="24"/>
      <c r="AM77" s="24"/>
      <c r="AN77" s="24"/>
      <c r="AO77" s="24"/>
      <c r="AP77" s="24"/>
      <c r="AQ77" s="24"/>
    </row>
    <row r="78" spans="2:43">
      <c r="B78" s="1" t="s">
        <v>151</v>
      </c>
      <c r="C78" s="1" t="s">
        <v>33</v>
      </c>
      <c r="D78" s="1" t="s">
        <v>170</v>
      </c>
      <c r="F78" s="1">
        <v>1</v>
      </c>
      <c r="G78" s="1">
        <v>1</v>
      </c>
      <c r="H78" s="1" t="s">
        <v>153</v>
      </c>
      <c r="K78" s="16" t="s">
        <v>911</v>
      </c>
      <c r="N7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8" s="29"/>
      <c r="P78" s="27" t="str">
        <f>tbGroup[[#This Row],[Camp]]&amp;"-"&amp;tbGroup[[#This Row],[Difficulty]]&amp;"-"&amp;GET_GROUP_NAME(tbGroup[[#This Row],[IsBoss]],tbGroup[[#This Row],[Hero1]:[Soldier3]])&amp;tbGroup[[#This Row],[Suffix]]</f>
        <v>三国-普通-盾英+刺兵</v>
      </c>
      <c r="Q78" s="15" t="s">
        <v>40</v>
      </c>
      <c r="R78" s="15">
        <v>1</v>
      </c>
      <c r="S78" s="15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4"/>
      <c r="AI78" s="24"/>
      <c r="AJ78" s="24"/>
      <c r="AK78" s="24"/>
      <c r="AL78" s="24"/>
      <c r="AM78" s="24"/>
      <c r="AN78" s="24"/>
      <c r="AO78" s="24"/>
      <c r="AP78" s="24"/>
      <c r="AQ78" s="24"/>
    </row>
    <row r="79" spans="2:43">
      <c r="B79" s="1" t="s">
        <v>151</v>
      </c>
      <c r="C79" s="1" t="s">
        <v>33</v>
      </c>
      <c r="D79" s="1" t="s">
        <v>171</v>
      </c>
      <c r="F79" s="1">
        <v>1</v>
      </c>
      <c r="G79" s="1">
        <v>1</v>
      </c>
      <c r="H79" s="1" t="s">
        <v>154</v>
      </c>
      <c r="K79" s="1" t="s">
        <v>158</v>
      </c>
      <c r="N7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9" s="29"/>
      <c r="P79" s="27" t="str">
        <f>tbGroup[[#This Row],[Camp]]&amp;"-"&amp;tbGroup[[#This Row],[Difficulty]]&amp;"-"&amp;GET_GROUP_NAME(tbGroup[[#This Row],[IsBoss]],tbGroup[[#This Row],[Hero1]:[Soldier3]])&amp;tbGroup[[#This Row],[Suffix]]</f>
        <v>三国-普通-强英+铁兵</v>
      </c>
      <c r="Q79" s="15" t="s">
        <v>40</v>
      </c>
      <c r="R79" s="15">
        <v>2</v>
      </c>
      <c r="S79" s="15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4"/>
      <c r="AI79" s="24"/>
      <c r="AJ79" s="24"/>
      <c r="AK79" s="24"/>
      <c r="AL79" s="24"/>
      <c r="AM79" s="24"/>
      <c r="AN79" s="24"/>
      <c r="AO79" s="24"/>
      <c r="AP79" s="24"/>
      <c r="AQ79" s="24"/>
    </row>
    <row r="80" spans="2:43">
      <c r="B80" s="1" t="s">
        <v>151</v>
      </c>
      <c r="C80" s="1" t="s">
        <v>33</v>
      </c>
      <c r="D80" s="1" t="s">
        <v>171</v>
      </c>
      <c r="F80" s="1">
        <v>1</v>
      </c>
      <c r="G80" s="1">
        <v>1</v>
      </c>
      <c r="H80" s="1" t="s">
        <v>154</v>
      </c>
      <c r="K80" s="1" t="s">
        <v>159</v>
      </c>
      <c r="N8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0" s="29"/>
      <c r="P80" s="27" t="str">
        <f>tbGroup[[#This Row],[Camp]]&amp;"-"&amp;tbGroup[[#This Row],[Difficulty]]&amp;"-"&amp;GET_GROUP_NAME(tbGroup[[#This Row],[IsBoss]],tbGroup[[#This Row],[Hero1]:[Soldier3]])&amp;tbGroup[[#This Row],[Suffix]]</f>
        <v>三国-普通-强英+盾兵</v>
      </c>
      <c r="Q80" s="15" t="s">
        <v>40</v>
      </c>
      <c r="R80" s="15">
        <v>2</v>
      </c>
      <c r="S80" s="15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4"/>
      <c r="AI80" s="24"/>
      <c r="AJ80" s="24"/>
      <c r="AK80" s="24"/>
      <c r="AL80" s="24"/>
      <c r="AM80" s="24"/>
      <c r="AN80" s="24"/>
      <c r="AO80" s="24"/>
      <c r="AP80" s="24"/>
      <c r="AQ80" s="24"/>
    </row>
    <row r="81" spans="2:43">
      <c r="B81" s="1" t="s">
        <v>151</v>
      </c>
      <c r="C81" s="1" t="s">
        <v>33</v>
      </c>
      <c r="D81" s="1" t="s">
        <v>171</v>
      </c>
      <c r="F81" s="1">
        <v>1</v>
      </c>
      <c r="G81" s="1">
        <v>1</v>
      </c>
      <c r="H81" s="1" t="s">
        <v>154</v>
      </c>
      <c r="K81" s="16" t="s">
        <v>910</v>
      </c>
      <c r="N8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1" s="29"/>
      <c r="P81" s="27" t="str">
        <f>tbGroup[[#This Row],[Camp]]&amp;"-"&amp;tbGroup[[#This Row],[Difficulty]]&amp;"-"&amp;GET_GROUP_NAME(tbGroup[[#This Row],[IsBoss]],tbGroup[[#This Row],[Hero1]:[Soldier3]])&amp;tbGroup[[#This Row],[Suffix]]</f>
        <v>三国-普通-强英+教徒</v>
      </c>
      <c r="Q81" s="15" t="s">
        <v>40</v>
      </c>
      <c r="R81" s="15">
        <v>1</v>
      </c>
      <c r="S81" s="15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4"/>
      <c r="AI81" s="24"/>
      <c r="AJ81" s="24"/>
      <c r="AK81" s="24"/>
      <c r="AL81" s="24"/>
      <c r="AM81" s="24"/>
      <c r="AN81" s="24"/>
      <c r="AO81" s="24"/>
      <c r="AP81" s="24"/>
      <c r="AQ81" s="24"/>
    </row>
    <row r="82" spans="2:43">
      <c r="B82" s="1" t="s">
        <v>151</v>
      </c>
      <c r="C82" s="1" t="s">
        <v>33</v>
      </c>
      <c r="D82" s="1" t="s">
        <v>171</v>
      </c>
      <c r="F82" s="1">
        <v>1</v>
      </c>
      <c r="G82" s="1">
        <v>1</v>
      </c>
      <c r="H82" s="1" t="s">
        <v>156</v>
      </c>
      <c r="K82" s="1" t="s">
        <v>158</v>
      </c>
      <c r="N8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2" s="29"/>
      <c r="P82" s="27" t="str">
        <f>tbGroup[[#This Row],[Camp]]&amp;"-"&amp;tbGroup[[#This Row],[Difficulty]]&amp;"-"&amp;GET_GROUP_NAME(tbGroup[[#This Row],[IsBoss]],tbGroup[[#This Row],[Hero1]:[Soldier3]])&amp;tbGroup[[#This Row],[Suffix]]</f>
        <v>三国-普通-法英+铁兵</v>
      </c>
      <c r="Q82" s="15" t="s">
        <v>40</v>
      </c>
      <c r="R82" s="15">
        <v>2</v>
      </c>
      <c r="S82" s="15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4"/>
      <c r="AI82" s="24"/>
      <c r="AJ82" s="24"/>
      <c r="AK82" s="24"/>
      <c r="AL82" s="24"/>
      <c r="AM82" s="24"/>
      <c r="AN82" s="24"/>
      <c r="AO82" s="24"/>
      <c r="AP82" s="24"/>
      <c r="AQ82" s="24"/>
    </row>
    <row r="83" spans="2:43">
      <c r="B83" s="1" t="s">
        <v>151</v>
      </c>
      <c r="C83" s="1" t="s">
        <v>33</v>
      </c>
      <c r="D83" s="1" t="s">
        <v>171</v>
      </c>
      <c r="F83" s="1">
        <v>1</v>
      </c>
      <c r="G83" s="1">
        <v>1</v>
      </c>
      <c r="H83" s="1" t="s">
        <v>156</v>
      </c>
      <c r="K83" s="1" t="s">
        <v>159</v>
      </c>
      <c r="N8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3" s="29"/>
      <c r="P83" s="27" t="str">
        <f>tbGroup[[#This Row],[Camp]]&amp;"-"&amp;tbGroup[[#This Row],[Difficulty]]&amp;"-"&amp;GET_GROUP_NAME(tbGroup[[#This Row],[IsBoss]],tbGroup[[#This Row],[Hero1]:[Soldier3]])&amp;tbGroup[[#This Row],[Suffix]]</f>
        <v>三国-普通-法英+盾兵</v>
      </c>
      <c r="Q83" s="15" t="s">
        <v>40</v>
      </c>
      <c r="R83" s="15">
        <v>2</v>
      </c>
      <c r="S83" s="15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4"/>
      <c r="AI83" s="24"/>
      <c r="AJ83" s="24"/>
      <c r="AK83" s="24"/>
      <c r="AL83" s="24"/>
      <c r="AM83" s="24"/>
      <c r="AN83" s="24"/>
      <c r="AO83" s="24"/>
      <c r="AP83" s="24"/>
      <c r="AQ83" s="24"/>
    </row>
    <row r="84" spans="2:43">
      <c r="B84" s="1" t="s">
        <v>151</v>
      </c>
      <c r="C84" s="1" t="s">
        <v>33</v>
      </c>
      <c r="D84" s="1" t="s">
        <v>171</v>
      </c>
      <c r="F84" s="1">
        <v>1</v>
      </c>
      <c r="G84" s="1">
        <v>1</v>
      </c>
      <c r="H84" s="1" t="s">
        <v>156</v>
      </c>
      <c r="K84" s="16" t="s">
        <v>910</v>
      </c>
      <c r="N8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4" s="29"/>
      <c r="P84" s="27" t="str">
        <f>tbGroup[[#This Row],[Camp]]&amp;"-"&amp;tbGroup[[#This Row],[Difficulty]]&amp;"-"&amp;GET_GROUP_NAME(tbGroup[[#This Row],[IsBoss]],tbGroup[[#This Row],[Hero1]:[Soldier3]])&amp;tbGroup[[#This Row],[Suffix]]</f>
        <v>三国-普通-法英+教徒</v>
      </c>
      <c r="Q84" s="15" t="s">
        <v>40</v>
      </c>
      <c r="R84" s="15">
        <v>1</v>
      </c>
      <c r="S84" s="15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4"/>
      <c r="AI84" s="24"/>
      <c r="AJ84" s="24"/>
      <c r="AK84" s="24"/>
      <c r="AL84" s="24"/>
      <c r="AM84" s="24"/>
      <c r="AN84" s="24"/>
      <c r="AO84" s="24"/>
      <c r="AP84" s="24"/>
      <c r="AQ84" s="24"/>
    </row>
    <row r="85" spans="2:43">
      <c r="B85" s="1" t="s">
        <v>151</v>
      </c>
      <c r="C85" s="1" t="s">
        <v>33</v>
      </c>
      <c r="D85" s="1" t="s">
        <v>171</v>
      </c>
      <c r="F85" s="1">
        <v>1</v>
      </c>
      <c r="G85" s="1">
        <v>1</v>
      </c>
      <c r="H85" s="1" t="s">
        <v>155</v>
      </c>
      <c r="K85" s="1" t="s">
        <v>158</v>
      </c>
      <c r="N8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5" s="29"/>
      <c r="P85" s="27" t="str">
        <f>tbGroup[[#This Row],[Camp]]&amp;"-"&amp;tbGroup[[#This Row],[Difficulty]]&amp;"-"&amp;GET_GROUP_NAME(tbGroup[[#This Row],[IsBoss]],tbGroup[[#This Row],[Hero1]:[Soldier3]])&amp;tbGroup[[#This Row],[Suffix]]</f>
        <v>三国-普通-炼英+铁兵</v>
      </c>
      <c r="Q85" s="15" t="s">
        <v>40</v>
      </c>
      <c r="R85" s="15">
        <v>2</v>
      </c>
      <c r="S85" s="15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4"/>
      <c r="AI85" s="24"/>
      <c r="AJ85" s="24"/>
      <c r="AK85" s="24"/>
      <c r="AL85" s="24"/>
      <c r="AM85" s="24"/>
      <c r="AN85" s="24"/>
      <c r="AO85" s="24"/>
      <c r="AP85" s="24"/>
      <c r="AQ85" s="24"/>
    </row>
    <row r="86" spans="2:43">
      <c r="B86" s="1" t="s">
        <v>151</v>
      </c>
      <c r="C86" s="1" t="s">
        <v>33</v>
      </c>
      <c r="D86" s="1" t="s">
        <v>171</v>
      </c>
      <c r="F86" s="1">
        <v>1</v>
      </c>
      <c r="G86" s="1">
        <v>1</v>
      </c>
      <c r="H86" s="1" t="s">
        <v>155</v>
      </c>
      <c r="K86" s="1" t="s">
        <v>159</v>
      </c>
      <c r="N8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6" s="29"/>
      <c r="P86" s="27" t="str">
        <f>tbGroup[[#This Row],[Camp]]&amp;"-"&amp;tbGroup[[#This Row],[Difficulty]]&amp;"-"&amp;GET_GROUP_NAME(tbGroup[[#This Row],[IsBoss]],tbGroup[[#This Row],[Hero1]:[Soldier3]])&amp;tbGroup[[#This Row],[Suffix]]</f>
        <v>三国-普通-炼英+盾兵</v>
      </c>
      <c r="Q86" s="15" t="s">
        <v>40</v>
      </c>
      <c r="R86" s="15">
        <v>2</v>
      </c>
      <c r="S86" s="15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4"/>
      <c r="AI86" s="24"/>
      <c r="AJ86" s="24"/>
      <c r="AK86" s="24"/>
      <c r="AL86" s="24"/>
      <c r="AM86" s="24"/>
      <c r="AN86" s="24"/>
      <c r="AO86" s="24"/>
      <c r="AP86" s="24"/>
      <c r="AQ86" s="24"/>
    </row>
    <row r="87" spans="2:43">
      <c r="B87" s="1" t="s">
        <v>151</v>
      </c>
      <c r="C87" s="1" t="s">
        <v>33</v>
      </c>
      <c r="D87" s="1" t="s">
        <v>171</v>
      </c>
      <c r="F87" s="1">
        <v>1</v>
      </c>
      <c r="G87" s="1">
        <v>1</v>
      </c>
      <c r="H87" s="1" t="s">
        <v>155</v>
      </c>
      <c r="K87" s="16" t="s">
        <v>910</v>
      </c>
      <c r="N8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7" s="29"/>
      <c r="P87" s="27" t="str">
        <f>tbGroup[[#This Row],[Camp]]&amp;"-"&amp;tbGroup[[#This Row],[Difficulty]]&amp;"-"&amp;GET_GROUP_NAME(tbGroup[[#This Row],[IsBoss]],tbGroup[[#This Row],[Hero1]:[Soldier3]])&amp;tbGroup[[#This Row],[Suffix]]</f>
        <v>三国-普通-炼英+教徒</v>
      </c>
      <c r="Q87" s="15" t="s">
        <v>40</v>
      </c>
      <c r="R87" s="15">
        <v>1</v>
      </c>
      <c r="S87" s="15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4"/>
      <c r="AI87" s="24"/>
      <c r="AJ87" s="24"/>
      <c r="AK87" s="24"/>
      <c r="AL87" s="24"/>
      <c r="AM87" s="24"/>
      <c r="AN87" s="24"/>
      <c r="AO87" s="24"/>
      <c r="AP87" s="24"/>
      <c r="AQ87" s="24"/>
    </row>
    <row r="88" spans="2:43">
      <c r="B88" s="1" t="s">
        <v>151</v>
      </c>
      <c r="C88" s="1" t="s">
        <v>33</v>
      </c>
      <c r="D88" s="1" t="s">
        <v>171</v>
      </c>
      <c r="F88" s="1">
        <v>1</v>
      </c>
      <c r="G88" s="1">
        <v>1</v>
      </c>
      <c r="H88" s="1" t="s">
        <v>157</v>
      </c>
      <c r="K88" s="1" t="s">
        <v>158</v>
      </c>
      <c r="N8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8" s="29"/>
      <c r="P88" s="27" t="str">
        <f>tbGroup[[#This Row],[Camp]]&amp;"-"&amp;tbGroup[[#This Row],[Difficulty]]&amp;"-"&amp;GET_GROUP_NAME(tbGroup[[#This Row],[IsBoss]],tbGroup[[#This Row],[Hero1]:[Soldier3]])&amp;tbGroup[[#This Row],[Suffix]]</f>
        <v>三国-普通-刺英+铁兵</v>
      </c>
      <c r="Q88" s="15" t="s">
        <v>40</v>
      </c>
      <c r="R88" s="15">
        <v>1</v>
      </c>
      <c r="S88" s="15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4"/>
      <c r="AI88" s="24"/>
      <c r="AJ88" s="24"/>
      <c r="AK88" s="24"/>
      <c r="AL88" s="24"/>
      <c r="AM88" s="24"/>
      <c r="AN88" s="24"/>
      <c r="AO88" s="24"/>
      <c r="AP88" s="24"/>
      <c r="AQ88" s="24"/>
    </row>
    <row r="89" spans="2:43">
      <c r="B89" s="1" t="s">
        <v>151</v>
      </c>
      <c r="C89" s="1" t="s">
        <v>33</v>
      </c>
      <c r="D89" s="1" t="s">
        <v>171</v>
      </c>
      <c r="F89" s="1">
        <v>1</v>
      </c>
      <c r="G89" s="1">
        <v>1</v>
      </c>
      <c r="H89" s="1" t="s">
        <v>157</v>
      </c>
      <c r="K89" s="1" t="s">
        <v>159</v>
      </c>
      <c r="N8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9" s="29"/>
      <c r="P89" s="27" t="str">
        <f>tbGroup[[#This Row],[Camp]]&amp;"-"&amp;tbGroup[[#This Row],[Difficulty]]&amp;"-"&amp;GET_GROUP_NAME(tbGroup[[#This Row],[IsBoss]],tbGroup[[#This Row],[Hero1]:[Soldier3]])&amp;tbGroup[[#This Row],[Suffix]]</f>
        <v>三国-普通-刺英+盾兵</v>
      </c>
      <c r="Q89" s="15" t="s">
        <v>40</v>
      </c>
      <c r="R89" s="15">
        <v>1</v>
      </c>
      <c r="S89" s="15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4"/>
      <c r="AI89" s="24"/>
      <c r="AJ89" s="24"/>
      <c r="AK89" s="24"/>
      <c r="AL89" s="24"/>
      <c r="AM89" s="24"/>
      <c r="AN89" s="24"/>
      <c r="AO89" s="24"/>
      <c r="AP89" s="24"/>
      <c r="AQ89" s="24"/>
    </row>
    <row r="90" spans="2:43">
      <c r="B90" s="1" t="s">
        <v>151</v>
      </c>
      <c r="C90" s="1" t="s">
        <v>33</v>
      </c>
      <c r="D90" s="1" t="s">
        <v>171</v>
      </c>
      <c r="F90" s="1">
        <v>1</v>
      </c>
      <c r="G90" s="1">
        <v>1</v>
      </c>
      <c r="H90" s="1" t="s">
        <v>157</v>
      </c>
      <c r="K90" s="16" t="s">
        <v>910</v>
      </c>
      <c r="N9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0" s="29"/>
      <c r="P90" s="27" t="str">
        <f>tbGroup[[#This Row],[Camp]]&amp;"-"&amp;tbGroup[[#This Row],[Difficulty]]&amp;"-"&amp;GET_GROUP_NAME(tbGroup[[#This Row],[IsBoss]],tbGroup[[#This Row],[Hero1]:[Soldier3]])&amp;tbGroup[[#This Row],[Suffix]]</f>
        <v>三国-普通-刺英+教徒</v>
      </c>
      <c r="Q90" s="15" t="s">
        <v>40</v>
      </c>
      <c r="R90" s="15">
        <v>1</v>
      </c>
      <c r="S90" s="15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4"/>
      <c r="AI90" s="24"/>
      <c r="AJ90" s="24"/>
      <c r="AK90" s="24"/>
      <c r="AL90" s="24"/>
      <c r="AM90" s="24"/>
      <c r="AN90" s="24"/>
      <c r="AO90" s="24"/>
      <c r="AP90" s="24"/>
      <c r="AQ90" s="24"/>
    </row>
    <row r="91" spans="2:43">
      <c r="B91" s="1" t="s">
        <v>151</v>
      </c>
      <c r="C91" s="1" t="s">
        <v>35</v>
      </c>
      <c r="D91" s="15" t="s">
        <v>894</v>
      </c>
      <c r="G91" s="1">
        <v>1</v>
      </c>
      <c r="K91" s="1" t="s">
        <v>163</v>
      </c>
      <c r="N9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1" s="29"/>
      <c r="P91" s="27" t="str">
        <f>tbGroup[[#This Row],[Camp]]&amp;"-"&amp;tbGroup[[#This Row],[Difficulty]]&amp;"-"&amp;GET_GROUP_NAME(tbGroup[[#This Row],[IsBoss]],tbGroup[[#This Row],[Hero1]:[Soldier3]])&amp;tbGroup[[#This Row],[Suffix]]</f>
        <v>三国-困难-刺兵</v>
      </c>
      <c r="Q91" s="15" t="s">
        <v>40</v>
      </c>
      <c r="R91" s="15">
        <v>2</v>
      </c>
      <c r="S91" s="15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4"/>
      <c r="AI91" s="24"/>
      <c r="AJ91" s="24"/>
      <c r="AK91" s="24"/>
      <c r="AL91" s="24"/>
      <c r="AM91" s="24"/>
      <c r="AN91" s="24"/>
      <c r="AO91" s="24"/>
      <c r="AP91" s="24"/>
      <c r="AQ91" s="24"/>
    </row>
    <row r="92" spans="2:43">
      <c r="B92" s="1" t="s">
        <v>151</v>
      </c>
      <c r="C92" s="1" t="s">
        <v>35</v>
      </c>
      <c r="D92" s="15" t="s">
        <v>894</v>
      </c>
      <c r="G92" s="1">
        <v>1</v>
      </c>
      <c r="K92" s="34" t="s">
        <v>164</v>
      </c>
      <c r="N9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2" s="29"/>
      <c r="P92" s="27" t="str">
        <f>tbGroup[[#This Row],[Camp]]&amp;"-"&amp;tbGroup[[#This Row],[Difficulty]]&amp;"-"&amp;GET_GROUP_NAME(tbGroup[[#This Row],[IsBoss]],tbGroup[[#This Row],[Hero1]:[Soldier3]])&amp;tbGroup[[#This Row],[Suffix]]</f>
        <v>三国-困难-教徒</v>
      </c>
      <c r="Q92" s="15" t="s">
        <v>40</v>
      </c>
      <c r="R92" s="15">
        <v>1</v>
      </c>
      <c r="S92" s="15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4"/>
      <c r="AI92" s="24"/>
      <c r="AJ92" s="24"/>
      <c r="AK92" s="24"/>
      <c r="AL92" s="24"/>
      <c r="AM92" s="24"/>
      <c r="AN92" s="24"/>
      <c r="AO92" s="24"/>
      <c r="AP92" s="24"/>
      <c r="AQ92" s="24"/>
    </row>
    <row r="93" spans="2:43">
      <c r="B93" s="1" t="s">
        <v>172</v>
      </c>
      <c r="C93" s="1" t="s">
        <v>35</v>
      </c>
      <c r="D93" s="1" t="s">
        <v>173</v>
      </c>
      <c r="G93" s="1">
        <v>2</v>
      </c>
      <c r="K93" s="1" t="s">
        <v>158</v>
      </c>
      <c r="L93" s="1" t="s">
        <v>161</v>
      </c>
      <c r="N9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3" s="28"/>
      <c r="P93" s="26" t="str">
        <f>tbGroup[[#This Row],[Camp]]&amp;"-"&amp;tbGroup[[#This Row],[Difficulty]]&amp;"-"&amp;GET_GROUP_NAME(tbGroup[[#This Row],[IsBoss]],tbGroup[[#This Row],[Hero1]:[Soldier3]])&amp;tbGroup[[#This Row],[Suffix]]</f>
        <v>三国-困难-铁兵+炼兵</v>
      </c>
      <c r="Q93" s="15" t="s">
        <v>40</v>
      </c>
      <c r="R93" s="15">
        <v>2</v>
      </c>
      <c r="S93" s="15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4"/>
      <c r="AI93" s="24"/>
      <c r="AJ93" s="24"/>
      <c r="AK93" s="24"/>
      <c r="AL93" s="24"/>
      <c r="AM93" s="24"/>
      <c r="AN93" s="24"/>
      <c r="AO93" s="24"/>
      <c r="AP93" s="24"/>
      <c r="AQ93" s="24"/>
    </row>
    <row r="94" spans="2:43">
      <c r="B94" s="1" t="s">
        <v>172</v>
      </c>
      <c r="C94" s="1" t="s">
        <v>35</v>
      </c>
      <c r="D94" s="1" t="s">
        <v>173</v>
      </c>
      <c r="G94" s="1">
        <v>2</v>
      </c>
      <c r="K94" s="1" t="s">
        <v>158</v>
      </c>
      <c r="L94" s="1" t="s">
        <v>160</v>
      </c>
      <c r="N9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4" s="28"/>
      <c r="P94" s="26" t="str">
        <f>tbGroup[[#This Row],[Camp]]&amp;"-"&amp;tbGroup[[#This Row],[Difficulty]]&amp;"-"&amp;GET_GROUP_NAME(tbGroup[[#This Row],[IsBoss]],tbGroup[[#This Row],[Hero1]:[Soldier3]])&amp;tbGroup[[#This Row],[Suffix]]</f>
        <v>三国-困难-铁兵+强兵</v>
      </c>
      <c r="Q94" s="15" t="s">
        <v>40</v>
      </c>
      <c r="R94" s="15">
        <v>2</v>
      </c>
      <c r="S94" s="15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4"/>
      <c r="AI94" s="24"/>
      <c r="AJ94" s="24"/>
      <c r="AK94" s="24"/>
      <c r="AL94" s="24"/>
      <c r="AM94" s="24"/>
      <c r="AN94" s="24"/>
      <c r="AO94" s="24"/>
      <c r="AP94" s="24"/>
      <c r="AQ94" s="24"/>
    </row>
    <row r="95" spans="2:43">
      <c r="B95" s="1" t="s">
        <v>172</v>
      </c>
      <c r="C95" s="1" t="s">
        <v>35</v>
      </c>
      <c r="D95" s="1" t="s">
        <v>173</v>
      </c>
      <c r="G95" s="1">
        <v>2</v>
      </c>
      <c r="K95" s="1" t="s">
        <v>158</v>
      </c>
      <c r="L95" s="1" t="s">
        <v>162</v>
      </c>
      <c r="N9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5" s="28"/>
      <c r="P95" s="26" t="str">
        <f>tbGroup[[#This Row],[Camp]]&amp;"-"&amp;tbGroup[[#This Row],[Difficulty]]&amp;"-"&amp;GET_GROUP_NAME(tbGroup[[#This Row],[IsBoss]],tbGroup[[#This Row],[Hero1]:[Soldier3]])&amp;tbGroup[[#This Row],[Suffix]]</f>
        <v>三国-困难-铁兵+法兵</v>
      </c>
      <c r="Q95" s="15" t="s">
        <v>40</v>
      </c>
      <c r="R95" s="15">
        <v>2</v>
      </c>
      <c r="S95" s="15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4"/>
      <c r="AI95" s="24"/>
      <c r="AJ95" s="24"/>
      <c r="AK95" s="24"/>
      <c r="AL95" s="24"/>
      <c r="AM95" s="24"/>
      <c r="AN95" s="24"/>
      <c r="AO95" s="24"/>
      <c r="AP95" s="24"/>
      <c r="AQ95" s="24"/>
    </row>
    <row r="96" spans="2:43">
      <c r="B96" s="1" t="s">
        <v>151</v>
      </c>
      <c r="C96" s="1" t="s">
        <v>35</v>
      </c>
      <c r="D96" s="1" t="s">
        <v>905</v>
      </c>
      <c r="G96" s="1">
        <v>2</v>
      </c>
      <c r="K96" s="1" t="s">
        <v>158</v>
      </c>
      <c r="L96" s="1" t="s">
        <v>163</v>
      </c>
      <c r="N9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6" s="28"/>
      <c r="P96" s="26" t="str">
        <f>tbGroup[[#This Row],[Camp]]&amp;"-"&amp;tbGroup[[#This Row],[Difficulty]]&amp;"-"&amp;GET_GROUP_NAME(tbGroup[[#This Row],[IsBoss]],tbGroup[[#This Row],[Hero1]:[Soldier3]])&amp;tbGroup[[#This Row],[Suffix]]</f>
        <v>三国-困难-铁兵+刺兵</v>
      </c>
      <c r="Q96" s="15" t="s">
        <v>40</v>
      </c>
      <c r="R96" s="15">
        <v>1</v>
      </c>
      <c r="S96" s="15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4"/>
      <c r="AI96" s="24"/>
      <c r="AJ96" s="24"/>
      <c r="AK96" s="24"/>
      <c r="AL96" s="24"/>
      <c r="AM96" s="24"/>
      <c r="AN96" s="24"/>
      <c r="AO96" s="24"/>
      <c r="AP96" s="24"/>
      <c r="AQ96" s="24"/>
    </row>
    <row r="97" spans="2:43">
      <c r="B97" s="1" t="s">
        <v>172</v>
      </c>
      <c r="C97" s="1" t="s">
        <v>35</v>
      </c>
      <c r="D97" s="1" t="s">
        <v>173</v>
      </c>
      <c r="G97" s="1">
        <v>2</v>
      </c>
      <c r="K97" s="1" t="s">
        <v>159</v>
      </c>
      <c r="L97" s="1" t="s">
        <v>161</v>
      </c>
      <c r="N9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7" s="28"/>
      <c r="P97" s="26" t="str">
        <f>tbGroup[[#This Row],[Camp]]&amp;"-"&amp;tbGroup[[#This Row],[Difficulty]]&amp;"-"&amp;GET_GROUP_NAME(tbGroup[[#This Row],[IsBoss]],tbGroup[[#This Row],[Hero1]:[Soldier3]])&amp;tbGroup[[#This Row],[Suffix]]</f>
        <v>三国-困难-盾兵+炼兵</v>
      </c>
      <c r="Q97" s="15" t="s">
        <v>40</v>
      </c>
      <c r="R97" s="15">
        <v>2</v>
      </c>
      <c r="S97" s="15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4"/>
      <c r="AI97" s="24"/>
      <c r="AJ97" s="24"/>
      <c r="AK97" s="24"/>
      <c r="AL97" s="24"/>
      <c r="AM97" s="24"/>
      <c r="AN97" s="24"/>
      <c r="AO97" s="24"/>
      <c r="AP97" s="24"/>
      <c r="AQ97" s="24"/>
    </row>
    <row r="98" spans="2:43">
      <c r="B98" s="1" t="s">
        <v>172</v>
      </c>
      <c r="C98" s="1" t="s">
        <v>35</v>
      </c>
      <c r="D98" s="1" t="s">
        <v>173</v>
      </c>
      <c r="G98" s="1">
        <v>2</v>
      </c>
      <c r="K98" s="1" t="s">
        <v>159</v>
      </c>
      <c r="L98" s="1" t="s">
        <v>160</v>
      </c>
      <c r="N9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8" s="28"/>
      <c r="P98" s="26" t="str">
        <f>tbGroup[[#This Row],[Camp]]&amp;"-"&amp;tbGroup[[#This Row],[Difficulty]]&amp;"-"&amp;GET_GROUP_NAME(tbGroup[[#This Row],[IsBoss]],tbGroup[[#This Row],[Hero1]:[Soldier3]])&amp;tbGroup[[#This Row],[Suffix]]</f>
        <v>三国-困难-盾兵+强兵</v>
      </c>
      <c r="Q98" s="15" t="s">
        <v>40</v>
      </c>
      <c r="R98" s="15">
        <v>2</v>
      </c>
      <c r="S98" s="15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4"/>
      <c r="AI98" s="24"/>
      <c r="AJ98" s="24"/>
      <c r="AK98" s="24"/>
      <c r="AL98" s="24"/>
      <c r="AM98" s="24"/>
      <c r="AN98" s="24"/>
      <c r="AO98" s="24"/>
      <c r="AP98" s="24"/>
      <c r="AQ98" s="24"/>
    </row>
    <row r="99" spans="2:43">
      <c r="B99" s="1" t="s">
        <v>172</v>
      </c>
      <c r="C99" s="1" t="s">
        <v>35</v>
      </c>
      <c r="D99" s="1" t="s">
        <v>173</v>
      </c>
      <c r="G99" s="1">
        <v>2</v>
      </c>
      <c r="K99" s="1" t="s">
        <v>159</v>
      </c>
      <c r="L99" s="1" t="s">
        <v>162</v>
      </c>
      <c r="N9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9" s="28"/>
      <c r="P99" s="26" t="str">
        <f>tbGroup[[#This Row],[Camp]]&amp;"-"&amp;tbGroup[[#This Row],[Difficulty]]&amp;"-"&amp;GET_GROUP_NAME(tbGroup[[#This Row],[IsBoss]],tbGroup[[#This Row],[Hero1]:[Soldier3]])&amp;tbGroup[[#This Row],[Suffix]]</f>
        <v>三国-困难-盾兵+法兵</v>
      </c>
      <c r="Q99" s="15" t="s">
        <v>40</v>
      </c>
      <c r="R99" s="15">
        <v>2</v>
      </c>
      <c r="S99" s="15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4"/>
      <c r="AI99" s="24"/>
      <c r="AJ99" s="24"/>
      <c r="AK99" s="24"/>
      <c r="AL99" s="24"/>
      <c r="AM99" s="24"/>
      <c r="AN99" s="24"/>
      <c r="AO99" s="24"/>
      <c r="AP99" s="24"/>
      <c r="AQ99" s="24"/>
    </row>
    <row r="100" spans="2:43">
      <c r="B100" s="1" t="s">
        <v>151</v>
      </c>
      <c r="C100" s="1" t="s">
        <v>35</v>
      </c>
      <c r="D100" s="1" t="s">
        <v>905</v>
      </c>
      <c r="G100" s="1">
        <v>2</v>
      </c>
      <c r="K100" s="1" t="s">
        <v>159</v>
      </c>
      <c r="L100" s="1" t="s">
        <v>163</v>
      </c>
      <c r="N10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0" s="28"/>
      <c r="P100" s="26" t="str">
        <f>tbGroup[[#This Row],[Camp]]&amp;"-"&amp;tbGroup[[#This Row],[Difficulty]]&amp;"-"&amp;GET_GROUP_NAME(tbGroup[[#This Row],[IsBoss]],tbGroup[[#This Row],[Hero1]:[Soldier3]])&amp;tbGroup[[#This Row],[Suffix]]</f>
        <v>三国-困难-盾兵+刺兵</v>
      </c>
      <c r="Q100" s="15" t="s">
        <v>40</v>
      </c>
      <c r="R100" s="15">
        <v>1</v>
      </c>
      <c r="S100" s="15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4"/>
      <c r="AI100" s="24"/>
      <c r="AJ100" s="24"/>
      <c r="AK100" s="24"/>
      <c r="AL100" s="24"/>
      <c r="AM100" s="24"/>
      <c r="AN100" s="24"/>
      <c r="AO100" s="24"/>
      <c r="AP100" s="24"/>
      <c r="AQ100" s="24"/>
    </row>
    <row r="101" spans="2:43">
      <c r="B101" s="1" t="s">
        <v>151</v>
      </c>
      <c r="C101" s="1" t="s">
        <v>35</v>
      </c>
      <c r="D101" s="1" t="s">
        <v>175</v>
      </c>
      <c r="G101" s="1">
        <v>3</v>
      </c>
      <c r="K101" s="1" t="s">
        <v>158</v>
      </c>
      <c r="L101" s="1" t="s">
        <v>159</v>
      </c>
      <c r="M101" s="1" t="s">
        <v>160</v>
      </c>
      <c r="N10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1" s="28"/>
      <c r="P101" s="26" t="str">
        <f>tbGroup[[#This Row],[Camp]]&amp;"-"&amp;tbGroup[[#This Row],[Difficulty]]&amp;"-"&amp;GET_GROUP_NAME(tbGroup[[#This Row],[IsBoss]],tbGroup[[#This Row],[Hero1]:[Soldier3]])&amp;tbGroup[[#This Row],[Suffix]]</f>
        <v>三国-困难-铁兵+盾兵+强兵</v>
      </c>
      <c r="Q101" s="15" t="s">
        <v>40</v>
      </c>
      <c r="R101" s="15">
        <v>2</v>
      </c>
      <c r="S101" s="15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4"/>
      <c r="AI101" s="24"/>
      <c r="AJ101" s="24"/>
      <c r="AK101" s="24"/>
      <c r="AL101" s="24"/>
      <c r="AM101" s="24"/>
      <c r="AN101" s="24"/>
      <c r="AO101" s="24"/>
      <c r="AP101" s="24"/>
      <c r="AQ101" s="24"/>
    </row>
    <row r="102" spans="2:43">
      <c r="B102" s="1" t="s">
        <v>151</v>
      </c>
      <c r="C102" s="1" t="s">
        <v>35</v>
      </c>
      <c r="D102" s="1" t="s">
        <v>175</v>
      </c>
      <c r="G102" s="1">
        <v>3</v>
      </c>
      <c r="K102" s="1" t="s">
        <v>158</v>
      </c>
      <c r="L102" s="1" t="s">
        <v>159</v>
      </c>
      <c r="M102" s="1" t="s">
        <v>161</v>
      </c>
      <c r="N10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2" s="28"/>
      <c r="P102" s="26" t="str">
        <f>tbGroup[[#This Row],[Camp]]&amp;"-"&amp;tbGroup[[#This Row],[Difficulty]]&amp;"-"&amp;GET_GROUP_NAME(tbGroup[[#This Row],[IsBoss]],tbGroup[[#This Row],[Hero1]:[Soldier3]])&amp;tbGroup[[#This Row],[Suffix]]</f>
        <v>三国-困难-铁兵+盾兵+炼兵</v>
      </c>
      <c r="Q102" s="15" t="s">
        <v>40</v>
      </c>
      <c r="R102" s="15">
        <v>2</v>
      </c>
      <c r="S102" s="15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4"/>
      <c r="AI102" s="24"/>
      <c r="AJ102" s="24"/>
      <c r="AK102" s="24"/>
      <c r="AL102" s="24"/>
      <c r="AM102" s="24"/>
      <c r="AN102" s="24"/>
      <c r="AO102" s="24"/>
      <c r="AP102" s="24"/>
      <c r="AQ102" s="24"/>
    </row>
    <row r="103" spans="2:43">
      <c r="B103" s="1" t="s">
        <v>151</v>
      </c>
      <c r="C103" s="1" t="s">
        <v>35</v>
      </c>
      <c r="D103" s="1" t="s">
        <v>175</v>
      </c>
      <c r="G103" s="1">
        <v>3</v>
      </c>
      <c r="K103" s="1" t="s">
        <v>158</v>
      </c>
      <c r="L103" s="1" t="s">
        <v>159</v>
      </c>
      <c r="M103" s="1" t="s">
        <v>162</v>
      </c>
      <c r="N10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3" s="28"/>
      <c r="P103" s="26" t="str">
        <f>tbGroup[[#This Row],[Camp]]&amp;"-"&amp;tbGroup[[#This Row],[Difficulty]]&amp;"-"&amp;GET_GROUP_NAME(tbGroup[[#This Row],[IsBoss]],tbGroup[[#This Row],[Hero1]:[Soldier3]])&amp;tbGroup[[#This Row],[Suffix]]</f>
        <v>三国-困难-铁兵+盾兵+法兵</v>
      </c>
      <c r="Q103" s="15" t="s">
        <v>40</v>
      </c>
      <c r="R103" s="15">
        <v>2</v>
      </c>
      <c r="S103" s="15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4"/>
      <c r="AI103" s="24"/>
      <c r="AJ103" s="24"/>
      <c r="AK103" s="24"/>
      <c r="AL103" s="24"/>
      <c r="AM103" s="24"/>
      <c r="AN103" s="24"/>
      <c r="AO103" s="24"/>
      <c r="AP103" s="24"/>
      <c r="AQ103" s="24"/>
    </row>
    <row r="104" spans="2:43">
      <c r="B104" s="1" t="s">
        <v>151</v>
      </c>
      <c r="C104" s="1" t="s">
        <v>35</v>
      </c>
      <c r="D104" s="1" t="s">
        <v>907</v>
      </c>
      <c r="G104" s="1">
        <v>3</v>
      </c>
      <c r="K104" s="1" t="s">
        <v>158</v>
      </c>
      <c r="L104" s="1" t="s">
        <v>159</v>
      </c>
      <c r="M104" s="1" t="s">
        <v>163</v>
      </c>
      <c r="N10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4" s="28"/>
      <c r="P104" s="26" t="str">
        <f>tbGroup[[#This Row],[Camp]]&amp;"-"&amp;tbGroup[[#This Row],[Difficulty]]&amp;"-"&amp;GET_GROUP_NAME(tbGroup[[#This Row],[IsBoss]],tbGroup[[#This Row],[Hero1]:[Soldier3]])&amp;tbGroup[[#This Row],[Suffix]]</f>
        <v>三国-困难-铁兵+盾兵+刺兵</v>
      </c>
      <c r="Q104" s="15" t="s">
        <v>40</v>
      </c>
      <c r="R104" s="15">
        <v>1</v>
      </c>
      <c r="S104" s="15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4"/>
      <c r="AI104" s="24"/>
      <c r="AJ104" s="24"/>
      <c r="AK104" s="24"/>
      <c r="AL104" s="24"/>
      <c r="AM104" s="24"/>
      <c r="AN104" s="24"/>
      <c r="AO104" s="24"/>
      <c r="AP104" s="24"/>
      <c r="AQ104" s="24"/>
    </row>
    <row r="105" spans="2:43">
      <c r="B105" s="1" t="s">
        <v>151</v>
      </c>
      <c r="C105" s="1" t="s">
        <v>35</v>
      </c>
      <c r="D105" s="1" t="s">
        <v>175</v>
      </c>
      <c r="G105" s="1">
        <v>3</v>
      </c>
      <c r="K105" s="1" t="s">
        <v>159</v>
      </c>
      <c r="L105" s="1" t="s">
        <v>160</v>
      </c>
      <c r="M105" s="1" t="s">
        <v>161</v>
      </c>
      <c r="N10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5" s="28"/>
      <c r="P105" s="26" t="str">
        <f>tbGroup[[#This Row],[Camp]]&amp;"-"&amp;tbGroup[[#This Row],[Difficulty]]&amp;"-"&amp;GET_GROUP_NAME(tbGroup[[#This Row],[IsBoss]],tbGroup[[#This Row],[Hero1]:[Soldier3]])&amp;tbGroup[[#This Row],[Suffix]]</f>
        <v>三国-困难-盾兵+强兵+炼兵</v>
      </c>
      <c r="Q105" s="15" t="s">
        <v>40</v>
      </c>
      <c r="R105" s="15">
        <v>2</v>
      </c>
      <c r="S105" s="15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4"/>
      <c r="AI105" s="24"/>
      <c r="AJ105" s="24"/>
      <c r="AK105" s="24"/>
      <c r="AL105" s="24"/>
      <c r="AM105" s="24"/>
      <c r="AN105" s="24"/>
      <c r="AO105" s="24"/>
      <c r="AP105" s="24"/>
      <c r="AQ105" s="24"/>
    </row>
    <row r="106" spans="2:43">
      <c r="B106" s="1" t="s">
        <v>151</v>
      </c>
      <c r="C106" s="1" t="s">
        <v>35</v>
      </c>
      <c r="D106" s="1" t="s">
        <v>175</v>
      </c>
      <c r="G106" s="1">
        <v>3</v>
      </c>
      <c r="K106" s="1" t="s">
        <v>159</v>
      </c>
      <c r="L106" s="1" t="s">
        <v>160</v>
      </c>
      <c r="M106" s="1" t="s">
        <v>162</v>
      </c>
      <c r="N10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6" s="28"/>
      <c r="P106" s="26" t="str">
        <f>tbGroup[[#This Row],[Camp]]&amp;"-"&amp;tbGroup[[#This Row],[Difficulty]]&amp;"-"&amp;GET_GROUP_NAME(tbGroup[[#This Row],[IsBoss]],tbGroup[[#This Row],[Hero1]:[Soldier3]])&amp;tbGroup[[#This Row],[Suffix]]</f>
        <v>三国-困难-盾兵+强兵+法兵</v>
      </c>
      <c r="Q106" s="15" t="s">
        <v>40</v>
      </c>
      <c r="R106" s="15">
        <v>2</v>
      </c>
      <c r="S106" s="15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4"/>
      <c r="AI106" s="24"/>
      <c r="AJ106" s="24"/>
      <c r="AK106" s="24"/>
      <c r="AL106" s="24"/>
      <c r="AM106" s="24"/>
      <c r="AN106" s="24"/>
      <c r="AO106" s="24"/>
      <c r="AP106" s="24"/>
      <c r="AQ106" s="24"/>
    </row>
    <row r="107" spans="2:43">
      <c r="B107" s="1" t="s">
        <v>151</v>
      </c>
      <c r="C107" s="1" t="s">
        <v>35</v>
      </c>
      <c r="D107" s="1" t="s">
        <v>175</v>
      </c>
      <c r="G107" s="1">
        <v>3</v>
      </c>
      <c r="K107" s="1" t="s">
        <v>159</v>
      </c>
      <c r="L107" s="1" t="s">
        <v>161</v>
      </c>
      <c r="M107" s="1" t="s">
        <v>162</v>
      </c>
      <c r="N10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7" s="28"/>
      <c r="P107" s="26" t="str">
        <f>tbGroup[[#This Row],[Camp]]&amp;"-"&amp;tbGroup[[#This Row],[Difficulty]]&amp;"-"&amp;GET_GROUP_NAME(tbGroup[[#This Row],[IsBoss]],tbGroup[[#This Row],[Hero1]:[Soldier3]])&amp;tbGroup[[#This Row],[Suffix]]</f>
        <v>三国-困难-盾兵+炼兵+法兵</v>
      </c>
      <c r="Q107" s="15" t="s">
        <v>40</v>
      </c>
      <c r="R107" s="15">
        <v>2</v>
      </c>
      <c r="S107" s="15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4"/>
      <c r="AI107" s="24"/>
      <c r="AJ107" s="24"/>
      <c r="AK107" s="24"/>
      <c r="AL107" s="24"/>
      <c r="AM107" s="24"/>
      <c r="AN107" s="24"/>
      <c r="AO107" s="24"/>
      <c r="AP107" s="24"/>
      <c r="AQ107" s="24"/>
    </row>
    <row r="108" spans="2:43">
      <c r="B108" s="1" t="s">
        <v>151</v>
      </c>
      <c r="C108" s="1" t="s">
        <v>35</v>
      </c>
      <c r="D108" s="1" t="s">
        <v>907</v>
      </c>
      <c r="G108" s="1">
        <v>3</v>
      </c>
      <c r="K108" s="1" t="s">
        <v>159</v>
      </c>
      <c r="L108" s="1" t="s">
        <v>160</v>
      </c>
      <c r="M108" s="1" t="s">
        <v>163</v>
      </c>
      <c r="N10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8" s="28"/>
      <c r="P108" s="26" t="str">
        <f>tbGroup[[#This Row],[Camp]]&amp;"-"&amp;tbGroup[[#This Row],[Difficulty]]&amp;"-"&amp;GET_GROUP_NAME(tbGroup[[#This Row],[IsBoss]],tbGroup[[#This Row],[Hero1]:[Soldier3]])&amp;tbGroup[[#This Row],[Suffix]]</f>
        <v>三国-困难-盾兵+强兵+刺兵</v>
      </c>
      <c r="Q108" s="15" t="s">
        <v>40</v>
      </c>
      <c r="R108" s="15">
        <v>1</v>
      </c>
      <c r="S108" s="15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4"/>
      <c r="AI108" s="24"/>
      <c r="AJ108" s="24"/>
      <c r="AK108" s="24"/>
      <c r="AL108" s="24"/>
      <c r="AM108" s="24"/>
      <c r="AN108" s="24"/>
      <c r="AO108" s="24"/>
      <c r="AP108" s="24"/>
      <c r="AQ108" s="24"/>
    </row>
    <row r="109" spans="2:43">
      <c r="B109" s="1" t="s">
        <v>151</v>
      </c>
      <c r="C109" s="1" t="s">
        <v>35</v>
      </c>
      <c r="D109" s="1" t="s">
        <v>907</v>
      </c>
      <c r="G109" s="1">
        <v>3</v>
      </c>
      <c r="K109" s="1" t="s">
        <v>159</v>
      </c>
      <c r="L109" s="1" t="s">
        <v>161</v>
      </c>
      <c r="M109" s="1" t="s">
        <v>163</v>
      </c>
      <c r="N10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9" s="28"/>
      <c r="P109" s="26" t="str">
        <f>tbGroup[[#This Row],[Camp]]&amp;"-"&amp;tbGroup[[#This Row],[Difficulty]]&amp;"-"&amp;GET_GROUP_NAME(tbGroup[[#This Row],[IsBoss]],tbGroup[[#This Row],[Hero1]:[Soldier3]])&amp;tbGroup[[#This Row],[Suffix]]</f>
        <v>三国-困难-盾兵+炼兵+刺兵</v>
      </c>
      <c r="Q109" s="15" t="s">
        <v>40</v>
      </c>
      <c r="R109" s="15">
        <v>1</v>
      </c>
      <c r="S109" s="15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4"/>
      <c r="AI109" s="24"/>
      <c r="AJ109" s="24"/>
      <c r="AK109" s="24"/>
      <c r="AL109" s="24"/>
      <c r="AM109" s="24"/>
      <c r="AN109" s="24"/>
      <c r="AO109" s="24"/>
      <c r="AP109" s="24"/>
      <c r="AQ109" s="24"/>
    </row>
    <row r="110" spans="2:43">
      <c r="B110" s="1" t="s">
        <v>151</v>
      </c>
      <c r="C110" s="1" t="s">
        <v>35</v>
      </c>
      <c r="D110" s="1" t="s">
        <v>907</v>
      </c>
      <c r="G110" s="1">
        <v>3</v>
      </c>
      <c r="K110" s="1" t="s">
        <v>159</v>
      </c>
      <c r="L110" s="1" t="s">
        <v>162</v>
      </c>
      <c r="M110" s="1" t="s">
        <v>163</v>
      </c>
      <c r="N11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0" s="28"/>
      <c r="P110" s="26" t="str">
        <f>tbGroup[[#This Row],[Camp]]&amp;"-"&amp;tbGroup[[#This Row],[Difficulty]]&amp;"-"&amp;GET_GROUP_NAME(tbGroup[[#This Row],[IsBoss]],tbGroup[[#This Row],[Hero1]:[Soldier3]])&amp;tbGroup[[#This Row],[Suffix]]</f>
        <v>三国-困难-盾兵+法兵+刺兵</v>
      </c>
      <c r="Q110" s="15" t="s">
        <v>40</v>
      </c>
      <c r="R110" s="15">
        <v>1</v>
      </c>
      <c r="S110" s="15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4"/>
      <c r="AI110" s="24"/>
      <c r="AJ110" s="24"/>
      <c r="AK110" s="24"/>
      <c r="AL110" s="24"/>
      <c r="AM110" s="24"/>
      <c r="AN110" s="24"/>
      <c r="AO110" s="24"/>
      <c r="AP110" s="24"/>
      <c r="AQ110" s="24"/>
    </row>
    <row r="111" spans="2:43">
      <c r="B111" s="1" t="s">
        <v>151</v>
      </c>
      <c r="C111" s="1" t="s">
        <v>35</v>
      </c>
      <c r="D111" s="1" t="s">
        <v>175</v>
      </c>
      <c r="G111" s="1">
        <v>3</v>
      </c>
      <c r="K111" s="1" t="s">
        <v>158</v>
      </c>
      <c r="L111" s="1" t="s">
        <v>160</v>
      </c>
      <c r="M111" s="1" t="s">
        <v>161</v>
      </c>
      <c r="N11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1" s="28"/>
      <c r="P111" s="26" t="str">
        <f>tbGroup[[#This Row],[Camp]]&amp;"-"&amp;tbGroup[[#This Row],[Difficulty]]&amp;"-"&amp;GET_GROUP_NAME(tbGroup[[#This Row],[IsBoss]],tbGroup[[#This Row],[Hero1]:[Soldier3]])&amp;tbGroup[[#This Row],[Suffix]]</f>
        <v>三国-困难-铁兵+强兵+炼兵</v>
      </c>
      <c r="Q111" s="15" t="s">
        <v>40</v>
      </c>
      <c r="R111" s="15">
        <v>2</v>
      </c>
      <c r="S111" s="15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4"/>
      <c r="AI111" s="24"/>
      <c r="AJ111" s="24"/>
      <c r="AK111" s="24"/>
      <c r="AL111" s="24"/>
      <c r="AM111" s="24"/>
      <c r="AN111" s="24"/>
      <c r="AO111" s="24"/>
      <c r="AP111" s="24"/>
      <c r="AQ111" s="24"/>
    </row>
    <row r="112" spans="2:43">
      <c r="B112" s="1" t="s">
        <v>151</v>
      </c>
      <c r="C112" s="1" t="s">
        <v>35</v>
      </c>
      <c r="D112" s="1" t="s">
        <v>175</v>
      </c>
      <c r="G112" s="1">
        <v>3</v>
      </c>
      <c r="K112" s="1" t="s">
        <v>158</v>
      </c>
      <c r="L112" s="1" t="s">
        <v>160</v>
      </c>
      <c r="M112" s="1" t="s">
        <v>162</v>
      </c>
      <c r="N11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2" s="28"/>
      <c r="P112" s="26" t="str">
        <f>tbGroup[[#This Row],[Camp]]&amp;"-"&amp;tbGroup[[#This Row],[Difficulty]]&amp;"-"&amp;GET_GROUP_NAME(tbGroup[[#This Row],[IsBoss]],tbGroup[[#This Row],[Hero1]:[Soldier3]])&amp;tbGroup[[#This Row],[Suffix]]</f>
        <v>三国-困难-铁兵+强兵+法兵</v>
      </c>
      <c r="Q112" s="15" t="s">
        <v>40</v>
      </c>
      <c r="R112" s="15">
        <v>2</v>
      </c>
      <c r="S112" s="15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4"/>
      <c r="AI112" s="24"/>
      <c r="AJ112" s="24"/>
      <c r="AK112" s="24"/>
      <c r="AL112" s="24"/>
      <c r="AM112" s="24"/>
      <c r="AN112" s="24"/>
      <c r="AO112" s="24"/>
      <c r="AP112" s="24"/>
      <c r="AQ112" s="24"/>
    </row>
    <row r="113" spans="2:43">
      <c r="B113" s="1" t="s">
        <v>151</v>
      </c>
      <c r="C113" s="1" t="s">
        <v>35</v>
      </c>
      <c r="D113" s="1" t="s">
        <v>175</v>
      </c>
      <c r="G113" s="1">
        <v>3</v>
      </c>
      <c r="K113" s="1" t="s">
        <v>158</v>
      </c>
      <c r="L113" s="1" t="s">
        <v>161</v>
      </c>
      <c r="M113" s="1" t="s">
        <v>162</v>
      </c>
      <c r="N11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3" s="28"/>
      <c r="P113" s="26" t="str">
        <f>tbGroup[[#This Row],[Camp]]&amp;"-"&amp;tbGroup[[#This Row],[Difficulty]]&amp;"-"&amp;GET_GROUP_NAME(tbGroup[[#This Row],[IsBoss]],tbGroup[[#This Row],[Hero1]:[Soldier3]])&amp;tbGroup[[#This Row],[Suffix]]</f>
        <v>三国-困难-铁兵+炼兵+法兵</v>
      </c>
      <c r="Q113" s="15" t="s">
        <v>40</v>
      </c>
      <c r="R113" s="15">
        <v>2</v>
      </c>
      <c r="S113" s="15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4"/>
      <c r="AI113" s="24"/>
      <c r="AJ113" s="24"/>
      <c r="AK113" s="24"/>
      <c r="AL113" s="24"/>
      <c r="AM113" s="24"/>
      <c r="AN113" s="24"/>
      <c r="AO113" s="24"/>
      <c r="AP113" s="24"/>
      <c r="AQ113" s="24"/>
    </row>
    <row r="114" spans="2:43">
      <c r="B114" s="1" t="s">
        <v>151</v>
      </c>
      <c r="C114" s="1" t="s">
        <v>35</v>
      </c>
      <c r="D114" s="1" t="s">
        <v>907</v>
      </c>
      <c r="G114" s="1">
        <v>3</v>
      </c>
      <c r="K114" s="1" t="s">
        <v>158</v>
      </c>
      <c r="L114" s="1" t="s">
        <v>160</v>
      </c>
      <c r="M114" s="1" t="s">
        <v>163</v>
      </c>
      <c r="N11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4" s="28"/>
      <c r="P114" s="26" t="str">
        <f>tbGroup[[#This Row],[Camp]]&amp;"-"&amp;tbGroup[[#This Row],[Difficulty]]&amp;"-"&amp;GET_GROUP_NAME(tbGroup[[#This Row],[IsBoss]],tbGroup[[#This Row],[Hero1]:[Soldier3]])&amp;tbGroup[[#This Row],[Suffix]]</f>
        <v>三国-困难-铁兵+强兵+刺兵</v>
      </c>
      <c r="Q114" s="15" t="s">
        <v>40</v>
      </c>
      <c r="R114" s="15">
        <v>1</v>
      </c>
      <c r="S114" s="15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4"/>
      <c r="AI114" s="24"/>
      <c r="AJ114" s="24"/>
      <c r="AK114" s="24"/>
      <c r="AL114" s="24"/>
      <c r="AM114" s="24"/>
      <c r="AN114" s="24"/>
      <c r="AO114" s="24"/>
      <c r="AP114" s="24"/>
      <c r="AQ114" s="24"/>
    </row>
    <row r="115" spans="2:43">
      <c r="B115" s="1" t="s">
        <v>151</v>
      </c>
      <c r="C115" s="1" t="s">
        <v>35</v>
      </c>
      <c r="D115" s="1" t="s">
        <v>907</v>
      </c>
      <c r="G115" s="1">
        <v>3</v>
      </c>
      <c r="K115" s="1" t="s">
        <v>158</v>
      </c>
      <c r="L115" s="1" t="s">
        <v>161</v>
      </c>
      <c r="M115" s="1" t="s">
        <v>163</v>
      </c>
      <c r="N11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5" s="28"/>
      <c r="P115" s="26" t="str">
        <f>tbGroup[[#This Row],[Camp]]&amp;"-"&amp;tbGroup[[#This Row],[Difficulty]]&amp;"-"&amp;GET_GROUP_NAME(tbGroup[[#This Row],[IsBoss]],tbGroup[[#This Row],[Hero1]:[Soldier3]])&amp;tbGroup[[#This Row],[Suffix]]</f>
        <v>三国-困难-铁兵+炼兵+刺兵</v>
      </c>
      <c r="Q115" s="15" t="s">
        <v>40</v>
      </c>
      <c r="R115" s="15">
        <v>1</v>
      </c>
      <c r="S115" s="15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4"/>
      <c r="AI115" s="24"/>
      <c r="AJ115" s="24"/>
      <c r="AK115" s="24"/>
      <c r="AL115" s="24"/>
      <c r="AM115" s="24"/>
      <c r="AN115" s="24"/>
      <c r="AO115" s="24"/>
      <c r="AP115" s="24"/>
      <c r="AQ115" s="24"/>
    </row>
    <row r="116" spans="2:43">
      <c r="B116" s="1" t="s">
        <v>151</v>
      </c>
      <c r="C116" s="1" t="s">
        <v>35</v>
      </c>
      <c r="D116" s="1" t="s">
        <v>907</v>
      </c>
      <c r="G116" s="1">
        <v>3</v>
      </c>
      <c r="K116" s="1" t="s">
        <v>158</v>
      </c>
      <c r="L116" s="1" t="s">
        <v>162</v>
      </c>
      <c r="M116" s="1" t="s">
        <v>163</v>
      </c>
      <c r="N11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6" s="28"/>
      <c r="P116" s="26" t="str">
        <f>tbGroup[[#This Row],[Camp]]&amp;"-"&amp;tbGroup[[#This Row],[Difficulty]]&amp;"-"&amp;GET_GROUP_NAME(tbGroup[[#This Row],[IsBoss]],tbGroup[[#This Row],[Hero1]:[Soldier3]])&amp;tbGroup[[#This Row],[Suffix]]</f>
        <v>三国-困难-铁兵+法兵+刺兵</v>
      </c>
      <c r="Q116" s="15" t="s">
        <v>40</v>
      </c>
      <c r="R116" s="15">
        <v>1</v>
      </c>
      <c r="S116" s="15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4"/>
      <c r="AI116" s="24"/>
      <c r="AJ116" s="24"/>
      <c r="AK116" s="24"/>
      <c r="AL116" s="24"/>
      <c r="AM116" s="24"/>
      <c r="AN116" s="24"/>
      <c r="AO116" s="24"/>
      <c r="AP116" s="24"/>
      <c r="AQ116" s="24"/>
    </row>
    <row r="117" spans="2:43">
      <c r="B117" s="1" t="s">
        <v>151</v>
      </c>
      <c r="C117" s="1" t="s">
        <v>35</v>
      </c>
      <c r="D117" s="1" t="s">
        <v>177</v>
      </c>
      <c r="F117" s="1">
        <v>1</v>
      </c>
      <c r="G117" s="1">
        <v>1</v>
      </c>
      <c r="H117" s="1" t="s">
        <v>152</v>
      </c>
      <c r="K117" s="1" t="s">
        <v>160</v>
      </c>
      <c r="N11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7" s="29"/>
      <c r="P117" s="27" t="str">
        <f>tbGroup[[#This Row],[Camp]]&amp;"-"&amp;tbGroup[[#This Row],[Difficulty]]&amp;"-"&amp;GET_GROUP_NAME(tbGroup[[#This Row],[IsBoss]],tbGroup[[#This Row],[Hero1]:[Soldier3]])&amp;tbGroup[[#This Row],[Suffix]]</f>
        <v>三国-困难-铁英+强兵</v>
      </c>
      <c r="Q117" s="15" t="s">
        <v>40</v>
      </c>
      <c r="R117" s="15">
        <v>2</v>
      </c>
      <c r="S117" s="15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4"/>
      <c r="AI117" s="24"/>
      <c r="AJ117" s="24"/>
      <c r="AK117" s="24"/>
      <c r="AL117" s="24"/>
      <c r="AM117" s="24"/>
      <c r="AN117" s="24"/>
      <c r="AO117" s="24"/>
      <c r="AP117" s="24"/>
      <c r="AQ117" s="24"/>
    </row>
    <row r="118" spans="2:43">
      <c r="B118" s="1" t="s">
        <v>151</v>
      </c>
      <c r="C118" s="1" t="s">
        <v>35</v>
      </c>
      <c r="D118" s="1" t="s">
        <v>177</v>
      </c>
      <c r="F118" s="1">
        <v>1</v>
      </c>
      <c r="G118" s="1">
        <v>1</v>
      </c>
      <c r="H118" s="1" t="s">
        <v>152</v>
      </c>
      <c r="K118" s="1" t="s">
        <v>161</v>
      </c>
      <c r="N11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8" s="29"/>
      <c r="P118" s="27" t="str">
        <f>tbGroup[[#This Row],[Camp]]&amp;"-"&amp;tbGroup[[#This Row],[Difficulty]]&amp;"-"&amp;GET_GROUP_NAME(tbGroup[[#This Row],[IsBoss]],tbGroup[[#This Row],[Hero1]:[Soldier3]])&amp;tbGroup[[#This Row],[Suffix]]</f>
        <v>三国-困难-铁英+炼兵</v>
      </c>
      <c r="Q118" s="15" t="s">
        <v>40</v>
      </c>
      <c r="R118" s="15">
        <v>2</v>
      </c>
      <c r="S118" s="15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4"/>
      <c r="AI118" s="24"/>
      <c r="AJ118" s="24"/>
      <c r="AK118" s="24"/>
      <c r="AL118" s="24"/>
      <c r="AM118" s="24"/>
      <c r="AN118" s="24"/>
      <c r="AO118" s="24"/>
      <c r="AP118" s="24"/>
      <c r="AQ118" s="24"/>
    </row>
    <row r="119" spans="2:43">
      <c r="B119" s="1" t="s">
        <v>151</v>
      </c>
      <c r="C119" s="1" t="s">
        <v>35</v>
      </c>
      <c r="D119" s="1" t="s">
        <v>177</v>
      </c>
      <c r="F119" s="1">
        <v>1</v>
      </c>
      <c r="G119" s="1">
        <v>1</v>
      </c>
      <c r="H119" s="1" t="s">
        <v>152</v>
      </c>
      <c r="K119" s="1" t="s">
        <v>162</v>
      </c>
      <c r="N11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9" s="29"/>
      <c r="P119" s="27" t="str">
        <f>tbGroup[[#This Row],[Camp]]&amp;"-"&amp;tbGroup[[#This Row],[Difficulty]]&amp;"-"&amp;GET_GROUP_NAME(tbGroup[[#This Row],[IsBoss]],tbGroup[[#This Row],[Hero1]:[Soldier3]])&amp;tbGroup[[#This Row],[Suffix]]</f>
        <v>三国-困难-铁英+法兵</v>
      </c>
      <c r="Q119" s="15" t="s">
        <v>40</v>
      </c>
      <c r="R119" s="15">
        <v>2</v>
      </c>
      <c r="S119" s="15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4"/>
      <c r="AI119" s="24"/>
      <c r="AJ119" s="24"/>
      <c r="AK119" s="24"/>
      <c r="AL119" s="24"/>
      <c r="AM119" s="24"/>
      <c r="AN119" s="24"/>
      <c r="AO119" s="24"/>
      <c r="AP119" s="24"/>
      <c r="AQ119" s="24"/>
    </row>
    <row r="120" spans="2:43">
      <c r="B120" s="1" t="s">
        <v>151</v>
      </c>
      <c r="C120" s="1" t="s">
        <v>35</v>
      </c>
      <c r="D120" s="1" t="s">
        <v>177</v>
      </c>
      <c r="F120" s="1">
        <v>1</v>
      </c>
      <c r="G120" s="1">
        <v>1</v>
      </c>
      <c r="H120" s="1" t="s">
        <v>152</v>
      </c>
      <c r="K120" s="16" t="s">
        <v>911</v>
      </c>
      <c r="N12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0" s="29"/>
      <c r="P120" s="27" t="str">
        <f>tbGroup[[#This Row],[Camp]]&amp;"-"&amp;tbGroup[[#This Row],[Difficulty]]&amp;"-"&amp;GET_GROUP_NAME(tbGroup[[#This Row],[IsBoss]],tbGroup[[#This Row],[Hero1]:[Soldier3]])&amp;tbGroup[[#This Row],[Suffix]]</f>
        <v>三国-困难-铁英+刺兵</v>
      </c>
      <c r="Q120" s="15" t="s">
        <v>40</v>
      </c>
      <c r="R120" s="15">
        <v>1</v>
      </c>
      <c r="S120" s="15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  <c r="AG120" s="24"/>
      <c r="AH120" s="24"/>
      <c r="AI120" s="24"/>
      <c r="AJ120" s="24"/>
      <c r="AK120" s="24"/>
      <c r="AL120" s="24"/>
      <c r="AM120" s="24"/>
      <c r="AN120" s="24"/>
      <c r="AO120" s="24"/>
      <c r="AP120" s="24"/>
      <c r="AQ120" s="24"/>
    </row>
    <row r="121" spans="2:43">
      <c r="B121" s="1" t="s">
        <v>151</v>
      </c>
      <c r="C121" s="1" t="s">
        <v>35</v>
      </c>
      <c r="D121" s="1" t="s">
        <v>177</v>
      </c>
      <c r="F121" s="1">
        <v>1</v>
      </c>
      <c r="G121" s="1">
        <v>1</v>
      </c>
      <c r="H121" s="1" t="s">
        <v>153</v>
      </c>
      <c r="K121" s="1" t="s">
        <v>160</v>
      </c>
      <c r="N12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1" s="29"/>
      <c r="P121" s="27" t="str">
        <f>tbGroup[[#This Row],[Camp]]&amp;"-"&amp;tbGroup[[#This Row],[Difficulty]]&amp;"-"&amp;GET_GROUP_NAME(tbGroup[[#This Row],[IsBoss]],tbGroup[[#This Row],[Hero1]:[Soldier3]])&amp;tbGroup[[#This Row],[Suffix]]</f>
        <v>三国-困难-盾英+强兵</v>
      </c>
      <c r="Q121" s="15" t="s">
        <v>40</v>
      </c>
      <c r="R121" s="15">
        <v>2</v>
      </c>
      <c r="S121" s="15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24"/>
      <c r="AG121" s="24"/>
      <c r="AH121" s="24"/>
      <c r="AI121" s="24"/>
      <c r="AJ121" s="24"/>
      <c r="AK121" s="24"/>
      <c r="AL121" s="24"/>
      <c r="AM121" s="24"/>
      <c r="AN121" s="24"/>
      <c r="AO121" s="24"/>
      <c r="AP121" s="24"/>
      <c r="AQ121" s="24"/>
    </row>
    <row r="122" spans="2:43">
      <c r="B122" s="1" t="s">
        <v>151</v>
      </c>
      <c r="C122" s="1" t="s">
        <v>35</v>
      </c>
      <c r="D122" s="1" t="s">
        <v>177</v>
      </c>
      <c r="F122" s="1">
        <v>1</v>
      </c>
      <c r="G122" s="1">
        <v>1</v>
      </c>
      <c r="H122" s="1" t="s">
        <v>153</v>
      </c>
      <c r="K122" s="1" t="s">
        <v>161</v>
      </c>
      <c r="N12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2" s="29"/>
      <c r="P122" s="27" t="str">
        <f>tbGroup[[#This Row],[Camp]]&amp;"-"&amp;tbGroup[[#This Row],[Difficulty]]&amp;"-"&amp;GET_GROUP_NAME(tbGroup[[#This Row],[IsBoss]],tbGroup[[#This Row],[Hero1]:[Soldier3]])&amp;tbGroup[[#This Row],[Suffix]]</f>
        <v>三国-困难-盾英+炼兵</v>
      </c>
      <c r="Q122" s="15" t="s">
        <v>40</v>
      </c>
      <c r="R122" s="15">
        <v>2</v>
      </c>
      <c r="S122" s="15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4"/>
      <c r="AI122" s="24"/>
      <c r="AJ122" s="24"/>
      <c r="AK122" s="24"/>
      <c r="AL122" s="24"/>
      <c r="AM122" s="24"/>
      <c r="AN122" s="24"/>
      <c r="AO122" s="24"/>
      <c r="AP122" s="24"/>
      <c r="AQ122" s="24"/>
    </row>
    <row r="123" spans="2:43">
      <c r="B123" s="1" t="s">
        <v>151</v>
      </c>
      <c r="C123" s="1" t="s">
        <v>35</v>
      </c>
      <c r="D123" s="1" t="s">
        <v>177</v>
      </c>
      <c r="F123" s="1">
        <v>1</v>
      </c>
      <c r="G123" s="1">
        <v>1</v>
      </c>
      <c r="H123" s="1" t="s">
        <v>153</v>
      </c>
      <c r="K123" s="1" t="s">
        <v>162</v>
      </c>
      <c r="N12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3" s="29"/>
      <c r="P123" s="27" t="str">
        <f>tbGroup[[#This Row],[Camp]]&amp;"-"&amp;tbGroup[[#This Row],[Difficulty]]&amp;"-"&amp;GET_GROUP_NAME(tbGroup[[#This Row],[IsBoss]],tbGroup[[#This Row],[Hero1]:[Soldier3]])&amp;tbGroup[[#This Row],[Suffix]]</f>
        <v>三国-困难-盾英+法兵</v>
      </c>
      <c r="Q123" s="15" t="s">
        <v>40</v>
      </c>
      <c r="R123" s="15">
        <v>2</v>
      </c>
      <c r="S123" s="15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  <c r="AF123" s="24"/>
      <c r="AG123" s="24"/>
      <c r="AH123" s="24"/>
      <c r="AI123" s="24"/>
      <c r="AJ123" s="24"/>
      <c r="AK123" s="24"/>
      <c r="AL123" s="24"/>
      <c r="AM123" s="24"/>
      <c r="AN123" s="24"/>
      <c r="AO123" s="24"/>
      <c r="AP123" s="24"/>
      <c r="AQ123" s="24"/>
    </row>
    <row r="124" spans="2:43">
      <c r="B124" s="1" t="s">
        <v>151</v>
      </c>
      <c r="C124" s="1" t="s">
        <v>35</v>
      </c>
      <c r="D124" s="1" t="s">
        <v>177</v>
      </c>
      <c r="F124" s="1">
        <v>1</v>
      </c>
      <c r="G124" s="1">
        <v>1</v>
      </c>
      <c r="H124" s="1" t="s">
        <v>153</v>
      </c>
      <c r="K124" s="16" t="s">
        <v>911</v>
      </c>
      <c r="N12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4" s="29"/>
      <c r="P124" s="27" t="str">
        <f>tbGroup[[#This Row],[Camp]]&amp;"-"&amp;tbGroup[[#This Row],[Difficulty]]&amp;"-"&amp;GET_GROUP_NAME(tbGroup[[#This Row],[IsBoss]],tbGroup[[#This Row],[Hero1]:[Soldier3]])&amp;tbGroup[[#This Row],[Suffix]]</f>
        <v>三国-困难-盾英+刺兵</v>
      </c>
      <c r="Q124" s="15" t="s">
        <v>40</v>
      </c>
      <c r="R124" s="15">
        <v>1</v>
      </c>
      <c r="S124" s="15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  <c r="AF124" s="24"/>
      <c r="AG124" s="24"/>
      <c r="AH124" s="24"/>
      <c r="AI124" s="24"/>
      <c r="AJ124" s="24"/>
      <c r="AK124" s="24"/>
      <c r="AL124" s="24"/>
      <c r="AM124" s="24"/>
      <c r="AN124" s="24"/>
      <c r="AO124" s="24"/>
      <c r="AP124" s="24"/>
      <c r="AQ124" s="24"/>
    </row>
    <row r="125" spans="2:43">
      <c r="B125" s="1" t="s">
        <v>151</v>
      </c>
      <c r="C125" s="1" t="s">
        <v>35</v>
      </c>
      <c r="D125" s="3" t="s">
        <v>189</v>
      </c>
      <c r="E125" s="1" t="b">
        <v>1</v>
      </c>
      <c r="F125" s="1">
        <v>1</v>
      </c>
      <c r="G125" s="1">
        <v>1</v>
      </c>
      <c r="H125" s="1" t="s">
        <v>152</v>
      </c>
      <c r="K125" s="1" t="s">
        <v>160</v>
      </c>
      <c r="N12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5" s="29"/>
      <c r="P125" s="27" t="str">
        <f>tbGroup[[#This Row],[Camp]]&amp;"-"&amp;tbGroup[[#This Row],[Difficulty]]&amp;"-"&amp;GET_GROUP_NAME(tbGroup[[#This Row],[IsBoss]],tbGroup[[#This Row],[Hero1]:[Soldier3]])&amp;tbGroup[[#This Row],[Suffix]]</f>
        <v>三国-困难-[B]铁英+强兵</v>
      </c>
      <c r="Q125" s="15" t="s">
        <v>40</v>
      </c>
      <c r="R125" s="15">
        <v>2</v>
      </c>
      <c r="S125" s="15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  <c r="AF125" s="24"/>
      <c r="AG125" s="24"/>
      <c r="AH125" s="24"/>
      <c r="AI125" s="24"/>
      <c r="AJ125" s="24"/>
      <c r="AK125" s="24"/>
      <c r="AL125" s="24"/>
      <c r="AM125" s="24"/>
      <c r="AN125" s="24"/>
      <c r="AO125" s="24"/>
      <c r="AP125" s="24"/>
      <c r="AQ125" s="24"/>
    </row>
    <row r="126" spans="2:43">
      <c r="B126" s="1" t="s">
        <v>151</v>
      </c>
      <c r="C126" s="1" t="s">
        <v>35</v>
      </c>
      <c r="D126" s="3" t="s">
        <v>189</v>
      </c>
      <c r="E126" s="1" t="b">
        <v>1</v>
      </c>
      <c r="F126" s="1">
        <v>1</v>
      </c>
      <c r="G126" s="1">
        <v>1</v>
      </c>
      <c r="H126" s="1" t="s">
        <v>152</v>
      </c>
      <c r="K126" s="1" t="s">
        <v>161</v>
      </c>
      <c r="N12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6" s="29"/>
      <c r="P126" s="27" t="str">
        <f>tbGroup[[#This Row],[Camp]]&amp;"-"&amp;tbGroup[[#This Row],[Difficulty]]&amp;"-"&amp;GET_GROUP_NAME(tbGroup[[#This Row],[IsBoss]],tbGroup[[#This Row],[Hero1]:[Soldier3]])&amp;tbGroup[[#This Row],[Suffix]]</f>
        <v>三国-困难-[B]铁英+炼兵</v>
      </c>
      <c r="Q126" s="15" t="s">
        <v>40</v>
      </c>
      <c r="R126" s="15">
        <v>2</v>
      </c>
      <c r="S126" s="15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24"/>
      <c r="AG126" s="24"/>
      <c r="AH126" s="24"/>
      <c r="AI126" s="24"/>
      <c r="AJ126" s="24"/>
      <c r="AK126" s="24"/>
      <c r="AL126" s="24"/>
      <c r="AM126" s="24"/>
      <c r="AN126" s="24"/>
      <c r="AO126" s="24"/>
      <c r="AP126" s="24"/>
      <c r="AQ126" s="24"/>
    </row>
    <row r="127" spans="2:43">
      <c r="B127" s="1" t="s">
        <v>151</v>
      </c>
      <c r="C127" s="1" t="s">
        <v>35</v>
      </c>
      <c r="D127" s="3" t="s">
        <v>189</v>
      </c>
      <c r="E127" s="1" t="b">
        <v>1</v>
      </c>
      <c r="F127" s="1">
        <v>1</v>
      </c>
      <c r="G127" s="1">
        <v>1</v>
      </c>
      <c r="H127" s="1" t="s">
        <v>152</v>
      </c>
      <c r="K127" s="1" t="s">
        <v>162</v>
      </c>
      <c r="N12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7" s="29"/>
      <c r="P127" s="27" t="str">
        <f>tbGroup[[#This Row],[Camp]]&amp;"-"&amp;tbGroup[[#This Row],[Difficulty]]&amp;"-"&amp;GET_GROUP_NAME(tbGroup[[#This Row],[IsBoss]],tbGroup[[#This Row],[Hero1]:[Soldier3]])&amp;tbGroup[[#This Row],[Suffix]]</f>
        <v>三国-困难-[B]铁英+法兵</v>
      </c>
      <c r="Q127" s="15" t="s">
        <v>40</v>
      </c>
      <c r="R127" s="15">
        <v>2</v>
      </c>
      <c r="S127" s="15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24"/>
      <c r="AG127" s="24"/>
      <c r="AH127" s="24"/>
      <c r="AI127" s="24"/>
      <c r="AJ127" s="24"/>
      <c r="AK127" s="24"/>
      <c r="AL127" s="24"/>
      <c r="AM127" s="24"/>
      <c r="AN127" s="24"/>
      <c r="AO127" s="24"/>
      <c r="AP127" s="24"/>
      <c r="AQ127" s="24"/>
    </row>
    <row r="128" spans="2:43">
      <c r="B128" s="1" t="s">
        <v>151</v>
      </c>
      <c r="C128" s="1" t="s">
        <v>35</v>
      </c>
      <c r="D128" s="3" t="s">
        <v>189</v>
      </c>
      <c r="E128" s="1" t="b">
        <v>1</v>
      </c>
      <c r="F128" s="1">
        <v>1</v>
      </c>
      <c r="G128" s="1">
        <v>1</v>
      </c>
      <c r="H128" s="1" t="s">
        <v>152</v>
      </c>
      <c r="K128" s="16" t="s">
        <v>911</v>
      </c>
      <c r="N12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8" s="29"/>
      <c r="P128" s="27" t="str">
        <f>tbGroup[[#This Row],[Camp]]&amp;"-"&amp;tbGroup[[#This Row],[Difficulty]]&amp;"-"&amp;GET_GROUP_NAME(tbGroup[[#This Row],[IsBoss]],tbGroup[[#This Row],[Hero1]:[Soldier3]])&amp;tbGroup[[#This Row],[Suffix]]</f>
        <v>三国-困难-[B]铁英+刺兵</v>
      </c>
      <c r="Q128" s="15" t="s">
        <v>40</v>
      </c>
      <c r="R128" s="15">
        <v>1</v>
      </c>
      <c r="S128" s="15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G128" s="24"/>
      <c r="AH128" s="24"/>
      <c r="AI128" s="24"/>
      <c r="AJ128" s="24"/>
      <c r="AK128" s="24"/>
      <c r="AL128" s="24"/>
      <c r="AM128" s="24"/>
      <c r="AN128" s="24"/>
      <c r="AO128" s="24"/>
      <c r="AP128" s="24"/>
      <c r="AQ128" s="24"/>
    </row>
    <row r="129" spans="2:43">
      <c r="B129" s="1" t="s">
        <v>151</v>
      </c>
      <c r="C129" s="1" t="s">
        <v>35</v>
      </c>
      <c r="D129" s="3" t="s">
        <v>189</v>
      </c>
      <c r="E129" s="1" t="b">
        <v>1</v>
      </c>
      <c r="F129" s="1">
        <v>1</v>
      </c>
      <c r="G129" s="1">
        <v>1</v>
      </c>
      <c r="H129" s="1" t="s">
        <v>153</v>
      </c>
      <c r="K129" s="1" t="s">
        <v>160</v>
      </c>
      <c r="N12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9" s="29"/>
      <c r="P129" s="27" t="str">
        <f>tbGroup[[#This Row],[Camp]]&amp;"-"&amp;tbGroup[[#This Row],[Difficulty]]&amp;"-"&amp;GET_GROUP_NAME(tbGroup[[#This Row],[IsBoss]],tbGroup[[#This Row],[Hero1]:[Soldier3]])&amp;tbGroup[[#This Row],[Suffix]]</f>
        <v>三国-困难-[B]盾英+强兵</v>
      </c>
      <c r="Q129" s="15" t="s">
        <v>40</v>
      </c>
      <c r="R129" s="15">
        <v>2</v>
      </c>
      <c r="S129" s="15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  <c r="AF129" s="24"/>
      <c r="AG129" s="24"/>
      <c r="AH129" s="24"/>
      <c r="AI129" s="24"/>
      <c r="AJ129" s="24"/>
      <c r="AK129" s="24"/>
      <c r="AL129" s="24"/>
      <c r="AM129" s="24"/>
      <c r="AN129" s="24"/>
      <c r="AO129" s="24"/>
      <c r="AP129" s="24"/>
      <c r="AQ129" s="24"/>
    </row>
    <row r="130" spans="2:43">
      <c r="B130" s="1" t="s">
        <v>151</v>
      </c>
      <c r="C130" s="1" t="s">
        <v>35</v>
      </c>
      <c r="D130" s="3" t="s">
        <v>189</v>
      </c>
      <c r="E130" s="1" t="b">
        <v>1</v>
      </c>
      <c r="F130" s="1">
        <v>1</v>
      </c>
      <c r="G130" s="1">
        <v>1</v>
      </c>
      <c r="H130" s="1" t="s">
        <v>153</v>
      </c>
      <c r="K130" s="1" t="s">
        <v>161</v>
      </c>
      <c r="N13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0" s="29"/>
      <c r="P130" s="27" t="str">
        <f>tbGroup[[#This Row],[Camp]]&amp;"-"&amp;tbGroup[[#This Row],[Difficulty]]&amp;"-"&amp;GET_GROUP_NAME(tbGroup[[#This Row],[IsBoss]],tbGroup[[#This Row],[Hero1]:[Soldier3]])&amp;tbGroup[[#This Row],[Suffix]]</f>
        <v>三国-困难-[B]盾英+炼兵</v>
      </c>
      <c r="Q130" s="15" t="s">
        <v>40</v>
      </c>
      <c r="R130" s="15">
        <v>2</v>
      </c>
      <c r="S130" s="15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  <c r="AF130" s="24"/>
      <c r="AG130" s="24"/>
      <c r="AH130" s="24"/>
      <c r="AI130" s="24"/>
      <c r="AJ130" s="24"/>
      <c r="AK130" s="24"/>
      <c r="AL130" s="24"/>
      <c r="AM130" s="24"/>
      <c r="AN130" s="24"/>
      <c r="AO130" s="24"/>
      <c r="AP130" s="24"/>
      <c r="AQ130" s="24"/>
    </row>
    <row r="131" spans="2:43">
      <c r="B131" s="1" t="s">
        <v>151</v>
      </c>
      <c r="C131" s="1" t="s">
        <v>35</v>
      </c>
      <c r="D131" s="3" t="s">
        <v>189</v>
      </c>
      <c r="E131" s="1" t="b">
        <v>1</v>
      </c>
      <c r="F131" s="1">
        <v>1</v>
      </c>
      <c r="G131" s="1">
        <v>1</v>
      </c>
      <c r="H131" s="1" t="s">
        <v>153</v>
      </c>
      <c r="K131" s="1" t="s">
        <v>162</v>
      </c>
      <c r="N13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1" s="29"/>
      <c r="P131" s="27" t="str">
        <f>tbGroup[[#This Row],[Camp]]&amp;"-"&amp;tbGroup[[#This Row],[Difficulty]]&amp;"-"&amp;GET_GROUP_NAME(tbGroup[[#This Row],[IsBoss]],tbGroup[[#This Row],[Hero1]:[Soldier3]])&amp;tbGroup[[#This Row],[Suffix]]</f>
        <v>三国-困难-[B]盾英+法兵</v>
      </c>
      <c r="Q131" s="15" t="s">
        <v>40</v>
      </c>
      <c r="R131" s="15">
        <v>2</v>
      </c>
      <c r="S131" s="15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  <c r="AF131" s="24"/>
      <c r="AG131" s="24"/>
      <c r="AH131" s="24"/>
      <c r="AI131" s="24"/>
      <c r="AJ131" s="24"/>
      <c r="AK131" s="24"/>
      <c r="AL131" s="24"/>
      <c r="AM131" s="24"/>
      <c r="AN131" s="24"/>
      <c r="AO131" s="24"/>
      <c r="AP131" s="24"/>
      <c r="AQ131" s="24"/>
    </row>
    <row r="132" spans="2:43">
      <c r="B132" s="1" t="s">
        <v>151</v>
      </c>
      <c r="C132" s="1" t="s">
        <v>35</v>
      </c>
      <c r="D132" s="3" t="s">
        <v>189</v>
      </c>
      <c r="E132" s="1" t="b">
        <v>1</v>
      </c>
      <c r="F132" s="1">
        <v>1</v>
      </c>
      <c r="G132" s="1">
        <v>1</v>
      </c>
      <c r="H132" s="1" t="s">
        <v>153</v>
      </c>
      <c r="K132" s="16" t="s">
        <v>911</v>
      </c>
      <c r="N13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2" s="29"/>
      <c r="P132" s="27" t="str">
        <f>tbGroup[[#This Row],[Camp]]&amp;"-"&amp;tbGroup[[#This Row],[Difficulty]]&amp;"-"&amp;GET_GROUP_NAME(tbGroup[[#This Row],[IsBoss]],tbGroup[[#This Row],[Hero1]:[Soldier3]])&amp;tbGroup[[#This Row],[Suffix]]</f>
        <v>三国-困难-[B]盾英+刺兵</v>
      </c>
      <c r="Q132" s="15" t="s">
        <v>40</v>
      </c>
      <c r="R132" s="15">
        <v>1</v>
      </c>
      <c r="S132" s="15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  <c r="AF132" s="24"/>
      <c r="AG132" s="24"/>
      <c r="AH132" s="24"/>
      <c r="AI132" s="24"/>
      <c r="AJ132" s="24"/>
      <c r="AK132" s="24"/>
      <c r="AL132" s="24"/>
      <c r="AM132" s="24"/>
      <c r="AN132" s="24"/>
      <c r="AO132" s="24"/>
      <c r="AP132" s="24"/>
      <c r="AQ132" s="24"/>
    </row>
    <row r="133" spans="2:43">
      <c r="B133" s="1" t="s">
        <v>151</v>
      </c>
      <c r="C133" s="1" t="s">
        <v>35</v>
      </c>
      <c r="D133" s="1" t="s">
        <v>178</v>
      </c>
      <c r="F133" s="1">
        <v>1</v>
      </c>
      <c r="G133" s="1">
        <v>1</v>
      </c>
      <c r="H133" s="1" t="s">
        <v>154</v>
      </c>
      <c r="K133" s="1" t="s">
        <v>158</v>
      </c>
      <c r="N13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3" s="29"/>
      <c r="P133" s="27" t="str">
        <f>tbGroup[[#This Row],[Camp]]&amp;"-"&amp;tbGroup[[#This Row],[Difficulty]]&amp;"-"&amp;GET_GROUP_NAME(tbGroup[[#This Row],[IsBoss]],tbGroup[[#This Row],[Hero1]:[Soldier3]])&amp;tbGroup[[#This Row],[Suffix]]</f>
        <v>三国-困难-强英+铁兵</v>
      </c>
      <c r="Q133" s="15" t="s">
        <v>40</v>
      </c>
      <c r="R133" s="15">
        <v>2</v>
      </c>
      <c r="S133" s="15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  <c r="AF133" s="24"/>
      <c r="AG133" s="24"/>
      <c r="AH133" s="24"/>
      <c r="AI133" s="24"/>
      <c r="AJ133" s="24"/>
      <c r="AK133" s="24"/>
      <c r="AL133" s="24"/>
      <c r="AM133" s="24"/>
      <c r="AN133" s="24"/>
      <c r="AO133" s="24"/>
      <c r="AP133" s="24"/>
      <c r="AQ133" s="24"/>
    </row>
    <row r="134" spans="2:43">
      <c r="B134" s="1" t="s">
        <v>151</v>
      </c>
      <c r="C134" s="1" t="s">
        <v>35</v>
      </c>
      <c r="D134" s="1" t="s">
        <v>178</v>
      </c>
      <c r="F134" s="1">
        <v>1</v>
      </c>
      <c r="G134" s="1">
        <v>1</v>
      </c>
      <c r="H134" s="1" t="s">
        <v>154</v>
      </c>
      <c r="K134" s="1" t="s">
        <v>159</v>
      </c>
      <c r="N13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4" s="29"/>
      <c r="P134" s="27" t="str">
        <f>tbGroup[[#This Row],[Camp]]&amp;"-"&amp;tbGroup[[#This Row],[Difficulty]]&amp;"-"&amp;GET_GROUP_NAME(tbGroup[[#This Row],[IsBoss]],tbGroup[[#This Row],[Hero1]:[Soldier3]])&amp;tbGroup[[#This Row],[Suffix]]</f>
        <v>三国-困难-强英+盾兵</v>
      </c>
      <c r="Q134" s="15" t="s">
        <v>40</v>
      </c>
      <c r="R134" s="15">
        <v>2</v>
      </c>
      <c r="S134" s="15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/>
      <c r="AG134" s="24"/>
      <c r="AH134" s="24"/>
      <c r="AI134" s="24"/>
      <c r="AJ134" s="24"/>
      <c r="AK134" s="24"/>
      <c r="AL134" s="24"/>
      <c r="AM134" s="24"/>
      <c r="AN134" s="24"/>
      <c r="AO134" s="24"/>
      <c r="AP134" s="24"/>
      <c r="AQ134" s="24"/>
    </row>
    <row r="135" spans="2:43">
      <c r="B135" s="1" t="s">
        <v>151</v>
      </c>
      <c r="C135" s="1" t="s">
        <v>35</v>
      </c>
      <c r="D135" s="1" t="s">
        <v>178</v>
      </c>
      <c r="F135" s="1">
        <v>1</v>
      </c>
      <c r="G135" s="1">
        <v>1</v>
      </c>
      <c r="H135" s="1" t="s">
        <v>154</v>
      </c>
      <c r="K135" s="16" t="s">
        <v>910</v>
      </c>
      <c r="N13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5" s="29"/>
      <c r="P135" s="27" t="str">
        <f>tbGroup[[#This Row],[Camp]]&amp;"-"&amp;tbGroup[[#This Row],[Difficulty]]&amp;"-"&amp;GET_GROUP_NAME(tbGroup[[#This Row],[IsBoss]],tbGroup[[#This Row],[Hero1]:[Soldier3]])&amp;tbGroup[[#This Row],[Suffix]]</f>
        <v>三国-困难-强英+教徒</v>
      </c>
      <c r="Q135" s="15" t="s">
        <v>40</v>
      </c>
      <c r="R135" s="15">
        <v>1</v>
      </c>
      <c r="S135" s="15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  <c r="AF135" s="24"/>
      <c r="AG135" s="24"/>
      <c r="AH135" s="24"/>
      <c r="AI135" s="24"/>
      <c r="AJ135" s="24"/>
      <c r="AK135" s="24"/>
      <c r="AL135" s="24"/>
      <c r="AM135" s="24"/>
      <c r="AN135" s="24"/>
      <c r="AO135" s="24"/>
      <c r="AP135" s="24"/>
      <c r="AQ135" s="24"/>
    </row>
    <row r="136" spans="2:43">
      <c r="B136" s="1" t="s">
        <v>151</v>
      </c>
      <c r="C136" s="1" t="s">
        <v>35</v>
      </c>
      <c r="D136" s="1" t="s">
        <v>178</v>
      </c>
      <c r="F136" s="1">
        <v>1</v>
      </c>
      <c r="G136" s="1">
        <v>1</v>
      </c>
      <c r="H136" s="1" t="s">
        <v>156</v>
      </c>
      <c r="K136" s="1" t="s">
        <v>158</v>
      </c>
      <c r="N13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6" s="29"/>
      <c r="P136" s="27" t="str">
        <f>tbGroup[[#This Row],[Camp]]&amp;"-"&amp;tbGroup[[#This Row],[Difficulty]]&amp;"-"&amp;GET_GROUP_NAME(tbGroup[[#This Row],[IsBoss]],tbGroup[[#This Row],[Hero1]:[Soldier3]])&amp;tbGroup[[#This Row],[Suffix]]</f>
        <v>三国-困难-法英+铁兵</v>
      </c>
      <c r="Q136" s="15" t="s">
        <v>40</v>
      </c>
      <c r="R136" s="15">
        <v>2</v>
      </c>
      <c r="S136" s="15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  <c r="AF136" s="24"/>
      <c r="AG136" s="24"/>
      <c r="AH136" s="24"/>
      <c r="AI136" s="24"/>
      <c r="AJ136" s="24"/>
      <c r="AK136" s="24"/>
      <c r="AL136" s="24"/>
      <c r="AM136" s="24"/>
      <c r="AN136" s="24"/>
      <c r="AO136" s="24"/>
      <c r="AP136" s="24"/>
      <c r="AQ136" s="24"/>
    </row>
    <row r="137" spans="2:43">
      <c r="B137" s="1" t="s">
        <v>151</v>
      </c>
      <c r="C137" s="1" t="s">
        <v>35</v>
      </c>
      <c r="D137" s="1" t="s">
        <v>178</v>
      </c>
      <c r="F137" s="1">
        <v>1</v>
      </c>
      <c r="G137" s="1">
        <v>1</v>
      </c>
      <c r="H137" s="1" t="s">
        <v>156</v>
      </c>
      <c r="K137" s="1" t="s">
        <v>159</v>
      </c>
      <c r="N13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7" s="29"/>
      <c r="P137" s="27" t="str">
        <f>tbGroup[[#This Row],[Camp]]&amp;"-"&amp;tbGroup[[#This Row],[Difficulty]]&amp;"-"&amp;GET_GROUP_NAME(tbGroup[[#This Row],[IsBoss]],tbGroup[[#This Row],[Hero1]:[Soldier3]])&amp;tbGroup[[#This Row],[Suffix]]</f>
        <v>三国-困难-法英+盾兵</v>
      </c>
      <c r="Q137" s="15" t="s">
        <v>40</v>
      </c>
      <c r="R137" s="15">
        <v>2</v>
      </c>
      <c r="S137" s="15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  <c r="AF137" s="24"/>
      <c r="AG137" s="24"/>
      <c r="AH137" s="24"/>
      <c r="AI137" s="24"/>
      <c r="AJ137" s="24"/>
      <c r="AK137" s="24"/>
      <c r="AL137" s="24"/>
      <c r="AM137" s="24"/>
      <c r="AN137" s="24"/>
      <c r="AO137" s="24"/>
      <c r="AP137" s="24"/>
      <c r="AQ137" s="24"/>
    </row>
    <row r="138" spans="2:43">
      <c r="B138" s="1" t="s">
        <v>151</v>
      </c>
      <c r="C138" s="1" t="s">
        <v>35</v>
      </c>
      <c r="D138" s="1" t="s">
        <v>908</v>
      </c>
      <c r="F138" s="1">
        <v>1</v>
      </c>
      <c r="G138" s="1">
        <v>1</v>
      </c>
      <c r="H138" s="1" t="s">
        <v>156</v>
      </c>
      <c r="K138" s="16" t="s">
        <v>910</v>
      </c>
      <c r="N13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8" s="29"/>
      <c r="P138" s="27" t="str">
        <f>tbGroup[[#This Row],[Camp]]&amp;"-"&amp;tbGroup[[#This Row],[Difficulty]]&amp;"-"&amp;GET_GROUP_NAME(tbGroup[[#This Row],[IsBoss]],tbGroup[[#This Row],[Hero1]:[Soldier3]])&amp;tbGroup[[#This Row],[Suffix]]</f>
        <v>三国-困难-法英+教徒</v>
      </c>
      <c r="Q138" s="15" t="s">
        <v>40</v>
      </c>
      <c r="R138" s="15">
        <v>1</v>
      </c>
      <c r="S138" s="15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24"/>
      <c r="AG138" s="24"/>
      <c r="AH138" s="24"/>
      <c r="AI138" s="24"/>
      <c r="AJ138" s="24"/>
      <c r="AK138" s="24"/>
      <c r="AL138" s="24"/>
      <c r="AM138" s="24"/>
      <c r="AN138" s="24"/>
      <c r="AO138" s="24"/>
      <c r="AP138" s="24"/>
      <c r="AQ138" s="24"/>
    </row>
    <row r="139" spans="2:43">
      <c r="B139" s="1" t="s">
        <v>151</v>
      </c>
      <c r="C139" s="1" t="s">
        <v>35</v>
      </c>
      <c r="D139" s="1" t="s">
        <v>178</v>
      </c>
      <c r="F139" s="1">
        <v>1</v>
      </c>
      <c r="G139" s="1">
        <v>1</v>
      </c>
      <c r="H139" s="1" t="s">
        <v>155</v>
      </c>
      <c r="K139" s="1" t="s">
        <v>158</v>
      </c>
      <c r="N13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9" s="29"/>
      <c r="P139" s="27" t="str">
        <f>tbGroup[[#This Row],[Camp]]&amp;"-"&amp;tbGroup[[#This Row],[Difficulty]]&amp;"-"&amp;GET_GROUP_NAME(tbGroup[[#This Row],[IsBoss]],tbGroup[[#This Row],[Hero1]:[Soldier3]])&amp;tbGroup[[#This Row],[Suffix]]</f>
        <v>三国-困难-炼英+铁兵</v>
      </c>
      <c r="Q139" s="15" t="s">
        <v>40</v>
      </c>
      <c r="R139" s="15">
        <v>2</v>
      </c>
      <c r="S139" s="15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  <c r="AF139" s="24"/>
      <c r="AG139" s="24"/>
      <c r="AH139" s="24"/>
      <c r="AI139" s="24"/>
      <c r="AJ139" s="24"/>
      <c r="AK139" s="24"/>
      <c r="AL139" s="24"/>
      <c r="AM139" s="24"/>
      <c r="AN139" s="24"/>
      <c r="AO139" s="24"/>
      <c r="AP139" s="24"/>
      <c r="AQ139" s="24"/>
    </row>
    <row r="140" spans="2:43">
      <c r="B140" s="1" t="s">
        <v>151</v>
      </c>
      <c r="C140" s="1" t="s">
        <v>35</v>
      </c>
      <c r="D140" s="1" t="s">
        <v>178</v>
      </c>
      <c r="F140" s="1">
        <v>1</v>
      </c>
      <c r="G140" s="1">
        <v>1</v>
      </c>
      <c r="H140" s="1" t="s">
        <v>155</v>
      </c>
      <c r="K140" s="1" t="s">
        <v>159</v>
      </c>
      <c r="N14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0" s="29"/>
      <c r="P140" s="27" t="str">
        <f>tbGroup[[#This Row],[Camp]]&amp;"-"&amp;tbGroup[[#This Row],[Difficulty]]&amp;"-"&amp;GET_GROUP_NAME(tbGroup[[#This Row],[IsBoss]],tbGroup[[#This Row],[Hero1]:[Soldier3]])&amp;tbGroup[[#This Row],[Suffix]]</f>
        <v>三国-困难-炼英+盾兵</v>
      </c>
      <c r="Q140" s="15" t="s">
        <v>40</v>
      </c>
      <c r="R140" s="15">
        <v>2</v>
      </c>
      <c r="S140" s="15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  <c r="AF140" s="24"/>
      <c r="AG140" s="24"/>
      <c r="AH140" s="24"/>
      <c r="AI140" s="24"/>
      <c r="AJ140" s="24"/>
      <c r="AK140" s="24"/>
      <c r="AL140" s="24"/>
      <c r="AM140" s="24"/>
      <c r="AN140" s="24"/>
      <c r="AO140" s="24"/>
      <c r="AP140" s="24"/>
      <c r="AQ140" s="24"/>
    </row>
    <row r="141" spans="2:43">
      <c r="B141" s="1" t="s">
        <v>151</v>
      </c>
      <c r="C141" s="1" t="s">
        <v>35</v>
      </c>
      <c r="D141" s="1" t="s">
        <v>908</v>
      </c>
      <c r="F141" s="1">
        <v>1</v>
      </c>
      <c r="G141" s="1">
        <v>1</v>
      </c>
      <c r="H141" s="1" t="s">
        <v>155</v>
      </c>
      <c r="K141" s="16" t="s">
        <v>910</v>
      </c>
      <c r="N14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1" s="29"/>
      <c r="P141" s="27" t="str">
        <f>tbGroup[[#This Row],[Camp]]&amp;"-"&amp;tbGroup[[#This Row],[Difficulty]]&amp;"-"&amp;GET_GROUP_NAME(tbGroup[[#This Row],[IsBoss]],tbGroup[[#This Row],[Hero1]:[Soldier3]])&amp;tbGroup[[#This Row],[Suffix]]</f>
        <v>三国-困难-炼英+教徒</v>
      </c>
      <c r="Q141" s="15" t="s">
        <v>40</v>
      </c>
      <c r="R141" s="15">
        <v>1</v>
      </c>
      <c r="S141" s="15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  <c r="AF141" s="24"/>
      <c r="AG141" s="24"/>
      <c r="AH141" s="24"/>
      <c r="AI141" s="24"/>
      <c r="AJ141" s="24"/>
      <c r="AK141" s="24"/>
      <c r="AL141" s="24"/>
      <c r="AM141" s="24"/>
      <c r="AN141" s="24"/>
      <c r="AO141" s="24"/>
      <c r="AP141" s="24"/>
      <c r="AQ141" s="24"/>
    </row>
    <row r="142" spans="2:43">
      <c r="B142" s="1" t="s">
        <v>151</v>
      </c>
      <c r="C142" s="1" t="s">
        <v>35</v>
      </c>
      <c r="D142" s="1" t="s">
        <v>178</v>
      </c>
      <c r="F142" s="1">
        <v>1</v>
      </c>
      <c r="G142" s="1">
        <v>1</v>
      </c>
      <c r="H142" s="1" t="s">
        <v>157</v>
      </c>
      <c r="K142" s="1" t="s">
        <v>158</v>
      </c>
      <c r="N14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2" s="29"/>
      <c r="P142" s="27" t="str">
        <f>tbGroup[[#This Row],[Camp]]&amp;"-"&amp;tbGroup[[#This Row],[Difficulty]]&amp;"-"&amp;GET_GROUP_NAME(tbGroup[[#This Row],[IsBoss]],tbGroup[[#This Row],[Hero1]:[Soldier3]])&amp;tbGroup[[#This Row],[Suffix]]</f>
        <v>三国-困难-刺英+铁兵</v>
      </c>
      <c r="Q142" s="15" t="s">
        <v>40</v>
      </c>
      <c r="R142" s="15">
        <v>1</v>
      </c>
      <c r="S142" s="15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4"/>
      <c r="AI142" s="24"/>
      <c r="AJ142" s="24"/>
      <c r="AK142" s="24"/>
      <c r="AL142" s="24"/>
      <c r="AM142" s="24"/>
      <c r="AN142" s="24"/>
      <c r="AO142" s="24"/>
      <c r="AP142" s="24"/>
      <c r="AQ142" s="24"/>
    </row>
    <row r="143" spans="2:43">
      <c r="B143" s="1" t="s">
        <v>151</v>
      </c>
      <c r="C143" s="1" t="s">
        <v>35</v>
      </c>
      <c r="D143" s="1" t="s">
        <v>908</v>
      </c>
      <c r="F143" s="1">
        <v>1</v>
      </c>
      <c r="G143" s="1">
        <v>1</v>
      </c>
      <c r="H143" s="1" t="s">
        <v>157</v>
      </c>
      <c r="K143" s="1" t="s">
        <v>159</v>
      </c>
      <c r="N14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3" s="29"/>
      <c r="P143" s="27" t="str">
        <f>tbGroup[[#This Row],[Camp]]&amp;"-"&amp;tbGroup[[#This Row],[Difficulty]]&amp;"-"&amp;GET_GROUP_NAME(tbGroup[[#This Row],[IsBoss]],tbGroup[[#This Row],[Hero1]:[Soldier3]])&amp;tbGroup[[#This Row],[Suffix]]</f>
        <v>三国-困难-刺英+盾兵</v>
      </c>
      <c r="Q143" s="15" t="s">
        <v>40</v>
      </c>
      <c r="R143" s="15">
        <v>1</v>
      </c>
      <c r="S143" s="15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  <c r="AF143" s="24"/>
      <c r="AG143" s="24"/>
      <c r="AH143" s="24"/>
      <c r="AI143" s="24"/>
      <c r="AJ143" s="24"/>
      <c r="AK143" s="24"/>
      <c r="AL143" s="24"/>
      <c r="AM143" s="24"/>
      <c r="AN143" s="24"/>
      <c r="AO143" s="24"/>
      <c r="AP143" s="24"/>
      <c r="AQ143" s="24"/>
    </row>
    <row r="144" spans="2:43">
      <c r="B144" s="1" t="s">
        <v>151</v>
      </c>
      <c r="C144" s="1" t="s">
        <v>35</v>
      </c>
      <c r="D144" s="1" t="s">
        <v>908</v>
      </c>
      <c r="F144" s="1">
        <v>1</v>
      </c>
      <c r="G144" s="1">
        <v>1</v>
      </c>
      <c r="H144" s="1" t="s">
        <v>157</v>
      </c>
      <c r="K144" s="16" t="s">
        <v>910</v>
      </c>
      <c r="N14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4" s="29"/>
      <c r="P144" s="27" t="str">
        <f>tbGroup[[#This Row],[Camp]]&amp;"-"&amp;tbGroup[[#This Row],[Difficulty]]&amp;"-"&amp;GET_GROUP_NAME(tbGroup[[#This Row],[IsBoss]],tbGroup[[#This Row],[Hero1]:[Soldier3]])&amp;tbGroup[[#This Row],[Suffix]]</f>
        <v>三国-困难-刺英+教徒</v>
      </c>
      <c r="Q144" s="15" t="s">
        <v>40</v>
      </c>
      <c r="R144" s="15">
        <v>1</v>
      </c>
      <c r="S144" s="15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  <c r="AF144" s="24"/>
      <c r="AG144" s="24"/>
      <c r="AH144" s="24"/>
      <c r="AI144" s="24"/>
      <c r="AJ144" s="24"/>
      <c r="AK144" s="24"/>
      <c r="AL144" s="24"/>
      <c r="AM144" s="24"/>
      <c r="AN144" s="24"/>
      <c r="AO144" s="24"/>
      <c r="AP144" s="24"/>
      <c r="AQ144" s="24"/>
    </row>
    <row r="145" spans="2:43">
      <c r="B145" s="1" t="s">
        <v>151</v>
      </c>
      <c r="C145" s="1" t="s">
        <v>35</v>
      </c>
      <c r="D145" s="3" t="s">
        <v>190</v>
      </c>
      <c r="E145" s="1" t="b">
        <v>1</v>
      </c>
      <c r="F145" s="1">
        <v>1</v>
      </c>
      <c r="G145" s="1">
        <v>1</v>
      </c>
      <c r="H145" s="1" t="s">
        <v>154</v>
      </c>
      <c r="K145" s="1" t="s">
        <v>158</v>
      </c>
      <c r="N14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5" s="29"/>
      <c r="P145" s="27" t="str">
        <f>tbGroup[[#This Row],[Camp]]&amp;"-"&amp;tbGroup[[#This Row],[Difficulty]]&amp;"-"&amp;GET_GROUP_NAME(tbGroup[[#This Row],[IsBoss]],tbGroup[[#This Row],[Hero1]:[Soldier3]])&amp;tbGroup[[#This Row],[Suffix]]</f>
        <v>三国-困难-[B]强英+铁兵</v>
      </c>
      <c r="Q145" s="15" t="s">
        <v>40</v>
      </c>
      <c r="R145" s="15">
        <v>2</v>
      </c>
      <c r="S145" s="15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  <c r="AF145" s="24"/>
      <c r="AG145" s="24"/>
      <c r="AH145" s="24"/>
      <c r="AI145" s="24"/>
      <c r="AJ145" s="24"/>
      <c r="AK145" s="24"/>
      <c r="AL145" s="24"/>
      <c r="AM145" s="24"/>
      <c r="AN145" s="24"/>
      <c r="AO145" s="24"/>
      <c r="AP145" s="24"/>
      <c r="AQ145" s="24"/>
    </row>
    <row r="146" spans="2:43">
      <c r="B146" s="1" t="s">
        <v>151</v>
      </c>
      <c r="C146" s="1" t="s">
        <v>35</v>
      </c>
      <c r="D146" s="3" t="s">
        <v>190</v>
      </c>
      <c r="E146" s="1" t="b">
        <v>1</v>
      </c>
      <c r="F146" s="1">
        <v>1</v>
      </c>
      <c r="G146" s="1">
        <v>1</v>
      </c>
      <c r="H146" s="1" t="s">
        <v>154</v>
      </c>
      <c r="K146" s="1" t="s">
        <v>159</v>
      </c>
      <c r="N14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6" s="29"/>
      <c r="P146" s="27" t="str">
        <f>tbGroup[[#This Row],[Camp]]&amp;"-"&amp;tbGroup[[#This Row],[Difficulty]]&amp;"-"&amp;GET_GROUP_NAME(tbGroup[[#This Row],[IsBoss]],tbGroup[[#This Row],[Hero1]:[Soldier3]])&amp;tbGroup[[#This Row],[Suffix]]</f>
        <v>三国-困难-[B]强英+盾兵</v>
      </c>
      <c r="Q146" s="15" t="s">
        <v>40</v>
      </c>
      <c r="R146" s="15">
        <v>2</v>
      </c>
      <c r="S146" s="15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  <c r="AF146" s="24"/>
      <c r="AG146" s="24"/>
      <c r="AH146" s="24"/>
      <c r="AI146" s="24"/>
      <c r="AJ146" s="24"/>
      <c r="AK146" s="24"/>
      <c r="AL146" s="24"/>
      <c r="AM146" s="24"/>
      <c r="AN146" s="24"/>
      <c r="AO146" s="24"/>
      <c r="AP146" s="24"/>
      <c r="AQ146" s="24"/>
    </row>
    <row r="147" spans="2:43">
      <c r="B147" s="1" t="s">
        <v>151</v>
      </c>
      <c r="C147" s="1" t="s">
        <v>35</v>
      </c>
      <c r="D147" s="3" t="s">
        <v>190</v>
      </c>
      <c r="E147" s="1" t="b">
        <v>1</v>
      </c>
      <c r="F147" s="1">
        <v>1</v>
      </c>
      <c r="G147" s="1">
        <v>1</v>
      </c>
      <c r="H147" s="1" t="s">
        <v>154</v>
      </c>
      <c r="K147" s="16" t="s">
        <v>910</v>
      </c>
      <c r="N14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7" s="29"/>
      <c r="P147" s="27" t="str">
        <f>tbGroup[[#This Row],[Camp]]&amp;"-"&amp;tbGroup[[#This Row],[Difficulty]]&amp;"-"&amp;GET_GROUP_NAME(tbGroup[[#This Row],[IsBoss]],tbGroup[[#This Row],[Hero1]:[Soldier3]])&amp;tbGroup[[#This Row],[Suffix]]</f>
        <v>三国-困难-[B]强英+教徒</v>
      </c>
      <c r="Q147" s="15" t="s">
        <v>40</v>
      </c>
      <c r="R147" s="15">
        <v>1</v>
      </c>
      <c r="S147" s="15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  <c r="AF147" s="24"/>
      <c r="AG147" s="24"/>
      <c r="AH147" s="24"/>
      <c r="AI147" s="24"/>
      <c r="AJ147" s="24"/>
      <c r="AK147" s="24"/>
      <c r="AL147" s="24"/>
      <c r="AM147" s="24"/>
      <c r="AN147" s="24"/>
      <c r="AO147" s="24"/>
      <c r="AP147" s="24"/>
      <c r="AQ147" s="24"/>
    </row>
    <row r="148" spans="2:43">
      <c r="B148" s="1" t="s">
        <v>151</v>
      </c>
      <c r="C148" s="1" t="s">
        <v>35</v>
      </c>
      <c r="D148" s="3" t="s">
        <v>190</v>
      </c>
      <c r="E148" s="1" t="b">
        <v>1</v>
      </c>
      <c r="F148" s="1">
        <v>1</v>
      </c>
      <c r="G148" s="1">
        <v>1</v>
      </c>
      <c r="H148" s="1" t="s">
        <v>156</v>
      </c>
      <c r="K148" s="1" t="s">
        <v>158</v>
      </c>
      <c r="N14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8" s="29"/>
      <c r="P148" s="27" t="str">
        <f>tbGroup[[#This Row],[Camp]]&amp;"-"&amp;tbGroup[[#This Row],[Difficulty]]&amp;"-"&amp;GET_GROUP_NAME(tbGroup[[#This Row],[IsBoss]],tbGroup[[#This Row],[Hero1]:[Soldier3]])&amp;tbGroup[[#This Row],[Suffix]]</f>
        <v>三国-困难-[B]法英+铁兵</v>
      </c>
      <c r="Q148" s="15" t="s">
        <v>40</v>
      </c>
      <c r="R148" s="15">
        <v>2</v>
      </c>
      <c r="S148" s="15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  <c r="AF148" s="24"/>
      <c r="AG148" s="24"/>
      <c r="AH148" s="24"/>
      <c r="AI148" s="24"/>
      <c r="AJ148" s="24"/>
      <c r="AK148" s="24"/>
      <c r="AL148" s="24"/>
      <c r="AM148" s="24"/>
      <c r="AN148" s="24"/>
      <c r="AO148" s="24"/>
      <c r="AP148" s="24"/>
      <c r="AQ148" s="24"/>
    </row>
    <row r="149" spans="2:43">
      <c r="B149" s="1" t="s">
        <v>151</v>
      </c>
      <c r="C149" s="1" t="s">
        <v>35</v>
      </c>
      <c r="D149" s="3" t="s">
        <v>190</v>
      </c>
      <c r="E149" s="1" t="b">
        <v>1</v>
      </c>
      <c r="F149" s="1">
        <v>1</v>
      </c>
      <c r="G149" s="1">
        <v>1</v>
      </c>
      <c r="H149" s="1" t="s">
        <v>156</v>
      </c>
      <c r="K149" s="1" t="s">
        <v>159</v>
      </c>
      <c r="N14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9" s="29"/>
      <c r="P149" s="27" t="str">
        <f>tbGroup[[#This Row],[Camp]]&amp;"-"&amp;tbGroup[[#This Row],[Difficulty]]&amp;"-"&amp;GET_GROUP_NAME(tbGroup[[#This Row],[IsBoss]],tbGroup[[#This Row],[Hero1]:[Soldier3]])&amp;tbGroup[[#This Row],[Suffix]]</f>
        <v>三国-困难-[B]法英+盾兵</v>
      </c>
      <c r="Q149" s="15" t="s">
        <v>40</v>
      </c>
      <c r="R149" s="15">
        <v>2</v>
      </c>
      <c r="S149" s="15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  <c r="AF149" s="24"/>
      <c r="AG149" s="24"/>
      <c r="AH149" s="24"/>
      <c r="AI149" s="24"/>
      <c r="AJ149" s="24"/>
      <c r="AK149" s="24"/>
      <c r="AL149" s="24"/>
      <c r="AM149" s="24"/>
      <c r="AN149" s="24"/>
      <c r="AO149" s="24"/>
      <c r="AP149" s="24"/>
      <c r="AQ149" s="24"/>
    </row>
    <row r="150" spans="2:43">
      <c r="B150" s="1" t="s">
        <v>151</v>
      </c>
      <c r="C150" s="1" t="s">
        <v>35</v>
      </c>
      <c r="D150" s="3" t="s">
        <v>190</v>
      </c>
      <c r="E150" s="1" t="b">
        <v>1</v>
      </c>
      <c r="F150" s="1">
        <v>1</v>
      </c>
      <c r="G150" s="1">
        <v>1</v>
      </c>
      <c r="H150" s="1" t="s">
        <v>156</v>
      </c>
      <c r="K150" s="16" t="s">
        <v>910</v>
      </c>
      <c r="N15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0" s="29"/>
      <c r="P150" s="27" t="str">
        <f>tbGroup[[#This Row],[Camp]]&amp;"-"&amp;tbGroup[[#This Row],[Difficulty]]&amp;"-"&amp;GET_GROUP_NAME(tbGroup[[#This Row],[IsBoss]],tbGroup[[#This Row],[Hero1]:[Soldier3]])&amp;tbGroup[[#This Row],[Suffix]]</f>
        <v>三国-困难-[B]法英+教徒</v>
      </c>
      <c r="Q150" s="15" t="s">
        <v>40</v>
      </c>
      <c r="R150" s="15">
        <v>1</v>
      </c>
      <c r="S150" s="15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  <c r="AF150" s="24"/>
      <c r="AG150" s="24"/>
      <c r="AH150" s="24"/>
      <c r="AI150" s="24"/>
      <c r="AJ150" s="24"/>
      <c r="AK150" s="24"/>
      <c r="AL150" s="24"/>
      <c r="AM150" s="24"/>
      <c r="AN150" s="24"/>
      <c r="AO150" s="24"/>
      <c r="AP150" s="24"/>
      <c r="AQ150" s="24"/>
    </row>
    <row r="151" spans="2:43">
      <c r="B151" s="1" t="s">
        <v>151</v>
      </c>
      <c r="C151" s="1" t="s">
        <v>35</v>
      </c>
      <c r="D151" s="3" t="s">
        <v>190</v>
      </c>
      <c r="E151" s="1" t="b">
        <v>1</v>
      </c>
      <c r="F151" s="1">
        <v>1</v>
      </c>
      <c r="G151" s="1">
        <v>1</v>
      </c>
      <c r="H151" s="1" t="s">
        <v>155</v>
      </c>
      <c r="K151" s="1" t="s">
        <v>158</v>
      </c>
      <c r="N15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1" s="29"/>
      <c r="P151" s="27" t="str">
        <f>tbGroup[[#This Row],[Camp]]&amp;"-"&amp;tbGroup[[#This Row],[Difficulty]]&amp;"-"&amp;GET_GROUP_NAME(tbGroup[[#This Row],[IsBoss]],tbGroup[[#This Row],[Hero1]:[Soldier3]])&amp;tbGroup[[#This Row],[Suffix]]</f>
        <v>三国-困难-[B]炼英+铁兵</v>
      </c>
      <c r="Q151" s="15" t="s">
        <v>40</v>
      </c>
      <c r="R151" s="15">
        <v>2</v>
      </c>
      <c r="S151" s="15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  <c r="AF151" s="24"/>
      <c r="AG151" s="24"/>
      <c r="AH151" s="24"/>
      <c r="AI151" s="24"/>
      <c r="AJ151" s="24"/>
      <c r="AK151" s="24"/>
      <c r="AL151" s="24"/>
      <c r="AM151" s="24"/>
      <c r="AN151" s="24"/>
      <c r="AO151" s="24"/>
      <c r="AP151" s="24"/>
      <c r="AQ151" s="24"/>
    </row>
    <row r="152" spans="2:43">
      <c r="B152" s="1" t="s">
        <v>151</v>
      </c>
      <c r="C152" s="1" t="s">
        <v>35</v>
      </c>
      <c r="D152" s="3" t="s">
        <v>190</v>
      </c>
      <c r="E152" s="1" t="b">
        <v>1</v>
      </c>
      <c r="F152" s="1">
        <v>1</v>
      </c>
      <c r="G152" s="1">
        <v>1</v>
      </c>
      <c r="H152" s="1" t="s">
        <v>155</v>
      </c>
      <c r="K152" s="1" t="s">
        <v>159</v>
      </c>
      <c r="N15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2" s="29"/>
      <c r="P152" s="27" t="str">
        <f>tbGroup[[#This Row],[Camp]]&amp;"-"&amp;tbGroup[[#This Row],[Difficulty]]&amp;"-"&amp;GET_GROUP_NAME(tbGroup[[#This Row],[IsBoss]],tbGroup[[#This Row],[Hero1]:[Soldier3]])&amp;tbGroup[[#This Row],[Suffix]]</f>
        <v>三国-困难-[B]炼英+盾兵</v>
      </c>
      <c r="Q152" s="15" t="s">
        <v>40</v>
      </c>
      <c r="R152" s="15">
        <v>2</v>
      </c>
      <c r="S152" s="15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  <c r="AF152" s="24"/>
      <c r="AG152" s="24"/>
      <c r="AH152" s="24"/>
      <c r="AI152" s="24"/>
      <c r="AJ152" s="24"/>
      <c r="AK152" s="24"/>
      <c r="AL152" s="24"/>
      <c r="AM152" s="24"/>
      <c r="AN152" s="24"/>
      <c r="AO152" s="24"/>
      <c r="AP152" s="24"/>
      <c r="AQ152" s="24"/>
    </row>
    <row r="153" spans="2:43">
      <c r="B153" s="1" t="s">
        <v>151</v>
      </c>
      <c r="C153" s="1" t="s">
        <v>35</v>
      </c>
      <c r="D153" s="3" t="s">
        <v>190</v>
      </c>
      <c r="E153" s="1" t="b">
        <v>1</v>
      </c>
      <c r="F153" s="1">
        <v>1</v>
      </c>
      <c r="G153" s="1">
        <v>1</v>
      </c>
      <c r="H153" s="1" t="s">
        <v>155</v>
      </c>
      <c r="K153" s="16" t="s">
        <v>910</v>
      </c>
      <c r="N15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3" s="29"/>
      <c r="P153" s="27" t="str">
        <f>tbGroup[[#This Row],[Camp]]&amp;"-"&amp;tbGroup[[#This Row],[Difficulty]]&amp;"-"&amp;GET_GROUP_NAME(tbGroup[[#This Row],[IsBoss]],tbGroup[[#This Row],[Hero1]:[Soldier3]])&amp;tbGroup[[#This Row],[Suffix]]</f>
        <v>三国-困难-[B]炼英+教徒</v>
      </c>
      <c r="Q153" s="15" t="s">
        <v>40</v>
      </c>
      <c r="R153" s="15">
        <v>1</v>
      </c>
      <c r="S153" s="15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  <c r="AF153" s="24"/>
      <c r="AG153" s="24"/>
      <c r="AH153" s="24"/>
      <c r="AI153" s="24"/>
      <c r="AJ153" s="24"/>
      <c r="AK153" s="24"/>
      <c r="AL153" s="24"/>
      <c r="AM153" s="24"/>
      <c r="AN153" s="24"/>
      <c r="AO153" s="24"/>
      <c r="AP153" s="24"/>
      <c r="AQ153" s="24"/>
    </row>
    <row r="154" spans="2:43">
      <c r="B154" s="1" t="s">
        <v>151</v>
      </c>
      <c r="C154" s="1" t="s">
        <v>35</v>
      </c>
      <c r="D154" s="3" t="s">
        <v>909</v>
      </c>
      <c r="E154" s="1" t="b">
        <v>1</v>
      </c>
      <c r="F154" s="1">
        <v>1</v>
      </c>
      <c r="G154" s="1">
        <v>1</v>
      </c>
      <c r="H154" s="1" t="s">
        <v>157</v>
      </c>
      <c r="K154" s="1" t="s">
        <v>158</v>
      </c>
      <c r="N15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4" s="29"/>
      <c r="P154" s="27" t="str">
        <f>tbGroup[[#This Row],[Camp]]&amp;"-"&amp;tbGroup[[#This Row],[Difficulty]]&amp;"-"&amp;GET_GROUP_NAME(tbGroup[[#This Row],[IsBoss]],tbGroup[[#This Row],[Hero1]:[Soldier3]])&amp;tbGroup[[#This Row],[Suffix]]</f>
        <v>三国-困难-[B]刺英+铁兵</v>
      </c>
      <c r="Q154" s="15" t="s">
        <v>40</v>
      </c>
      <c r="R154" s="15">
        <v>1</v>
      </c>
      <c r="S154" s="15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  <c r="AF154" s="24"/>
      <c r="AG154" s="24"/>
      <c r="AH154" s="24"/>
      <c r="AI154" s="24"/>
      <c r="AJ154" s="24"/>
      <c r="AK154" s="24"/>
      <c r="AL154" s="24"/>
      <c r="AM154" s="24"/>
      <c r="AN154" s="24"/>
      <c r="AO154" s="24"/>
      <c r="AP154" s="24"/>
      <c r="AQ154" s="24"/>
    </row>
    <row r="155" spans="2:43">
      <c r="B155" s="1" t="s">
        <v>151</v>
      </c>
      <c r="C155" s="1" t="s">
        <v>35</v>
      </c>
      <c r="D155" s="3" t="s">
        <v>909</v>
      </c>
      <c r="E155" s="1" t="b">
        <v>1</v>
      </c>
      <c r="F155" s="1">
        <v>1</v>
      </c>
      <c r="G155" s="1">
        <v>1</v>
      </c>
      <c r="H155" s="1" t="s">
        <v>157</v>
      </c>
      <c r="K155" s="1" t="s">
        <v>159</v>
      </c>
      <c r="N15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5" s="29"/>
      <c r="P155" s="27" t="str">
        <f>tbGroup[[#This Row],[Camp]]&amp;"-"&amp;tbGroup[[#This Row],[Difficulty]]&amp;"-"&amp;GET_GROUP_NAME(tbGroup[[#This Row],[IsBoss]],tbGroup[[#This Row],[Hero1]:[Soldier3]])&amp;tbGroup[[#This Row],[Suffix]]</f>
        <v>三国-困难-[B]刺英+盾兵</v>
      </c>
      <c r="Q155" s="15" t="s">
        <v>40</v>
      </c>
      <c r="R155" s="15">
        <v>1</v>
      </c>
      <c r="S155" s="15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  <c r="AF155" s="24"/>
      <c r="AG155" s="24"/>
      <c r="AH155" s="24"/>
      <c r="AI155" s="24"/>
      <c r="AJ155" s="24"/>
      <c r="AK155" s="24"/>
      <c r="AL155" s="24"/>
      <c r="AM155" s="24"/>
      <c r="AN155" s="24"/>
      <c r="AO155" s="24"/>
      <c r="AP155" s="24"/>
      <c r="AQ155" s="24"/>
    </row>
    <row r="156" spans="2:43">
      <c r="B156" s="1" t="s">
        <v>151</v>
      </c>
      <c r="C156" s="1" t="s">
        <v>35</v>
      </c>
      <c r="D156" s="3" t="s">
        <v>190</v>
      </c>
      <c r="E156" s="1" t="b">
        <v>1</v>
      </c>
      <c r="F156" s="1">
        <v>1</v>
      </c>
      <c r="G156" s="1">
        <v>1</v>
      </c>
      <c r="H156" s="1" t="s">
        <v>157</v>
      </c>
      <c r="K156" s="16" t="s">
        <v>910</v>
      </c>
      <c r="N15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6" s="29"/>
      <c r="P156" s="27" t="str">
        <f>tbGroup[[#This Row],[Camp]]&amp;"-"&amp;tbGroup[[#This Row],[Difficulty]]&amp;"-"&amp;GET_GROUP_NAME(tbGroup[[#This Row],[IsBoss]],tbGroup[[#This Row],[Hero1]:[Soldier3]])&amp;tbGroup[[#This Row],[Suffix]]</f>
        <v>三国-困难-[B]刺英+教徒</v>
      </c>
      <c r="Q156" s="15" t="s">
        <v>40</v>
      </c>
      <c r="R156" s="15">
        <v>1</v>
      </c>
      <c r="S156" s="15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  <c r="AF156" s="24"/>
      <c r="AG156" s="24"/>
      <c r="AH156" s="24"/>
      <c r="AI156" s="24"/>
      <c r="AJ156" s="24"/>
      <c r="AK156" s="24"/>
      <c r="AL156" s="24"/>
      <c r="AM156" s="24"/>
      <c r="AN156" s="24"/>
      <c r="AO156" s="24"/>
      <c r="AP156" s="24"/>
      <c r="AQ156" s="24"/>
    </row>
    <row r="157" spans="2:43">
      <c r="B157" s="1" t="s">
        <v>151</v>
      </c>
      <c r="C157" s="1" t="s">
        <v>35</v>
      </c>
      <c r="D157" s="1" t="s">
        <v>174</v>
      </c>
      <c r="F157" s="1">
        <v>2</v>
      </c>
      <c r="H157" s="1" t="s">
        <v>152</v>
      </c>
      <c r="I157" s="1" t="s">
        <v>152</v>
      </c>
      <c r="N15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7" s="29"/>
      <c r="P157" s="27" t="str">
        <f>tbGroup[[#This Row],[Camp]]&amp;"-"&amp;tbGroup[[#This Row],[Difficulty]]&amp;"-"&amp;GET_GROUP_NAME(tbGroup[[#This Row],[IsBoss]],tbGroup[[#This Row],[Hero1]:[Soldier3]])&amp;tbGroup[[#This Row],[Suffix]]</f>
        <v>三国-困难-铁英+铁英</v>
      </c>
      <c r="Q157" s="15" t="s">
        <v>40</v>
      </c>
      <c r="R157" s="15">
        <v>2</v>
      </c>
      <c r="S157" s="15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  <c r="AF157" s="24"/>
      <c r="AG157" s="24"/>
      <c r="AH157" s="24"/>
      <c r="AI157" s="24"/>
      <c r="AJ157" s="24"/>
      <c r="AK157" s="24"/>
      <c r="AL157" s="24"/>
      <c r="AM157" s="24"/>
      <c r="AN157" s="24"/>
      <c r="AO157" s="24"/>
      <c r="AP157" s="24"/>
      <c r="AQ157" s="24"/>
    </row>
    <row r="158" spans="2:43">
      <c r="B158" s="1" t="s">
        <v>151</v>
      </c>
      <c r="C158" s="1" t="s">
        <v>35</v>
      </c>
      <c r="D158" s="1" t="s">
        <v>174</v>
      </c>
      <c r="F158" s="1">
        <v>2</v>
      </c>
      <c r="H158" s="1" t="s">
        <v>152</v>
      </c>
      <c r="I158" s="1" t="s">
        <v>153</v>
      </c>
      <c r="N15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8" s="29"/>
      <c r="P158" s="27" t="str">
        <f>tbGroup[[#This Row],[Camp]]&amp;"-"&amp;tbGroup[[#This Row],[Difficulty]]&amp;"-"&amp;GET_GROUP_NAME(tbGroup[[#This Row],[IsBoss]],tbGroup[[#This Row],[Hero1]:[Soldier3]])&amp;tbGroup[[#This Row],[Suffix]]</f>
        <v>三国-困难-铁英+盾英</v>
      </c>
      <c r="Q158" s="15" t="s">
        <v>40</v>
      </c>
      <c r="R158" s="15">
        <v>2</v>
      </c>
      <c r="S158" s="15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  <c r="AF158" s="24"/>
      <c r="AG158" s="24"/>
      <c r="AH158" s="24"/>
      <c r="AI158" s="24"/>
      <c r="AJ158" s="24"/>
      <c r="AK158" s="24"/>
      <c r="AL158" s="24"/>
      <c r="AM158" s="24"/>
      <c r="AN158" s="24"/>
      <c r="AO158" s="24"/>
      <c r="AP158" s="24"/>
      <c r="AQ158" s="24"/>
    </row>
    <row r="159" spans="2:43">
      <c r="B159" s="1" t="s">
        <v>151</v>
      </c>
      <c r="C159" s="1" t="s">
        <v>35</v>
      </c>
      <c r="D159" s="1" t="s">
        <v>174</v>
      </c>
      <c r="F159" s="1">
        <v>2</v>
      </c>
      <c r="H159" s="1" t="s">
        <v>152</v>
      </c>
      <c r="I159" s="1" t="s">
        <v>154</v>
      </c>
      <c r="N15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9" s="29"/>
      <c r="P159" s="27" t="str">
        <f>tbGroup[[#This Row],[Camp]]&amp;"-"&amp;tbGroup[[#This Row],[Difficulty]]&amp;"-"&amp;GET_GROUP_NAME(tbGroup[[#This Row],[IsBoss]],tbGroup[[#This Row],[Hero1]:[Soldier3]])&amp;tbGroup[[#This Row],[Suffix]]</f>
        <v>三国-困难-铁英+强英</v>
      </c>
      <c r="Q159" s="15" t="s">
        <v>40</v>
      </c>
      <c r="R159" s="15">
        <v>2</v>
      </c>
      <c r="S159" s="15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  <c r="AF159" s="24"/>
      <c r="AG159" s="24"/>
      <c r="AH159" s="24"/>
      <c r="AI159" s="24"/>
      <c r="AJ159" s="24"/>
      <c r="AK159" s="24"/>
      <c r="AL159" s="24"/>
      <c r="AM159" s="24"/>
      <c r="AN159" s="24"/>
      <c r="AO159" s="24"/>
      <c r="AP159" s="24"/>
      <c r="AQ159" s="24"/>
    </row>
    <row r="160" spans="2:43">
      <c r="B160" s="1" t="s">
        <v>151</v>
      </c>
      <c r="C160" s="1" t="s">
        <v>35</v>
      </c>
      <c r="D160" s="1" t="s">
        <v>174</v>
      </c>
      <c r="F160" s="1">
        <v>2</v>
      </c>
      <c r="H160" s="1" t="s">
        <v>152</v>
      </c>
      <c r="I160" s="1" t="s">
        <v>155</v>
      </c>
      <c r="N16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0" s="29"/>
      <c r="P160" s="27" t="str">
        <f>tbGroup[[#This Row],[Camp]]&amp;"-"&amp;tbGroup[[#This Row],[Difficulty]]&amp;"-"&amp;GET_GROUP_NAME(tbGroup[[#This Row],[IsBoss]],tbGroup[[#This Row],[Hero1]:[Soldier3]])&amp;tbGroup[[#This Row],[Suffix]]</f>
        <v>三国-困难-铁英+炼英</v>
      </c>
      <c r="Q160" s="15" t="s">
        <v>40</v>
      </c>
      <c r="R160" s="15">
        <v>2</v>
      </c>
      <c r="S160" s="15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  <c r="AF160" s="24"/>
      <c r="AG160" s="24"/>
      <c r="AH160" s="24"/>
      <c r="AI160" s="24"/>
      <c r="AJ160" s="24"/>
      <c r="AK160" s="24"/>
      <c r="AL160" s="24"/>
      <c r="AM160" s="24"/>
      <c r="AN160" s="24"/>
      <c r="AO160" s="24"/>
      <c r="AP160" s="24"/>
      <c r="AQ160" s="24"/>
    </row>
    <row r="161" spans="2:43">
      <c r="B161" s="1" t="s">
        <v>151</v>
      </c>
      <c r="C161" s="1" t="s">
        <v>35</v>
      </c>
      <c r="D161" s="1" t="s">
        <v>174</v>
      </c>
      <c r="F161" s="1">
        <v>2</v>
      </c>
      <c r="H161" s="1" t="s">
        <v>152</v>
      </c>
      <c r="I161" s="1" t="s">
        <v>156</v>
      </c>
      <c r="N16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1" s="29"/>
      <c r="P161" s="27" t="str">
        <f>tbGroup[[#This Row],[Camp]]&amp;"-"&amp;tbGroup[[#This Row],[Difficulty]]&amp;"-"&amp;GET_GROUP_NAME(tbGroup[[#This Row],[IsBoss]],tbGroup[[#This Row],[Hero1]:[Soldier3]])&amp;tbGroup[[#This Row],[Suffix]]</f>
        <v>三国-困难-铁英+法英</v>
      </c>
      <c r="Q161" s="15" t="s">
        <v>40</v>
      </c>
      <c r="R161" s="15">
        <v>2</v>
      </c>
      <c r="S161" s="15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  <c r="AF161" s="24"/>
      <c r="AG161" s="24"/>
      <c r="AH161" s="24"/>
      <c r="AI161" s="24"/>
      <c r="AJ161" s="24"/>
      <c r="AK161" s="24"/>
      <c r="AL161" s="24"/>
      <c r="AM161" s="24"/>
      <c r="AN161" s="24"/>
      <c r="AO161" s="24"/>
      <c r="AP161" s="24"/>
      <c r="AQ161" s="24"/>
    </row>
    <row r="162" spans="2:43">
      <c r="B162" s="1" t="s">
        <v>151</v>
      </c>
      <c r="C162" s="1" t="s">
        <v>35</v>
      </c>
      <c r="D162" s="1" t="s">
        <v>174</v>
      </c>
      <c r="F162" s="1">
        <v>2</v>
      </c>
      <c r="H162" s="1" t="s">
        <v>152</v>
      </c>
      <c r="I162" s="1" t="s">
        <v>157</v>
      </c>
      <c r="N16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2" s="29"/>
      <c r="P162" s="27" t="str">
        <f>tbGroup[[#This Row],[Camp]]&amp;"-"&amp;tbGroup[[#This Row],[Difficulty]]&amp;"-"&amp;GET_GROUP_NAME(tbGroup[[#This Row],[IsBoss]],tbGroup[[#This Row],[Hero1]:[Soldier3]])&amp;tbGroup[[#This Row],[Suffix]]</f>
        <v>三国-困难-铁英+刺英</v>
      </c>
      <c r="Q162" s="15" t="s">
        <v>40</v>
      </c>
      <c r="R162" s="15">
        <v>2</v>
      </c>
      <c r="S162" s="15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  <c r="AF162" s="24"/>
      <c r="AG162" s="24"/>
      <c r="AH162" s="24"/>
      <c r="AI162" s="24"/>
      <c r="AJ162" s="24"/>
      <c r="AK162" s="24"/>
      <c r="AL162" s="24"/>
      <c r="AM162" s="24"/>
      <c r="AN162" s="24"/>
      <c r="AO162" s="24"/>
      <c r="AP162" s="24"/>
      <c r="AQ162" s="24"/>
    </row>
    <row r="163" spans="2:43">
      <c r="B163" s="1" t="s">
        <v>151</v>
      </c>
      <c r="C163" s="1" t="s">
        <v>35</v>
      </c>
      <c r="D163" s="1" t="s">
        <v>174</v>
      </c>
      <c r="F163" s="1">
        <v>2</v>
      </c>
      <c r="H163" s="1" t="s">
        <v>153</v>
      </c>
      <c r="I163" s="1" t="s">
        <v>153</v>
      </c>
      <c r="N16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3" s="29"/>
      <c r="P163" s="27" t="str">
        <f>tbGroup[[#This Row],[Camp]]&amp;"-"&amp;tbGroup[[#This Row],[Difficulty]]&amp;"-"&amp;GET_GROUP_NAME(tbGroup[[#This Row],[IsBoss]],tbGroup[[#This Row],[Hero1]:[Soldier3]])&amp;tbGroup[[#This Row],[Suffix]]</f>
        <v>三国-困难-盾英+盾英</v>
      </c>
      <c r="Q163" s="15" t="s">
        <v>40</v>
      </c>
      <c r="R163" s="15">
        <v>2</v>
      </c>
      <c r="S163" s="15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  <c r="AF163" s="24"/>
      <c r="AG163" s="24"/>
      <c r="AH163" s="24"/>
      <c r="AI163" s="24"/>
      <c r="AJ163" s="24"/>
      <c r="AK163" s="24"/>
      <c r="AL163" s="24"/>
      <c r="AM163" s="24"/>
      <c r="AN163" s="24"/>
      <c r="AO163" s="24"/>
      <c r="AP163" s="24"/>
      <c r="AQ163" s="24"/>
    </row>
    <row r="164" spans="2:43">
      <c r="B164" s="1" t="s">
        <v>151</v>
      </c>
      <c r="C164" s="1" t="s">
        <v>35</v>
      </c>
      <c r="D164" s="1" t="s">
        <v>174</v>
      </c>
      <c r="F164" s="1">
        <v>2</v>
      </c>
      <c r="H164" s="1" t="s">
        <v>153</v>
      </c>
      <c r="I164" s="1" t="s">
        <v>154</v>
      </c>
      <c r="N16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4" s="29"/>
      <c r="P164" s="27" t="str">
        <f>tbGroup[[#This Row],[Camp]]&amp;"-"&amp;tbGroup[[#This Row],[Difficulty]]&amp;"-"&amp;GET_GROUP_NAME(tbGroup[[#This Row],[IsBoss]],tbGroup[[#This Row],[Hero1]:[Soldier3]])&amp;tbGroup[[#This Row],[Suffix]]</f>
        <v>三国-困难-盾英+强英</v>
      </c>
      <c r="Q164" s="15" t="s">
        <v>40</v>
      </c>
      <c r="R164" s="15">
        <v>2</v>
      </c>
      <c r="S164" s="15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  <c r="AF164" s="24"/>
      <c r="AG164" s="24"/>
      <c r="AH164" s="24"/>
      <c r="AI164" s="24"/>
      <c r="AJ164" s="24"/>
      <c r="AK164" s="24"/>
      <c r="AL164" s="24"/>
      <c r="AM164" s="24"/>
      <c r="AN164" s="24"/>
      <c r="AO164" s="24"/>
      <c r="AP164" s="24"/>
      <c r="AQ164" s="24"/>
    </row>
    <row r="165" spans="2:43">
      <c r="B165" s="1" t="s">
        <v>151</v>
      </c>
      <c r="C165" s="1" t="s">
        <v>35</v>
      </c>
      <c r="D165" s="1" t="s">
        <v>174</v>
      </c>
      <c r="F165" s="1">
        <v>2</v>
      </c>
      <c r="H165" s="1" t="s">
        <v>153</v>
      </c>
      <c r="I165" s="1" t="s">
        <v>155</v>
      </c>
      <c r="N16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5" s="29"/>
      <c r="P165" s="27" t="str">
        <f>tbGroup[[#This Row],[Camp]]&amp;"-"&amp;tbGroup[[#This Row],[Difficulty]]&amp;"-"&amp;GET_GROUP_NAME(tbGroup[[#This Row],[IsBoss]],tbGroup[[#This Row],[Hero1]:[Soldier3]])&amp;tbGroup[[#This Row],[Suffix]]</f>
        <v>三国-困难-盾英+炼英</v>
      </c>
      <c r="Q165" s="15" t="s">
        <v>40</v>
      </c>
      <c r="R165" s="15">
        <v>2</v>
      </c>
      <c r="S165" s="15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  <c r="AF165" s="24"/>
      <c r="AG165" s="24"/>
      <c r="AH165" s="24"/>
      <c r="AI165" s="24"/>
      <c r="AJ165" s="24"/>
      <c r="AK165" s="24"/>
      <c r="AL165" s="24"/>
      <c r="AM165" s="24"/>
      <c r="AN165" s="24"/>
      <c r="AO165" s="24"/>
      <c r="AP165" s="24"/>
      <c r="AQ165" s="24"/>
    </row>
    <row r="166" spans="2:43">
      <c r="B166" s="1" t="s">
        <v>151</v>
      </c>
      <c r="C166" s="1" t="s">
        <v>35</v>
      </c>
      <c r="D166" s="1" t="s">
        <v>174</v>
      </c>
      <c r="F166" s="1">
        <v>2</v>
      </c>
      <c r="H166" s="1" t="s">
        <v>153</v>
      </c>
      <c r="I166" s="1" t="s">
        <v>156</v>
      </c>
      <c r="N16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6" s="29"/>
      <c r="P166" s="27" t="str">
        <f>tbGroup[[#This Row],[Camp]]&amp;"-"&amp;tbGroup[[#This Row],[Difficulty]]&amp;"-"&amp;GET_GROUP_NAME(tbGroup[[#This Row],[IsBoss]],tbGroup[[#This Row],[Hero1]:[Soldier3]])&amp;tbGroup[[#This Row],[Suffix]]</f>
        <v>三国-困难-盾英+法英</v>
      </c>
      <c r="Q166" s="15" t="s">
        <v>40</v>
      </c>
      <c r="R166" s="15">
        <v>2</v>
      </c>
      <c r="S166" s="15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  <c r="AF166" s="24"/>
      <c r="AG166" s="24"/>
      <c r="AH166" s="24"/>
      <c r="AI166" s="24"/>
      <c r="AJ166" s="24"/>
      <c r="AK166" s="24"/>
      <c r="AL166" s="24"/>
      <c r="AM166" s="24"/>
      <c r="AN166" s="24"/>
      <c r="AO166" s="24"/>
      <c r="AP166" s="24"/>
      <c r="AQ166" s="24"/>
    </row>
    <row r="167" spans="2:43">
      <c r="B167" s="1" t="s">
        <v>151</v>
      </c>
      <c r="C167" s="1" t="s">
        <v>35</v>
      </c>
      <c r="D167" s="1" t="s">
        <v>174</v>
      </c>
      <c r="F167" s="1">
        <v>2</v>
      </c>
      <c r="H167" s="1" t="s">
        <v>153</v>
      </c>
      <c r="I167" s="1" t="s">
        <v>157</v>
      </c>
      <c r="N16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7" s="29"/>
      <c r="P167" s="27" t="str">
        <f>tbGroup[[#This Row],[Camp]]&amp;"-"&amp;tbGroup[[#This Row],[Difficulty]]&amp;"-"&amp;GET_GROUP_NAME(tbGroup[[#This Row],[IsBoss]],tbGroup[[#This Row],[Hero1]:[Soldier3]])&amp;tbGroup[[#This Row],[Suffix]]</f>
        <v>三国-困难-盾英+刺英</v>
      </c>
      <c r="Q167" s="15" t="s">
        <v>40</v>
      </c>
      <c r="R167" s="15">
        <v>2</v>
      </c>
      <c r="S167" s="15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  <c r="AF167" s="24"/>
      <c r="AG167" s="24"/>
      <c r="AH167" s="24"/>
      <c r="AI167" s="24"/>
      <c r="AJ167" s="24"/>
      <c r="AK167" s="24"/>
      <c r="AL167" s="24"/>
      <c r="AM167" s="24"/>
      <c r="AN167" s="24"/>
      <c r="AO167" s="24"/>
      <c r="AP167" s="24"/>
      <c r="AQ167" s="24"/>
    </row>
    <row r="168" spans="2:43">
      <c r="B168" s="1" t="s">
        <v>151</v>
      </c>
      <c r="C168" s="1" t="s">
        <v>35</v>
      </c>
      <c r="D168" s="1" t="s">
        <v>174</v>
      </c>
      <c r="F168" s="1">
        <v>2</v>
      </c>
      <c r="H168" s="1" t="s">
        <v>154</v>
      </c>
      <c r="I168" s="1" t="s">
        <v>154</v>
      </c>
      <c r="N16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8" s="29"/>
      <c r="P168" s="27" t="str">
        <f>tbGroup[[#This Row],[Camp]]&amp;"-"&amp;tbGroup[[#This Row],[Difficulty]]&amp;"-"&amp;GET_GROUP_NAME(tbGroup[[#This Row],[IsBoss]],tbGroup[[#This Row],[Hero1]:[Soldier3]])&amp;tbGroup[[#This Row],[Suffix]]</f>
        <v>三国-困难-强英+强英</v>
      </c>
      <c r="Q168" s="15" t="s">
        <v>40</v>
      </c>
      <c r="R168" s="15">
        <v>2</v>
      </c>
      <c r="S168" s="15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  <c r="AF168" s="24"/>
      <c r="AG168" s="24"/>
      <c r="AH168" s="24"/>
      <c r="AI168" s="24"/>
      <c r="AJ168" s="24"/>
      <c r="AK168" s="24"/>
      <c r="AL168" s="24"/>
      <c r="AM168" s="24"/>
      <c r="AN168" s="24"/>
      <c r="AO168" s="24"/>
      <c r="AP168" s="24"/>
      <c r="AQ168" s="24"/>
    </row>
    <row r="169" spans="2:43">
      <c r="B169" s="1" t="s">
        <v>151</v>
      </c>
      <c r="C169" s="1" t="s">
        <v>35</v>
      </c>
      <c r="D169" s="1" t="s">
        <v>174</v>
      </c>
      <c r="F169" s="1">
        <v>2</v>
      </c>
      <c r="H169" s="1" t="s">
        <v>154</v>
      </c>
      <c r="I169" s="1" t="s">
        <v>155</v>
      </c>
      <c r="N16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9" s="29"/>
      <c r="P169" s="27" t="str">
        <f>tbGroup[[#This Row],[Camp]]&amp;"-"&amp;tbGroup[[#This Row],[Difficulty]]&amp;"-"&amp;GET_GROUP_NAME(tbGroup[[#This Row],[IsBoss]],tbGroup[[#This Row],[Hero1]:[Soldier3]])&amp;tbGroup[[#This Row],[Suffix]]</f>
        <v>三国-困难-强英+炼英</v>
      </c>
      <c r="Q169" s="15" t="s">
        <v>40</v>
      </c>
      <c r="R169" s="15">
        <v>2</v>
      </c>
      <c r="S169" s="15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  <c r="AF169" s="24"/>
      <c r="AG169" s="24"/>
      <c r="AH169" s="24"/>
      <c r="AI169" s="24"/>
      <c r="AJ169" s="24"/>
      <c r="AK169" s="24"/>
      <c r="AL169" s="24"/>
      <c r="AM169" s="24"/>
      <c r="AN169" s="24"/>
      <c r="AO169" s="24"/>
      <c r="AP169" s="24"/>
      <c r="AQ169" s="24"/>
    </row>
    <row r="170" spans="2:43">
      <c r="B170" s="1" t="s">
        <v>151</v>
      </c>
      <c r="C170" s="1" t="s">
        <v>35</v>
      </c>
      <c r="D170" s="1" t="s">
        <v>174</v>
      </c>
      <c r="F170" s="1">
        <v>2</v>
      </c>
      <c r="H170" s="1" t="s">
        <v>154</v>
      </c>
      <c r="I170" s="1" t="s">
        <v>156</v>
      </c>
      <c r="N17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0" s="29"/>
      <c r="P170" s="27" t="str">
        <f>tbGroup[[#This Row],[Camp]]&amp;"-"&amp;tbGroup[[#This Row],[Difficulty]]&amp;"-"&amp;GET_GROUP_NAME(tbGroup[[#This Row],[IsBoss]],tbGroup[[#This Row],[Hero1]:[Soldier3]])&amp;tbGroup[[#This Row],[Suffix]]</f>
        <v>三国-困难-强英+法英</v>
      </c>
      <c r="Q170" s="15" t="s">
        <v>40</v>
      </c>
      <c r="R170" s="15">
        <v>2</v>
      </c>
      <c r="S170" s="15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  <c r="AF170" s="24"/>
      <c r="AG170" s="24"/>
      <c r="AH170" s="24"/>
      <c r="AI170" s="24"/>
      <c r="AJ170" s="24"/>
      <c r="AK170" s="24"/>
      <c r="AL170" s="24"/>
      <c r="AM170" s="24"/>
      <c r="AN170" s="24"/>
      <c r="AO170" s="24"/>
      <c r="AP170" s="24"/>
      <c r="AQ170" s="24"/>
    </row>
    <row r="171" spans="2:43">
      <c r="B171" s="1" t="s">
        <v>151</v>
      </c>
      <c r="C171" s="1" t="s">
        <v>35</v>
      </c>
      <c r="D171" s="1" t="s">
        <v>174</v>
      </c>
      <c r="F171" s="1">
        <v>2</v>
      </c>
      <c r="H171" s="1" t="s">
        <v>154</v>
      </c>
      <c r="I171" s="1" t="s">
        <v>157</v>
      </c>
      <c r="N17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1" s="29"/>
      <c r="P171" s="27" t="str">
        <f>tbGroup[[#This Row],[Camp]]&amp;"-"&amp;tbGroup[[#This Row],[Difficulty]]&amp;"-"&amp;GET_GROUP_NAME(tbGroup[[#This Row],[IsBoss]],tbGroup[[#This Row],[Hero1]:[Soldier3]])&amp;tbGroup[[#This Row],[Suffix]]</f>
        <v>三国-困难-强英+刺英</v>
      </c>
      <c r="Q171" s="15" t="s">
        <v>40</v>
      </c>
      <c r="R171" s="15">
        <v>2</v>
      </c>
      <c r="S171" s="15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  <c r="AF171" s="24"/>
      <c r="AG171" s="24"/>
      <c r="AH171" s="24"/>
      <c r="AI171" s="24"/>
      <c r="AJ171" s="24"/>
      <c r="AK171" s="24"/>
      <c r="AL171" s="24"/>
      <c r="AM171" s="24"/>
      <c r="AN171" s="24"/>
      <c r="AO171" s="24"/>
      <c r="AP171" s="24"/>
      <c r="AQ171" s="24"/>
    </row>
    <row r="172" spans="2:43">
      <c r="B172" s="1" t="s">
        <v>151</v>
      </c>
      <c r="C172" s="1" t="s">
        <v>35</v>
      </c>
      <c r="D172" s="1" t="s">
        <v>174</v>
      </c>
      <c r="F172" s="1">
        <v>2</v>
      </c>
      <c r="H172" s="1" t="s">
        <v>155</v>
      </c>
      <c r="I172" s="1" t="s">
        <v>155</v>
      </c>
      <c r="N17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2" s="29"/>
      <c r="P172" s="27" t="str">
        <f>tbGroup[[#This Row],[Camp]]&amp;"-"&amp;tbGroup[[#This Row],[Difficulty]]&amp;"-"&amp;GET_GROUP_NAME(tbGroup[[#This Row],[IsBoss]],tbGroup[[#This Row],[Hero1]:[Soldier3]])&amp;tbGroup[[#This Row],[Suffix]]</f>
        <v>三国-困难-炼英+炼英</v>
      </c>
      <c r="Q172" s="15" t="s">
        <v>40</v>
      </c>
      <c r="R172" s="15">
        <v>2</v>
      </c>
      <c r="S172" s="15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  <c r="AF172" s="24"/>
      <c r="AG172" s="24"/>
      <c r="AH172" s="24"/>
      <c r="AI172" s="24"/>
      <c r="AJ172" s="24"/>
      <c r="AK172" s="24"/>
      <c r="AL172" s="24"/>
      <c r="AM172" s="24"/>
      <c r="AN172" s="24"/>
      <c r="AO172" s="24"/>
      <c r="AP172" s="24"/>
      <c r="AQ172" s="24"/>
    </row>
    <row r="173" spans="2:43">
      <c r="B173" s="1" t="s">
        <v>151</v>
      </c>
      <c r="C173" s="1" t="s">
        <v>35</v>
      </c>
      <c r="D173" s="1" t="s">
        <v>174</v>
      </c>
      <c r="F173" s="1">
        <v>2</v>
      </c>
      <c r="H173" s="1" t="s">
        <v>155</v>
      </c>
      <c r="I173" s="1" t="s">
        <v>156</v>
      </c>
      <c r="N17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3" s="29"/>
      <c r="P173" s="27" t="str">
        <f>tbGroup[[#This Row],[Camp]]&amp;"-"&amp;tbGroup[[#This Row],[Difficulty]]&amp;"-"&amp;GET_GROUP_NAME(tbGroup[[#This Row],[IsBoss]],tbGroup[[#This Row],[Hero1]:[Soldier3]])&amp;tbGroup[[#This Row],[Suffix]]</f>
        <v>三国-困难-炼英+法英</v>
      </c>
      <c r="Q173" s="15" t="s">
        <v>40</v>
      </c>
      <c r="R173" s="15">
        <v>2</v>
      </c>
      <c r="S173" s="15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  <c r="AF173" s="24"/>
      <c r="AG173" s="24"/>
      <c r="AH173" s="24"/>
      <c r="AI173" s="24"/>
      <c r="AJ173" s="24"/>
      <c r="AK173" s="24"/>
      <c r="AL173" s="24"/>
      <c r="AM173" s="24"/>
      <c r="AN173" s="24"/>
      <c r="AO173" s="24"/>
      <c r="AP173" s="24"/>
      <c r="AQ173" s="24"/>
    </row>
    <row r="174" spans="2:43">
      <c r="B174" s="1" t="s">
        <v>151</v>
      </c>
      <c r="C174" s="1" t="s">
        <v>35</v>
      </c>
      <c r="D174" s="1" t="s">
        <v>174</v>
      </c>
      <c r="F174" s="1">
        <v>2</v>
      </c>
      <c r="H174" s="1" t="s">
        <v>155</v>
      </c>
      <c r="I174" s="1" t="s">
        <v>157</v>
      </c>
      <c r="N17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4" s="29"/>
      <c r="P174" s="27" t="str">
        <f>tbGroup[[#This Row],[Camp]]&amp;"-"&amp;tbGroup[[#This Row],[Difficulty]]&amp;"-"&amp;GET_GROUP_NAME(tbGroup[[#This Row],[IsBoss]],tbGroup[[#This Row],[Hero1]:[Soldier3]])&amp;tbGroup[[#This Row],[Suffix]]</f>
        <v>三国-困难-炼英+刺英</v>
      </c>
      <c r="Q174" s="15" t="s">
        <v>40</v>
      </c>
      <c r="R174" s="15">
        <v>2</v>
      </c>
      <c r="S174" s="15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  <c r="AF174" s="24"/>
      <c r="AG174" s="24"/>
      <c r="AH174" s="24"/>
      <c r="AI174" s="24"/>
      <c r="AJ174" s="24"/>
      <c r="AK174" s="24"/>
      <c r="AL174" s="24"/>
      <c r="AM174" s="24"/>
      <c r="AN174" s="24"/>
      <c r="AO174" s="24"/>
      <c r="AP174" s="24"/>
      <c r="AQ174" s="24"/>
    </row>
    <row r="175" spans="2:43">
      <c r="B175" s="1" t="s">
        <v>151</v>
      </c>
      <c r="C175" s="1" t="s">
        <v>35</v>
      </c>
      <c r="D175" s="1" t="s">
        <v>174</v>
      </c>
      <c r="F175" s="1">
        <v>2</v>
      </c>
      <c r="H175" s="1" t="s">
        <v>156</v>
      </c>
      <c r="I175" s="1" t="s">
        <v>156</v>
      </c>
      <c r="N17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5" s="29"/>
      <c r="P175" s="27" t="str">
        <f>tbGroup[[#This Row],[Camp]]&amp;"-"&amp;tbGroup[[#This Row],[Difficulty]]&amp;"-"&amp;GET_GROUP_NAME(tbGroup[[#This Row],[IsBoss]],tbGroup[[#This Row],[Hero1]:[Soldier3]])&amp;tbGroup[[#This Row],[Suffix]]</f>
        <v>三国-困难-法英+法英</v>
      </c>
      <c r="Q175" s="15" t="s">
        <v>40</v>
      </c>
      <c r="R175" s="15">
        <v>2</v>
      </c>
      <c r="S175" s="15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4"/>
      <c r="AI175" s="24"/>
      <c r="AJ175" s="24"/>
      <c r="AK175" s="24"/>
      <c r="AL175" s="24"/>
      <c r="AM175" s="24"/>
      <c r="AN175" s="24"/>
      <c r="AO175" s="24"/>
      <c r="AP175" s="24"/>
      <c r="AQ175" s="24"/>
    </row>
    <row r="176" spans="2:43">
      <c r="B176" s="1" t="s">
        <v>151</v>
      </c>
      <c r="C176" s="1" t="s">
        <v>35</v>
      </c>
      <c r="D176" s="1" t="s">
        <v>174</v>
      </c>
      <c r="F176" s="1">
        <v>2</v>
      </c>
      <c r="H176" s="1" t="s">
        <v>156</v>
      </c>
      <c r="I176" s="1" t="s">
        <v>157</v>
      </c>
      <c r="N17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6" s="29"/>
      <c r="P176" s="27" t="str">
        <f>tbGroup[[#This Row],[Camp]]&amp;"-"&amp;tbGroup[[#This Row],[Difficulty]]&amp;"-"&amp;GET_GROUP_NAME(tbGroup[[#This Row],[IsBoss]],tbGroup[[#This Row],[Hero1]:[Soldier3]])&amp;tbGroup[[#This Row],[Suffix]]</f>
        <v>三国-困难-法英+刺英</v>
      </c>
      <c r="Q176" s="15" t="s">
        <v>40</v>
      </c>
      <c r="R176" s="15">
        <v>2</v>
      </c>
      <c r="S176" s="15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  <c r="AG176" s="24"/>
      <c r="AH176" s="24"/>
      <c r="AI176" s="24"/>
      <c r="AJ176" s="24"/>
      <c r="AK176" s="24"/>
      <c r="AL176" s="24"/>
      <c r="AM176" s="24"/>
      <c r="AN176" s="24"/>
      <c r="AO176" s="24"/>
      <c r="AP176" s="24"/>
      <c r="AQ176" s="24"/>
    </row>
    <row r="177" spans="2:43">
      <c r="B177" s="1" t="s">
        <v>151</v>
      </c>
      <c r="C177" s="1" t="s">
        <v>35</v>
      </c>
      <c r="D177" s="1" t="s">
        <v>174</v>
      </c>
      <c r="F177" s="1">
        <v>2</v>
      </c>
      <c r="H177" s="1" t="s">
        <v>157</v>
      </c>
      <c r="I177" s="1" t="s">
        <v>157</v>
      </c>
      <c r="N17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7" s="29"/>
      <c r="P177" s="27" t="str">
        <f>tbGroup[[#This Row],[Camp]]&amp;"-"&amp;tbGroup[[#This Row],[Difficulty]]&amp;"-"&amp;GET_GROUP_NAME(tbGroup[[#This Row],[IsBoss]],tbGroup[[#This Row],[Hero1]:[Soldier3]])&amp;tbGroup[[#This Row],[Suffix]]</f>
        <v>三国-困难-刺英+刺英</v>
      </c>
      <c r="Q177" s="15" t="s">
        <v>40</v>
      </c>
      <c r="R177" s="15">
        <v>2</v>
      </c>
      <c r="S177" s="15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  <c r="AG177" s="24"/>
      <c r="AH177" s="24"/>
      <c r="AI177" s="24"/>
      <c r="AJ177" s="24"/>
      <c r="AK177" s="24"/>
      <c r="AL177" s="24"/>
      <c r="AM177" s="24"/>
      <c r="AN177" s="24"/>
      <c r="AO177" s="24"/>
      <c r="AP177" s="24"/>
      <c r="AQ177" s="24"/>
    </row>
    <row r="178" spans="2:43">
      <c r="B178" s="1" t="s">
        <v>151</v>
      </c>
      <c r="C178" s="1" t="s">
        <v>35</v>
      </c>
      <c r="D178" s="3" t="s">
        <v>191</v>
      </c>
      <c r="E178" s="1" t="b">
        <v>1</v>
      </c>
      <c r="F178" s="1">
        <v>2</v>
      </c>
      <c r="H178" s="1" t="s">
        <v>152</v>
      </c>
      <c r="I178" s="1" t="s">
        <v>152</v>
      </c>
      <c r="N17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8" s="29"/>
      <c r="P178" s="27" t="str">
        <f>tbGroup[[#This Row],[Camp]]&amp;"-"&amp;tbGroup[[#This Row],[Difficulty]]&amp;"-"&amp;GET_GROUP_NAME(tbGroup[[#This Row],[IsBoss]],tbGroup[[#This Row],[Hero1]:[Soldier3]])&amp;tbGroup[[#This Row],[Suffix]]</f>
        <v>三国-困难-[B]铁英+铁英</v>
      </c>
      <c r="Q178" s="15" t="s">
        <v>40</v>
      </c>
      <c r="R178" s="15">
        <v>2</v>
      </c>
      <c r="S178" s="15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  <c r="AG178" s="24"/>
      <c r="AH178" s="24"/>
      <c r="AI178" s="24"/>
      <c r="AJ178" s="24"/>
      <c r="AK178" s="24"/>
      <c r="AL178" s="24"/>
      <c r="AM178" s="24"/>
      <c r="AN178" s="24"/>
      <c r="AO178" s="24"/>
      <c r="AP178" s="24"/>
      <c r="AQ178" s="24"/>
    </row>
    <row r="179" spans="2:43">
      <c r="B179" s="1" t="s">
        <v>151</v>
      </c>
      <c r="C179" s="1" t="s">
        <v>35</v>
      </c>
      <c r="D179" s="3" t="s">
        <v>191</v>
      </c>
      <c r="E179" s="1" t="b">
        <v>1</v>
      </c>
      <c r="F179" s="1">
        <v>2</v>
      </c>
      <c r="H179" s="1" t="s">
        <v>152</v>
      </c>
      <c r="I179" s="1" t="s">
        <v>153</v>
      </c>
      <c r="N17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9" s="29"/>
      <c r="P179" s="27" t="str">
        <f>tbGroup[[#This Row],[Camp]]&amp;"-"&amp;tbGroup[[#This Row],[Difficulty]]&amp;"-"&amp;GET_GROUP_NAME(tbGroup[[#This Row],[IsBoss]],tbGroup[[#This Row],[Hero1]:[Soldier3]])&amp;tbGroup[[#This Row],[Suffix]]</f>
        <v>三国-困难-[B]铁英+盾英</v>
      </c>
      <c r="Q179" s="15" t="s">
        <v>40</v>
      </c>
      <c r="R179" s="15">
        <v>2</v>
      </c>
      <c r="S179" s="15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4"/>
      <c r="AI179" s="24"/>
      <c r="AJ179" s="24"/>
      <c r="AK179" s="24"/>
      <c r="AL179" s="24"/>
      <c r="AM179" s="24"/>
      <c r="AN179" s="24"/>
      <c r="AO179" s="24"/>
      <c r="AP179" s="24"/>
      <c r="AQ179" s="24"/>
    </row>
    <row r="180" spans="2:43">
      <c r="B180" s="1" t="s">
        <v>151</v>
      </c>
      <c r="C180" s="1" t="s">
        <v>35</v>
      </c>
      <c r="D180" s="3" t="s">
        <v>191</v>
      </c>
      <c r="E180" s="1" t="b">
        <v>1</v>
      </c>
      <c r="F180" s="1">
        <v>2</v>
      </c>
      <c r="H180" s="1" t="s">
        <v>152</v>
      </c>
      <c r="I180" s="1" t="s">
        <v>154</v>
      </c>
      <c r="N18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0" s="29"/>
      <c r="P180" s="27" t="str">
        <f>tbGroup[[#This Row],[Camp]]&amp;"-"&amp;tbGroup[[#This Row],[Difficulty]]&amp;"-"&amp;GET_GROUP_NAME(tbGroup[[#This Row],[IsBoss]],tbGroup[[#This Row],[Hero1]:[Soldier3]])&amp;tbGroup[[#This Row],[Suffix]]</f>
        <v>三国-困难-[B]铁英+强英</v>
      </c>
      <c r="Q180" s="15" t="s">
        <v>40</v>
      </c>
      <c r="R180" s="15">
        <v>2</v>
      </c>
      <c r="S180" s="15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4"/>
      <c r="AI180" s="24"/>
      <c r="AJ180" s="24"/>
      <c r="AK180" s="24"/>
      <c r="AL180" s="24"/>
      <c r="AM180" s="24"/>
      <c r="AN180" s="24"/>
      <c r="AO180" s="24"/>
      <c r="AP180" s="24"/>
      <c r="AQ180" s="24"/>
    </row>
    <row r="181" spans="2:43">
      <c r="B181" s="1" t="s">
        <v>151</v>
      </c>
      <c r="C181" s="1" t="s">
        <v>35</v>
      </c>
      <c r="D181" s="3" t="s">
        <v>191</v>
      </c>
      <c r="E181" s="1" t="b">
        <v>1</v>
      </c>
      <c r="F181" s="1">
        <v>2</v>
      </c>
      <c r="H181" s="1" t="s">
        <v>152</v>
      </c>
      <c r="I181" s="1" t="s">
        <v>155</v>
      </c>
      <c r="N18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1" s="29"/>
      <c r="P181" s="27" t="str">
        <f>tbGroup[[#This Row],[Camp]]&amp;"-"&amp;tbGroup[[#This Row],[Difficulty]]&amp;"-"&amp;GET_GROUP_NAME(tbGroup[[#This Row],[IsBoss]],tbGroup[[#This Row],[Hero1]:[Soldier3]])&amp;tbGroup[[#This Row],[Suffix]]</f>
        <v>三国-困难-[B]铁英+炼英</v>
      </c>
      <c r="Q181" s="15" t="s">
        <v>40</v>
      </c>
      <c r="R181" s="15">
        <v>2</v>
      </c>
      <c r="S181" s="15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  <c r="AF181" s="24"/>
      <c r="AG181" s="24"/>
      <c r="AH181" s="24"/>
      <c r="AI181" s="24"/>
      <c r="AJ181" s="24"/>
      <c r="AK181" s="24"/>
      <c r="AL181" s="24"/>
      <c r="AM181" s="24"/>
      <c r="AN181" s="24"/>
      <c r="AO181" s="24"/>
      <c r="AP181" s="24"/>
      <c r="AQ181" s="24"/>
    </row>
    <row r="182" spans="2:43">
      <c r="B182" s="1" t="s">
        <v>151</v>
      </c>
      <c r="C182" s="1" t="s">
        <v>35</v>
      </c>
      <c r="D182" s="3" t="s">
        <v>191</v>
      </c>
      <c r="E182" s="1" t="b">
        <v>1</v>
      </c>
      <c r="F182" s="1">
        <v>2</v>
      </c>
      <c r="H182" s="1" t="s">
        <v>152</v>
      </c>
      <c r="I182" s="1" t="s">
        <v>156</v>
      </c>
      <c r="N18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2" s="29"/>
      <c r="P182" s="27" t="str">
        <f>tbGroup[[#This Row],[Camp]]&amp;"-"&amp;tbGroup[[#This Row],[Difficulty]]&amp;"-"&amp;GET_GROUP_NAME(tbGroup[[#This Row],[IsBoss]],tbGroup[[#This Row],[Hero1]:[Soldier3]])&amp;tbGroup[[#This Row],[Suffix]]</f>
        <v>三国-困难-[B]铁英+法英</v>
      </c>
      <c r="Q182" s="15" t="s">
        <v>40</v>
      </c>
      <c r="R182" s="15">
        <v>2</v>
      </c>
      <c r="S182" s="15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</row>
    <row r="183" spans="2:43">
      <c r="B183" s="1" t="s">
        <v>151</v>
      </c>
      <c r="C183" s="1" t="s">
        <v>35</v>
      </c>
      <c r="D183" s="3" t="s">
        <v>191</v>
      </c>
      <c r="E183" s="1" t="b">
        <v>1</v>
      </c>
      <c r="F183" s="1">
        <v>2</v>
      </c>
      <c r="H183" s="1" t="s">
        <v>152</v>
      </c>
      <c r="I183" s="1" t="s">
        <v>157</v>
      </c>
      <c r="N18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3" s="29"/>
      <c r="P183" s="27" t="str">
        <f>tbGroup[[#This Row],[Camp]]&amp;"-"&amp;tbGroup[[#This Row],[Difficulty]]&amp;"-"&amp;GET_GROUP_NAME(tbGroup[[#This Row],[IsBoss]],tbGroup[[#This Row],[Hero1]:[Soldier3]])&amp;tbGroup[[#This Row],[Suffix]]</f>
        <v>三国-困难-[B]铁英+刺英</v>
      </c>
      <c r="Q183" s="15" t="s">
        <v>40</v>
      </c>
      <c r="R183" s="15">
        <v>2</v>
      </c>
      <c r="S183" s="15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4"/>
      <c r="AI183" s="24"/>
      <c r="AJ183" s="24"/>
      <c r="AK183" s="24"/>
      <c r="AL183" s="24"/>
      <c r="AM183" s="24"/>
      <c r="AN183" s="24"/>
      <c r="AO183" s="24"/>
      <c r="AP183" s="24"/>
      <c r="AQ183" s="24"/>
    </row>
    <row r="184" spans="2:43">
      <c r="B184" s="1" t="s">
        <v>151</v>
      </c>
      <c r="C184" s="1" t="s">
        <v>35</v>
      </c>
      <c r="D184" s="3" t="s">
        <v>191</v>
      </c>
      <c r="E184" s="1" t="b">
        <v>1</v>
      </c>
      <c r="F184" s="1">
        <v>2</v>
      </c>
      <c r="H184" s="1" t="s">
        <v>153</v>
      </c>
      <c r="I184" s="1" t="s">
        <v>153</v>
      </c>
      <c r="N18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4" s="29"/>
      <c r="P184" s="27" t="str">
        <f>tbGroup[[#This Row],[Camp]]&amp;"-"&amp;tbGroup[[#This Row],[Difficulty]]&amp;"-"&amp;GET_GROUP_NAME(tbGroup[[#This Row],[IsBoss]],tbGroup[[#This Row],[Hero1]:[Soldier3]])&amp;tbGroup[[#This Row],[Suffix]]</f>
        <v>三国-困难-[B]盾英+盾英</v>
      </c>
      <c r="Q184" s="15" t="s">
        <v>40</v>
      </c>
      <c r="R184" s="15">
        <v>2</v>
      </c>
      <c r="S184" s="15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4"/>
      <c r="AI184" s="24"/>
      <c r="AJ184" s="24"/>
      <c r="AK184" s="24"/>
      <c r="AL184" s="24"/>
      <c r="AM184" s="24"/>
      <c r="AN184" s="24"/>
      <c r="AO184" s="24"/>
      <c r="AP184" s="24"/>
      <c r="AQ184" s="24"/>
    </row>
    <row r="185" spans="2:43">
      <c r="B185" s="1" t="s">
        <v>151</v>
      </c>
      <c r="C185" s="1" t="s">
        <v>35</v>
      </c>
      <c r="D185" s="3" t="s">
        <v>191</v>
      </c>
      <c r="E185" s="1" t="b">
        <v>1</v>
      </c>
      <c r="F185" s="1">
        <v>2</v>
      </c>
      <c r="H185" s="1" t="s">
        <v>153</v>
      </c>
      <c r="I185" s="1" t="s">
        <v>154</v>
      </c>
      <c r="N18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5" s="29"/>
      <c r="P185" s="27" t="str">
        <f>tbGroup[[#This Row],[Camp]]&amp;"-"&amp;tbGroup[[#This Row],[Difficulty]]&amp;"-"&amp;GET_GROUP_NAME(tbGroup[[#This Row],[IsBoss]],tbGroup[[#This Row],[Hero1]:[Soldier3]])&amp;tbGroup[[#This Row],[Suffix]]</f>
        <v>三国-困难-[B]盾英+强英</v>
      </c>
      <c r="Q185" s="15" t="s">
        <v>40</v>
      </c>
      <c r="R185" s="15">
        <v>2</v>
      </c>
      <c r="S185" s="15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4"/>
      <c r="AI185" s="24"/>
      <c r="AJ185" s="24"/>
      <c r="AK185" s="24"/>
      <c r="AL185" s="24"/>
      <c r="AM185" s="24"/>
      <c r="AN185" s="24"/>
      <c r="AO185" s="24"/>
      <c r="AP185" s="24"/>
      <c r="AQ185" s="24"/>
    </row>
    <row r="186" spans="2:43">
      <c r="B186" s="1" t="s">
        <v>151</v>
      </c>
      <c r="C186" s="1" t="s">
        <v>35</v>
      </c>
      <c r="D186" s="3" t="s">
        <v>191</v>
      </c>
      <c r="E186" s="1" t="b">
        <v>1</v>
      </c>
      <c r="F186" s="1">
        <v>2</v>
      </c>
      <c r="H186" s="1" t="s">
        <v>153</v>
      </c>
      <c r="I186" s="1" t="s">
        <v>155</v>
      </c>
      <c r="N18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6" s="29"/>
      <c r="P186" s="27" t="str">
        <f>tbGroup[[#This Row],[Camp]]&amp;"-"&amp;tbGroup[[#This Row],[Difficulty]]&amp;"-"&amp;GET_GROUP_NAME(tbGroup[[#This Row],[IsBoss]],tbGroup[[#This Row],[Hero1]:[Soldier3]])&amp;tbGroup[[#This Row],[Suffix]]</f>
        <v>三国-困难-[B]盾英+炼英</v>
      </c>
      <c r="Q186" s="15" t="s">
        <v>40</v>
      </c>
      <c r="R186" s="15">
        <v>2</v>
      </c>
      <c r="S186" s="15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  <c r="AF186" s="24"/>
      <c r="AG186" s="24"/>
      <c r="AH186" s="24"/>
      <c r="AI186" s="24"/>
      <c r="AJ186" s="24"/>
      <c r="AK186" s="24"/>
      <c r="AL186" s="24"/>
      <c r="AM186" s="24"/>
      <c r="AN186" s="24"/>
      <c r="AO186" s="24"/>
      <c r="AP186" s="24"/>
      <c r="AQ186" s="24"/>
    </row>
    <row r="187" spans="2:43">
      <c r="B187" s="1" t="s">
        <v>151</v>
      </c>
      <c r="C187" s="1" t="s">
        <v>35</v>
      </c>
      <c r="D187" s="3" t="s">
        <v>191</v>
      </c>
      <c r="E187" s="1" t="b">
        <v>1</v>
      </c>
      <c r="F187" s="1">
        <v>2</v>
      </c>
      <c r="H187" s="1" t="s">
        <v>153</v>
      </c>
      <c r="I187" s="1" t="s">
        <v>156</v>
      </c>
      <c r="N18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7" s="29"/>
      <c r="P187" s="27" t="str">
        <f>tbGroup[[#This Row],[Camp]]&amp;"-"&amp;tbGroup[[#This Row],[Difficulty]]&amp;"-"&amp;GET_GROUP_NAME(tbGroup[[#This Row],[IsBoss]],tbGroup[[#This Row],[Hero1]:[Soldier3]])&amp;tbGroup[[#This Row],[Suffix]]</f>
        <v>三国-困难-[B]盾英+法英</v>
      </c>
      <c r="Q187" s="15" t="s">
        <v>40</v>
      </c>
      <c r="R187" s="15">
        <v>2</v>
      </c>
      <c r="S187" s="15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  <c r="AF187" s="24"/>
      <c r="AG187" s="24"/>
      <c r="AH187" s="24"/>
      <c r="AI187" s="24"/>
      <c r="AJ187" s="24"/>
      <c r="AK187" s="24"/>
      <c r="AL187" s="24"/>
      <c r="AM187" s="24"/>
      <c r="AN187" s="24"/>
      <c r="AO187" s="24"/>
      <c r="AP187" s="24"/>
      <c r="AQ187" s="24"/>
    </row>
    <row r="188" spans="2:43">
      <c r="B188" s="1" t="s">
        <v>151</v>
      </c>
      <c r="C188" s="1" t="s">
        <v>35</v>
      </c>
      <c r="D188" s="3" t="s">
        <v>191</v>
      </c>
      <c r="E188" s="1" t="b">
        <v>1</v>
      </c>
      <c r="F188" s="1">
        <v>2</v>
      </c>
      <c r="H188" s="1" t="s">
        <v>153</v>
      </c>
      <c r="I188" s="1" t="s">
        <v>157</v>
      </c>
      <c r="N18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8" s="29"/>
      <c r="P188" s="27" t="str">
        <f>tbGroup[[#This Row],[Camp]]&amp;"-"&amp;tbGroup[[#This Row],[Difficulty]]&amp;"-"&amp;GET_GROUP_NAME(tbGroup[[#This Row],[IsBoss]],tbGroup[[#This Row],[Hero1]:[Soldier3]])&amp;tbGroup[[#This Row],[Suffix]]</f>
        <v>三国-困难-[B]盾英+刺英</v>
      </c>
      <c r="Q188" s="15" t="s">
        <v>40</v>
      </c>
      <c r="R188" s="15">
        <v>2</v>
      </c>
      <c r="S188" s="15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  <c r="AF188" s="24"/>
      <c r="AG188" s="24"/>
      <c r="AH188" s="24"/>
      <c r="AI188" s="24"/>
      <c r="AJ188" s="24"/>
      <c r="AK188" s="24"/>
      <c r="AL188" s="24"/>
      <c r="AM188" s="24"/>
      <c r="AN188" s="24"/>
      <c r="AO188" s="24"/>
      <c r="AP188" s="24"/>
      <c r="AQ188" s="24"/>
    </row>
    <row r="189" spans="2:43">
      <c r="B189" s="1" t="s">
        <v>151</v>
      </c>
      <c r="C189" s="1" t="s">
        <v>35</v>
      </c>
      <c r="D189" s="3" t="s">
        <v>191</v>
      </c>
      <c r="E189" s="1" t="b">
        <v>1</v>
      </c>
      <c r="F189" s="1">
        <v>2</v>
      </c>
      <c r="H189" s="1" t="s">
        <v>154</v>
      </c>
      <c r="I189" s="1" t="s">
        <v>154</v>
      </c>
      <c r="N18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9" s="29"/>
      <c r="P189" s="27" t="str">
        <f>tbGroup[[#This Row],[Camp]]&amp;"-"&amp;tbGroup[[#This Row],[Difficulty]]&amp;"-"&amp;GET_GROUP_NAME(tbGroup[[#This Row],[IsBoss]],tbGroup[[#This Row],[Hero1]:[Soldier3]])&amp;tbGroup[[#This Row],[Suffix]]</f>
        <v>三国-困难-[B]强英+强英</v>
      </c>
      <c r="Q189" s="15" t="s">
        <v>40</v>
      </c>
      <c r="R189" s="15">
        <v>2</v>
      </c>
      <c r="S189" s="15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  <c r="AF189" s="24"/>
      <c r="AG189" s="24"/>
      <c r="AH189" s="24"/>
      <c r="AI189" s="24"/>
      <c r="AJ189" s="24"/>
      <c r="AK189" s="24"/>
      <c r="AL189" s="24"/>
      <c r="AM189" s="24"/>
      <c r="AN189" s="24"/>
      <c r="AO189" s="24"/>
      <c r="AP189" s="24"/>
      <c r="AQ189" s="24"/>
    </row>
    <row r="190" spans="2:43">
      <c r="B190" s="1" t="s">
        <v>151</v>
      </c>
      <c r="C190" s="1" t="s">
        <v>35</v>
      </c>
      <c r="D190" s="3" t="s">
        <v>191</v>
      </c>
      <c r="E190" s="1" t="b">
        <v>1</v>
      </c>
      <c r="F190" s="1">
        <v>2</v>
      </c>
      <c r="H190" s="1" t="s">
        <v>154</v>
      </c>
      <c r="I190" s="1" t="s">
        <v>155</v>
      </c>
      <c r="N19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0" s="29"/>
      <c r="P190" s="27" t="str">
        <f>tbGroup[[#This Row],[Camp]]&amp;"-"&amp;tbGroup[[#This Row],[Difficulty]]&amp;"-"&amp;GET_GROUP_NAME(tbGroup[[#This Row],[IsBoss]],tbGroup[[#This Row],[Hero1]:[Soldier3]])&amp;tbGroup[[#This Row],[Suffix]]</f>
        <v>三国-困难-[B]强英+炼英</v>
      </c>
      <c r="Q190" s="15" t="s">
        <v>40</v>
      </c>
      <c r="R190" s="15">
        <v>2</v>
      </c>
      <c r="S190" s="15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24"/>
      <c r="AI190" s="24"/>
      <c r="AJ190" s="24"/>
      <c r="AK190" s="24"/>
      <c r="AL190" s="24"/>
      <c r="AM190" s="24"/>
      <c r="AN190" s="24"/>
      <c r="AO190" s="24"/>
      <c r="AP190" s="24"/>
      <c r="AQ190" s="24"/>
    </row>
    <row r="191" spans="2:43">
      <c r="B191" s="1" t="s">
        <v>151</v>
      </c>
      <c r="C191" s="1" t="s">
        <v>35</v>
      </c>
      <c r="D191" s="3" t="s">
        <v>191</v>
      </c>
      <c r="E191" s="1" t="b">
        <v>1</v>
      </c>
      <c r="F191" s="1">
        <v>2</v>
      </c>
      <c r="H191" s="1" t="s">
        <v>154</v>
      </c>
      <c r="I191" s="1" t="s">
        <v>156</v>
      </c>
      <c r="N19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1" s="29"/>
      <c r="P191" s="27" t="str">
        <f>tbGroup[[#This Row],[Camp]]&amp;"-"&amp;tbGroup[[#This Row],[Difficulty]]&amp;"-"&amp;GET_GROUP_NAME(tbGroup[[#This Row],[IsBoss]],tbGroup[[#This Row],[Hero1]:[Soldier3]])&amp;tbGroup[[#This Row],[Suffix]]</f>
        <v>三国-困难-[B]强英+法英</v>
      </c>
      <c r="Q191" s="15" t="s">
        <v>40</v>
      </c>
      <c r="R191" s="15">
        <v>2</v>
      </c>
      <c r="S191" s="15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  <c r="AF191" s="24"/>
      <c r="AG191" s="24"/>
      <c r="AH191" s="24"/>
      <c r="AI191" s="24"/>
      <c r="AJ191" s="24"/>
      <c r="AK191" s="24"/>
      <c r="AL191" s="24"/>
      <c r="AM191" s="24"/>
      <c r="AN191" s="24"/>
      <c r="AO191" s="24"/>
      <c r="AP191" s="24"/>
      <c r="AQ191" s="24"/>
    </row>
    <row r="192" spans="2:43">
      <c r="B192" s="1" t="s">
        <v>151</v>
      </c>
      <c r="C192" s="1" t="s">
        <v>35</v>
      </c>
      <c r="D192" s="3" t="s">
        <v>191</v>
      </c>
      <c r="E192" s="1" t="b">
        <v>1</v>
      </c>
      <c r="F192" s="1">
        <v>2</v>
      </c>
      <c r="H192" s="1" t="s">
        <v>154</v>
      </c>
      <c r="I192" s="1" t="s">
        <v>157</v>
      </c>
      <c r="N19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2" s="29"/>
      <c r="P192" s="27" t="str">
        <f>tbGroup[[#This Row],[Camp]]&amp;"-"&amp;tbGroup[[#This Row],[Difficulty]]&amp;"-"&amp;GET_GROUP_NAME(tbGroup[[#This Row],[IsBoss]],tbGroup[[#This Row],[Hero1]:[Soldier3]])&amp;tbGroup[[#This Row],[Suffix]]</f>
        <v>三国-困难-[B]强英+刺英</v>
      </c>
      <c r="Q192" s="15" t="s">
        <v>40</v>
      </c>
      <c r="R192" s="15">
        <v>2</v>
      </c>
      <c r="S192" s="15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  <c r="AF192" s="24"/>
      <c r="AG192" s="24"/>
      <c r="AH192" s="24"/>
      <c r="AI192" s="24"/>
      <c r="AJ192" s="24"/>
      <c r="AK192" s="24"/>
      <c r="AL192" s="24"/>
      <c r="AM192" s="24"/>
      <c r="AN192" s="24"/>
      <c r="AO192" s="24"/>
      <c r="AP192" s="24"/>
      <c r="AQ192" s="24"/>
    </row>
    <row r="193" spans="2:43">
      <c r="B193" s="1" t="s">
        <v>151</v>
      </c>
      <c r="C193" s="1" t="s">
        <v>35</v>
      </c>
      <c r="D193" s="3" t="s">
        <v>191</v>
      </c>
      <c r="E193" s="1" t="b">
        <v>1</v>
      </c>
      <c r="F193" s="1">
        <v>2</v>
      </c>
      <c r="H193" s="1" t="s">
        <v>155</v>
      </c>
      <c r="I193" s="1" t="s">
        <v>155</v>
      </c>
      <c r="N19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3" s="29"/>
      <c r="P193" s="27" t="str">
        <f>tbGroup[[#This Row],[Camp]]&amp;"-"&amp;tbGroup[[#This Row],[Difficulty]]&amp;"-"&amp;GET_GROUP_NAME(tbGroup[[#This Row],[IsBoss]],tbGroup[[#This Row],[Hero1]:[Soldier3]])&amp;tbGroup[[#This Row],[Suffix]]</f>
        <v>三国-困难-[B]炼英+炼英</v>
      </c>
      <c r="Q193" s="15" t="s">
        <v>40</v>
      </c>
      <c r="R193" s="15">
        <v>2</v>
      </c>
      <c r="S193" s="15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  <c r="AF193" s="24"/>
      <c r="AG193" s="24"/>
      <c r="AH193" s="24"/>
      <c r="AI193" s="24"/>
      <c r="AJ193" s="24"/>
      <c r="AK193" s="24"/>
      <c r="AL193" s="24"/>
      <c r="AM193" s="24"/>
      <c r="AN193" s="24"/>
      <c r="AO193" s="24"/>
      <c r="AP193" s="24"/>
      <c r="AQ193" s="24"/>
    </row>
    <row r="194" spans="2:43">
      <c r="B194" s="1" t="s">
        <v>151</v>
      </c>
      <c r="C194" s="1" t="s">
        <v>35</v>
      </c>
      <c r="D194" s="3" t="s">
        <v>191</v>
      </c>
      <c r="E194" s="1" t="b">
        <v>1</v>
      </c>
      <c r="F194" s="1">
        <v>2</v>
      </c>
      <c r="H194" s="1" t="s">
        <v>155</v>
      </c>
      <c r="I194" s="1" t="s">
        <v>156</v>
      </c>
      <c r="N19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4" s="29"/>
      <c r="P194" s="27" t="str">
        <f>tbGroup[[#This Row],[Camp]]&amp;"-"&amp;tbGroup[[#This Row],[Difficulty]]&amp;"-"&amp;GET_GROUP_NAME(tbGroup[[#This Row],[IsBoss]],tbGroup[[#This Row],[Hero1]:[Soldier3]])&amp;tbGroup[[#This Row],[Suffix]]</f>
        <v>三国-困难-[B]炼英+法英</v>
      </c>
      <c r="Q194" s="15" t="s">
        <v>40</v>
      </c>
      <c r="R194" s="15">
        <v>2</v>
      </c>
      <c r="S194" s="15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4"/>
      <c r="AI194" s="24"/>
      <c r="AJ194" s="24"/>
      <c r="AK194" s="24"/>
      <c r="AL194" s="24"/>
      <c r="AM194" s="24"/>
      <c r="AN194" s="24"/>
      <c r="AO194" s="24"/>
      <c r="AP194" s="24"/>
      <c r="AQ194" s="24"/>
    </row>
    <row r="195" spans="2:43">
      <c r="B195" s="1" t="s">
        <v>151</v>
      </c>
      <c r="C195" s="1" t="s">
        <v>35</v>
      </c>
      <c r="D195" s="3" t="s">
        <v>191</v>
      </c>
      <c r="E195" s="1" t="b">
        <v>1</v>
      </c>
      <c r="F195" s="1">
        <v>2</v>
      </c>
      <c r="H195" s="1" t="s">
        <v>155</v>
      </c>
      <c r="I195" s="1" t="s">
        <v>157</v>
      </c>
      <c r="N19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5" s="29"/>
      <c r="P195" s="27" t="str">
        <f>tbGroup[[#This Row],[Camp]]&amp;"-"&amp;tbGroup[[#This Row],[Difficulty]]&amp;"-"&amp;GET_GROUP_NAME(tbGroup[[#This Row],[IsBoss]],tbGroup[[#This Row],[Hero1]:[Soldier3]])&amp;tbGroup[[#This Row],[Suffix]]</f>
        <v>三国-困难-[B]炼英+刺英</v>
      </c>
      <c r="Q195" s="15" t="s">
        <v>40</v>
      </c>
      <c r="R195" s="15">
        <v>2</v>
      </c>
      <c r="S195" s="15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  <c r="AF195" s="24"/>
      <c r="AG195" s="24"/>
      <c r="AH195" s="24"/>
      <c r="AI195" s="24"/>
      <c r="AJ195" s="24"/>
      <c r="AK195" s="24"/>
      <c r="AL195" s="24"/>
      <c r="AM195" s="24"/>
      <c r="AN195" s="24"/>
      <c r="AO195" s="24"/>
      <c r="AP195" s="24"/>
      <c r="AQ195" s="24"/>
    </row>
    <row r="196" spans="2:43">
      <c r="B196" s="1" t="s">
        <v>151</v>
      </c>
      <c r="C196" s="1" t="s">
        <v>35</v>
      </c>
      <c r="D196" s="3" t="s">
        <v>191</v>
      </c>
      <c r="E196" s="1" t="b">
        <v>1</v>
      </c>
      <c r="F196" s="1">
        <v>2</v>
      </c>
      <c r="H196" s="1" t="s">
        <v>156</v>
      </c>
      <c r="I196" s="1" t="s">
        <v>156</v>
      </c>
      <c r="N19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6" s="29"/>
      <c r="P196" s="27" t="str">
        <f>tbGroup[[#This Row],[Camp]]&amp;"-"&amp;tbGroup[[#This Row],[Difficulty]]&amp;"-"&amp;GET_GROUP_NAME(tbGroup[[#This Row],[IsBoss]],tbGroup[[#This Row],[Hero1]:[Soldier3]])&amp;tbGroup[[#This Row],[Suffix]]</f>
        <v>三国-困难-[B]法英+法英</v>
      </c>
      <c r="Q196" s="15" t="s">
        <v>40</v>
      </c>
      <c r="R196" s="15">
        <v>2</v>
      </c>
      <c r="S196" s="15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  <c r="AF196" s="24"/>
      <c r="AG196" s="24"/>
      <c r="AH196" s="24"/>
      <c r="AI196" s="24"/>
      <c r="AJ196" s="24"/>
      <c r="AK196" s="24"/>
      <c r="AL196" s="24"/>
      <c r="AM196" s="24"/>
      <c r="AN196" s="24"/>
      <c r="AO196" s="24"/>
      <c r="AP196" s="24"/>
      <c r="AQ196" s="24"/>
    </row>
    <row r="197" spans="2:43">
      <c r="B197" s="1" t="s">
        <v>151</v>
      </c>
      <c r="C197" s="1" t="s">
        <v>35</v>
      </c>
      <c r="D197" s="3" t="s">
        <v>191</v>
      </c>
      <c r="E197" s="1" t="b">
        <v>1</v>
      </c>
      <c r="F197" s="1">
        <v>2</v>
      </c>
      <c r="H197" s="1" t="s">
        <v>156</v>
      </c>
      <c r="I197" s="1" t="s">
        <v>157</v>
      </c>
      <c r="N19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7" s="29"/>
      <c r="P197" s="27" t="str">
        <f>tbGroup[[#This Row],[Camp]]&amp;"-"&amp;tbGroup[[#This Row],[Difficulty]]&amp;"-"&amp;GET_GROUP_NAME(tbGroup[[#This Row],[IsBoss]],tbGroup[[#This Row],[Hero1]:[Soldier3]])&amp;tbGroup[[#This Row],[Suffix]]</f>
        <v>三国-困难-[B]法英+刺英</v>
      </c>
      <c r="Q197" s="15" t="s">
        <v>40</v>
      </c>
      <c r="R197" s="15">
        <v>2</v>
      </c>
      <c r="S197" s="15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  <c r="AG197" s="24"/>
      <c r="AH197" s="24"/>
      <c r="AI197" s="24"/>
      <c r="AJ197" s="24"/>
      <c r="AK197" s="24"/>
      <c r="AL197" s="24"/>
      <c r="AM197" s="24"/>
      <c r="AN197" s="24"/>
      <c r="AO197" s="24"/>
      <c r="AP197" s="24"/>
      <c r="AQ197" s="24"/>
    </row>
    <row r="198" spans="2:43">
      <c r="B198" s="1" t="s">
        <v>151</v>
      </c>
      <c r="C198" s="1" t="s">
        <v>35</v>
      </c>
      <c r="D198" s="3" t="s">
        <v>191</v>
      </c>
      <c r="E198" s="1" t="b">
        <v>1</v>
      </c>
      <c r="F198" s="1">
        <v>2</v>
      </c>
      <c r="H198" s="1" t="s">
        <v>157</v>
      </c>
      <c r="I198" s="1" t="s">
        <v>157</v>
      </c>
      <c r="N19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8" s="29"/>
      <c r="P198" s="27" t="str">
        <f>tbGroup[[#This Row],[Camp]]&amp;"-"&amp;tbGroup[[#This Row],[Difficulty]]&amp;"-"&amp;GET_GROUP_NAME(tbGroup[[#This Row],[IsBoss]],tbGroup[[#This Row],[Hero1]:[Soldier3]])&amp;tbGroup[[#This Row],[Suffix]]</f>
        <v>三国-困难-[B]刺英+刺英</v>
      </c>
      <c r="Q198" s="15" t="s">
        <v>40</v>
      </c>
      <c r="R198" s="15">
        <v>2</v>
      </c>
      <c r="S198" s="15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  <c r="AF198" s="24"/>
      <c r="AG198" s="24"/>
      <c r="AH198" s="24"/>
      <c r="AI198" s="24"/>
      <c r="AJ198" s="24"/>
      <c r="AK198" s="24"/>
      <c r="AL198" s="24"/>
      <c r="AM198" s="24"/>
      <c r="AN198" s="24"/>
      <c r="AO198" s="24"/>
      <c r="AP198" s="24"/>
      <c r="AQ198" s="24"/>
    </row>
    <row r="199" spans="2:43">
      <c r="B199" s="1" t="s">
        <v>176</v>
      </c>
      <c r="C199" s="1" t="s">
        <v>36</v>
      </c>
      <c r="D199" s="1" t="s">
        <v>179</v>
      </c>
      <c r="F199" s="1">
        <v>2</v>
      </c>
      <c r="H199" s="1" t="s">
        <v>152</v>
      </c>
      <c r="I199" s="1" t="s">
        <v>152</v>
      </c>
      <c r="N19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9" s="29"/>
      <c r="P199" s="27" t="str">
        <f>tbGroup[[#This Row],[Camp]]&amp;"-"&amp;tbGroup[[#This Row],[Difficulty]]&amp;"-"&amp;GET_GROUP_NAME(tbGroup[[#This Row],[IsBoss]],tbGroup[[#This Row],[Hero1]:[Soldier3]])&amp;tbGroup[[#This Row],[Suffix]]</f>
        <v>三国-超难-铁英+铁英</v>
      </c>
      <c r="Q199" s="15" t="s">
        <v>40</v>
      </c>
      <c r="R199" s="15">
        <v>2</v>
      </c>
      <c r="S199" s="15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  <c r="AF199" s="24"/>
      <c r="AG199" s="24"/>
      <c r="AH199" s="24"/>
      <c r="AI199" s="24"/>
      <c r="AJ199" s="24"/>
      <c r="AK199" s="24"/>
      <c r="AL199" s="24"/>
      <c r="AM199" s="24"/>
      <c r="AN199" s="24"/>
      <c r="AO199" s="24"/>
      <c r="AP199" s="24"/>
      <c r="AQ199" s="24"/>
    </row>
    <row r="200" spans="2:43">
      <c r="B200" s="1" t="s">
        <v>151</v>
      </c>
      <c r="C200" s="1" t="s">
        <v>36</v>
      </c>
      <c r="D200" s="1" t="s">
        <v>179</v>
      </c>
      <c r="F200" s="1">
        <v>2</v>
      </c>
      <c r="H200" s="1" t="s">
        <v>152</v>
      </c>
      <c r="I200" s="1" t="s">
        <v>153</v>
      </c>
      <c r="N20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0" s="29"/>
      <c r="P200" s="27" t="str">
        <f>tbGroup[[#This Row],[Camp]]&amp;"-"&amp;tbGroup[[#This Row],[Difficulty]]&amp;"-"&amp;GET_GROUP_NAME(tbGroup[[#This Row],[IsBoss]],tbGroup[[#This Row],[Hero1]:[Soldier3]])&amp;tbGroup[[#This Row],[Suffix]]</f>
        <v>三国-超难-铁英+盾英</v>
      </c>
      <c r="Q200" s="15" t="s">
        <v>40</v>
      </c>
      <c r="R200" s="15">
        <v>2</v>
      </c>
      <c r="S200" s="15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  <c r="AG200" s="24"/>
      <c r="AH200" s="24"/>
      <c r="AI200" s="24"/>
      <c r="AJ200" s="24"/>
      <c r="AK200" s="24"/>
      <c r="AL200" s="24"/>
      <c r="AM200" s="24"/>
      <c r="AN200" s="24"/>
      <c r="AO200" s="24"/>
      <c r="AP200" s="24"/>
      <c r="AQ200" s="24"/>
    </row>
    <row r="201" spans="2:43">
      <c r="B201" s="1" t="s">
        <v>151</v>
      </c>
      <c r="C201" s="1" t="s">
        <v>36</v>
      </c>
      <c r="D201" s="1" t="s">
        <v>179</v>
      </c>
      <c r="F201" s="1">
        <v>2</v>
      </c>
      <c r="H201" s="1" t="s">
        <v>152</v>
      </c>
      <c r="I201" s="1" t="s">
        <v>154</v>
      </c>
      <c r="N20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1" s="29"/>
      <c r="P201" s="27" t="str">
        <f>tbGroup[[#This Row],[Camp]]&amp;"-"&amp;tbGroup[[#This Row],[Difficulty]]&amp;"-"&amp;GET_GROUP_NAME(tbGroup[[#This Row],[IsBoss]],tbGroup[[#This Row],[Hero1]:[Soldier3]])&amp;tbGroup[[#This Row],[Suffix]]</f>
        <v>三国-超难-铁英+强英</v>
      </c>
      <c r="Q201" s="15" t="s">
        <v>40</v>
      </c>
      <c r="R201" s="15">
        <v>2</v>
      </c>
      <c r="S201" s="15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  <c r="AF201" s="24"/>
      <c r="AG201" s="24"/>
      <c r="AH201" s="24"/>
      <c r="AI201" s="24"/>
      <c r="AJ201" s="24"/>
      <c r="AK201" s="24"/>
      <c r="AL201" s="24"/>
      <c r="AM201" s="24"/>
      <c r="AN201" s="24"/>
      <c r="AO201" s="24"/>
      <c r="AP201" s="24"/>
      <c r="AQ201" s="24"/>
    </row>
    <row r="202" spans="2:43">
      <c r="B202" s="1" t="s">
        <v>151</v>
      </c>
      <c r="C202" s="1" t="s">
        <v>36</v>
      </c>
      <c r="D202" s="1" t="s">
        <v>179</v>
      </c>
      <c r="F202" s="1">
        <v>2</v>
      </c>
      <c r="H202" s="1" t="s">
        <v>152</v>
      </c>
      <c r="I202" s="1" t="s">
        <v>155</v>
      </c>
      <c r="N20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2" s="29"/>
      <c r="P202" s="27" t="str">
        <f>tbGroup[[#This Row],[Camp]]&amp;"-"&amp;tbGroup[[#This Row],[Difficulty]]&amp;"-"&amp;GET_GROUP_NAME(tbGroup[[#This Row],[IsBoss]],tbGroup[[#This Row],[Hero1]:[Soldier3]])&amp;tbGroup[[#This Row],[Suffix]]</f>
        <v>三国-超难-铁英+炼英</v>
      </c>
      <c r="Q202" s="15" t="s">
        <v>40</v>
      </c>
      <c r="R202" s="15">
        <v>2</v>
      </c>
      <c r="S202" s="15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  <c r="AF202" s="24"/>
      <c r="AG202" s="24"/>
      <c r="AH202" s="24"/>
      <c r="AI202" s="24"/>
      <c r="AJ202" s="24"/>
      <c r="AK202" s="24"/>
      <c r="AL202" s="24"/>
      <c r="AM202" s="24"/>
      <c r="AN202" s="24"/>
      <c r="AO202" s="24"/>
      <c r="AP202" s="24"/>
      <c r="AQ202" s="24"/>
    </row>
    <row r="203" spans="2:43">
      <c r="B203" s="1" t="s">
        <v>151</v>
      </c>
      <c r="C203" s="1" t="s">
        <v>36</v>
      </c>
      <c r="D203" s="1" t="s">
        <v>179</v>
      </c>
      <c r="F203" s="1">
        <v>2</v>
      </c>
      <c r="H203" s="1" t="s">
        <v>152</v>
      </c>
      <c r="I203" s="1" t="s">
        <v>156</v>
      </c>
      <c r="N20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3" s="29"/>
      <c r="P203" s="27" t="str">
        <f>tbGroup[[#This Row],[Camp]]&amp;"-"&amp;tbGroup[[#This Row],[Difficulty]]&amp;"-"&amp;GET_GROUP_NAME(tbGroup[[#This Row],[IsBoss]],tbGroup[[#This Row],[Hero1]:[Soldier3]])&amp;tbGroup[[#This Row],[Suffix]]</f>
        <v>三国-超难-铁英+法英</v>
      </c>
      <c r="Q203" s="15" t="s">
        <v>40</v>
      </c>
      <c r="R203" s="15">
        <v>2</v>
      </c>
      <c r="S203" s="15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  <c r="AF203" s="24"/>
      <c r="AG203" s="24"/>
      <c r="AH203" s="24"/>
      <c r="AI203" s="24"/>
      <c r="AJ203" s="24"/>
      <c r="AK203" s="24"/>
      <c r="AL203" s="24"/>
      <c r="AM203" s="24"/>
      <c r="AN203" s="24"/>
      <c r="AO203" s="24"/>
      <c r="AP203" s="24"/>
      <c r="AQ203" s="24"/>
    </row>
    <row r="204" spans="2:43">
      <c r="B204" s="1" t="s">
        <v>151</v>
      </c>
      <c r="C204" s="1" t="s">
        <v>36</v>
      </c>
      <c r="D204" s="1" t="s">
        <v>179</v>
      </c>
      <c r="F204" s="1">
        <v>2</v>
      </c>
      <c r="H204" s="1" t="s">
        <v>152</v>
      </c>
      <c r="I204" s="1" t="s">
        <v>157</v>
      </c>
      <c r="N20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4" s="29"/>
      <c r="P204" s="27" t="str">
        <f>tbGroup[[#This Row],[Camp]]&amp;"-"&amp;tbGroup[[#This Row],[Difficulty]]&amp;"-"&amp;GET_GROUP_NAME(tbGroup[[#This Row],[IsBoss]],tbGroup[[#This Row],[Hero1]:[Soldier3]])&amp;tbGroup[[#This Row],[Suffix]]</f>
        <v>三国-超难-铁英+刺英</v>
      </c>
      <c r="Q204" s="15" t="s">
        <v>40</v>
      </c>
      <c r="R204" s="15">
        <v>2</v>
      </c>
      <c r="S204" s="15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  <c r="AF204" s="24"/>
      <c r="AG204" s="24"/>
      <c r="AH204" s="24"/>
      <c r="AI204" s="24"/>
      <c r="AJ204" s="24"/>
      <c r="AK204" s="24"/>
      <c r="AL204" s="24"/>
      <c r="AM204" s="24"/>
      <c r="AN204" s="24"/>
      <c r="AO204" s="24"/>
      <c r="AP204" s="24"/>
      <c r="AQ204" s="24"/>
    </row>
    <row r="205" spans="2:43">
      <c r="B205" s="1" t="s">
        <v>151</v>
      </c>
      <c r="C205" s="1" t="s">
        <v>36</v>
      </c>
      <c r="D205" s="1" t="s">
        <v>179</v>
      </c>
      <c r="F205" s="1">
        <v>2</v>
      </c>
      <c r="H205" s="1" t="s">
        <v>153</v>
      </c>
      <c r="I205" s="1" t="s">
        <v>153</v>
      </c>
      <c r="N20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5" s="29"/>
      <c r="P205" s="27" t="str">
        <f>tbGroup[[#This Row],[Camp]]&amp;"-"&amp;tbGroup[[#This Row],[Difficulty]]&amp;"-"&amp;GET_GROUP_NAME(tbGroup[[#This Row],[IsBoss]],tbGroup[[#This Row],[Hero1]:[Soldier3]])&amp;tbGroup[[#This Row],[Suffix]]</f>
        <v>三国-超难-盾英+盾英</v>
      </c>
      <c r="Q205" s="15" t="s">
        <v>40</v>
      </c>
      <c r="R205" s="15">
        <v>2</v>
      </c>
      <c r="S205" s="15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  <c r="AF205" s="24"/>
      <c r="AG205" s="24"/>
      <c r="AH205" s="24"/>
      <c r="AI205" s="24"/>
      <c r="AJ205" s="24"/>
      <c r="AK205" s="24"/>
      <c r="AL205" s="24"/>
      <c r="AM205" s="24"/>
      <c r="AN205" s="24"/>
      <c r="AO205" s="24"/>
      <c r="AP205" s="24"/>
      <c r="AQ205" s="24"/>
    </row>
    <row r="206" spans="2:43">
      <c r="B206" s="1" t="s">
        <v>151</v>
      </c>
      <c r="C206" s="1" t="s">
        <v>36</v>
      </c>
      <c r="D206" s="1" t="s">
        <v>179</v>
      </c>
      <c r="F206" s="1">
        <v>2</v>
      </c>
      <c r="H206" s="1" t="s">
        <v>153</v>
      </c>
      <c r="I206" s="1" t="s">
        <v>154</v>
      </c>
      <c r="N20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6" s="29"/>
      <c r="P206" s="27" t="str">
        <f>tbGroup[[#This Row],[Camp]]&amp;"-"&amp;tbGroup[[#This Row],[Difficulty]]&amp;"-"&amp;GET_GROUP_NAME(tbGroup[[#This Row],[IsBoss]],tbGroup[[#This Row],[Hero1]:[Soldier3]])&amp;tbGroup[[#This Row],[Suffix]]</f>
        <v>三国-超难-盾英+强英</v>
      </c>
      <c r="Q206" s="15" t="s">
        <v>40</v>
      </c>
      <c r="R206" s="15">
        <v>2</v>
      </c>
      <c r="S206" s="15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  <c r="AF206" s="24"/>
      <c r="AG206" s="24"/>
      <c r="AH206" s="24"/>
      <c r="AI206" s="24"/>
      <c r="AJ206" s="24"/>
      <c r="AK206" s="24"/>
      <c r="AL206" s="24"/>
      <c r="AM206" s="24"/>
      <c r="AN206" s="24"/>
      <c r="AO206" s="24"/>
      <c r="AP206" s="24"/>
      <c r="AQ206" s="24"/>
    </row>
    <row r="207" spans="2:43">
      <c r="B207" s="1" t="s">
        <v>151</v>
      </c>
      <c r="C207" s="1" t="s">
        <v>36</v>
      </c>
      <c r="D207" s="1" t="s">
        <v>179</v>
      </c>
      <c r="F207" s="1">
        <v>2</v>
      </c>
      <c r="H207" s="1" t="s">
        <v>153</v>
      </c>
      <c r="I207" s="1" t="s">
        <v>155</v>
      </c>
      <c r="N20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7" s="29"/>
      <c r="P207" s="27" t="str">
        <f>tbGroup[[#This Row],[Camp]]&amp;"-"&amp;tbGroup[[#This Row],[Difficulty]]&amp;"-"&amp;GET_GROUP_NAME(tbGroup[[#This Row],[IsBoss]],tbGroup[[#This Row],[Hero1]:[Soldier3]])&amp;tbGroup[[#This Row],[Suffix]]</f>
        <v>三国-超难-盾英+炼英</v>
      </c>
      <c r="Q207" s="15" t="s">
        <v>40</v>
      </c>
      <c r="R207" s="15">
        <v>2</v>
      </c>
      <c r="S207" s="15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  <c r="AF207" s="24"/>
      <c r="AG207" s="24"/>
      <c r="AH207" s="24"/>
      <c r="AI207" s="24"/>
      <c r="AJ207" s="24"/>
      <c r="AK207" s="24"/>
      <c r="AL207" s="24"/>
      <c r="AM207" s="24"/>
      <c r="AN207" s="24"/>
      <c r="AO207" s="24"/>
      <c r="AP207" s="24"/>
      <c r="AQ207" s="24"/>
    </row>
    <row r="208" spans="2:43">
      <c r="B208" s="1" t="s">
        <v>151</v>
      </c>
      <c r="C208" s="1" t="s">
        <v>36</v>
      </c>
      <c r="D208" s="1" t="s">
        <v>179</v>
      </c>
      <c r="F208" s="1">
        <v>2</v>
      </c>
      <c r="H208" s="1" t="s">
        <v>153</v>
      </c>
      <c r="I208" s="1" t="s">
        <v>156</v>
      </c>
      <c r="N20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8" s="29"/>
      <c r="P208" s="27" t="str">
        <f>tbGroup[[#This Row],[Camp]]&amp;"-"&amp;tbGroup[[#This Row],[Difficulty]]&amp;"-"&amp;GET_GROUP_NAME(tbGroup[[#This Row],[IsBoss]],tbGroup[[#This Row],[Hero1]:[Soldier3]])&amp;tbGroup[[#This Row],[Suffix]]</f>
        <v>三国-超难-盾英+法英</v>
      </c>
      <c r="Q208" s="15" t="s">
        <v>40</v>
      </c>
      <c r="R208" s="15">
        <v>2</v>
      </c>
      <c r="S208" s="15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  <c r="AF208" s="24"/>
      <c r="AG208" s="24"/>
      <c r="AH208" s="24"/>
      <c r="AI208" s="24"/>
      <c r="AJ208" s="24"/>
      <c r="AK208" s="24"/>
      <c r="AL208" s="24"/>
      <c r="AM208" s="24"/>
      <c r="AN208" s="24"/>
      <c r="AO208" s="24"/>
      <c r="AP208" s="24"/>
      <c r="AQ208" s="24"/>
    </row>
    <row r="209" spans="2:43">
      <c r="B209" s="1" t="s">
        <v>151</v>
      </c>
      <c r="C209" s="1" t="s">
        <v>36</v>
      </c>
      <c r="D209" s="1" t="s">
        <v>179</v>
      </c>
      <c r="F209" s="1">
        <v>2</v>
      </c>
      <c r="H209" s="1" t="s">
        <v>153</v>
      </c>
      <c r="I209" s="1" t="s">
        <v>157</v>
      </c>
      <c r="N20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9" s="29"/>
      <c r="P209" s="27" t="str">
        <f>tbGroup[[#This Row],[Camp]]&amp;"-"&amp;tbGroup[[#This Row],[Difficulty]]&amp;"-"&amp;GET_GROUP_NAME(tbGroup[[#This Row],[IsBoss]],tbGroup[[#This Row],[Hero1]:[Soldier3]])&amp;tbGroup[[#This Row],[Suffix]]</f>
        <v>三国-超难-盾英+刺英</v>
      </c>
      <c r="Q209" s="15" t="s">
        <v>40</v>
      </c>
      <c r="R209" s="15">
        <v>2</v>
      </c>
      <c r="S209" s="15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  <c r="AF209" s="24"/>
      <c r="AG209" s="24"/>
      <c r="AH209" s="24"/>
      <c r="AI209" s="24"/>
      <c r="AJ209" s="24"/>
      <c r="AK209" s="24"/>
      <c r="AL209" s="24"/>
      <c r="AM209" s="24"/>
      <c r="AN209" s="24"/>
      <c r="AO209" s="24"/>
      <c r="AP209" s="24"/>
      <c r="AQ209" s="24"/>
    </row>
    <row r="210" spans="2:43">
      <c r="B210" s="1" t="s">
        <v>151</v>
      </c>
      <c r="C210" s="1" t="s">
        <v>36</v>
      </c>
      <c r="D210" s="1" t="s">
        <v>179</v>
      </c>
      <c r="F210" s="1">
        <v>2</v>
      </c>
      <c r="H210" s="1" t="s">
        <v>154</v>
      </c>
      <c r="I210" s="1" t="s">
        <v>154</v>
      </c>
      <c r="N21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0" s="29"/>
      <c r="P210" s="27" t="str">
        <f>tbGroup[[#This Row],[Camp]]&amp;"-"&amp;tbGroup[[#This Row],[Difficulty]]&amp;"-"&amp;GET_GROUP_NAME(tbGroup[[#This Row],[IsBoss]],tbGroup[[#This Row],[Hero1]:[Soldier3]])&amp;tbGroup[[#This Row],[Suffix]]</f>
        <v>三国-超难-强英+强英</v>
      </c>
      <c r="Q210" s="15" t="s">
        <v>40</v>
      </c>
      <c r="R210" s="15">
        <v>2</v>
      </c>
      <c r="S210" s="15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  <c r="AF210" s="24"/>
      <c r="AG210" s="24"/>
      <c r="AH210" s="24"/>
      <c r="AI210" s="24"/>
      <c r="AJ210" s="24"/>
      <c r="AK210" s="24"/>
      <c r="AL210" s="24"/>
      <c r="AM210" s="24"/>
      <c r="AN210" s="24"/>
      <c r="AO210" s="24"/>
      <c r="AP210" s="24"/>
      <c r="AQ210" s="24"/>
    </row>
    <row r="211" spans="2:43">
      <c r="B211" s="1" t="s">
        <v>151</v>
      </c>
      <c r="C211" s="1" t="s">
        <v>36</v>
      </c>
      <c r="D211" s="1" t="s">
        <v>179</v>
      </c>
      <c r="F211" s="1">
        <v>2</v>
      </c>
      <c r="H211" s="1" t="s">
        <v>154</v>
      </c>
      <c r="I211" s="1" t="s">
        <v>155</v>
      </c>
      <c r="N21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1" s="29"/>
      <c r="P211" s="27" t="str">
        <f>tbGroup[[#This Row],[Camp]]&amp;"-"&amp;tbGroup[[#This Row],[Difficulty]]&amp;"-"&amp;GET_GROUP_NAME(tbGroup[[#This Row],[IsBoss]],tbGroup[[#This Row],[Hero1]:[Soldier3]])&amp;tbGroup[[#This Row],[Suffix]]</f>
        <v>三国-超难-强英+炼英</v>
      </c>
      <c r="Q211" s="15" t="s">
        <v>40</v>
      </c>
      <c r="R211" s="15">
        <v>2</v>
      </c>
      <c r="S211" s="15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  <c r="AF211" s="24"/>
      <c r="AG211" s="24"/>
      <c r="AH211" s="24"/>
      <c r="AI211" s="24"/>
      <c r="AJ211" s="24"/>
      <c r="AK211" s="24"/>
      <c r="AL211" s="24"/>
      <c r="AM211" s="24"/>
      <c r="AN211" s="24"/>
      <c r="AO211" s="24"/>
      <c r="AP211" s="24"/>
      <c r="AQ211" s="24"/>
    </row>
    <row r="212" spans="2:43">
      <c r="B212" s="1" t="s">
        <v>151</v>
      </c>
      <c r="C212" s="1" t="s">
        <v>36</v>
      </c>
      <c r="D212" s="1" t="s">
        <v>179</v>
      </c>
      <c r="F212" s="1">
        <v>2</v>
      </c>
      <c r="H212" s="1" t="s">
        <v>154</v>
      </c>
      <c r="I212" s="1" t="s">
        <v>156</v>
      </c>
      <c r="N21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2" s="29"/>
      <c r="P212" s="27" t="str">
        <f>tbGroup[[#This Row],[Camp]]&amp;"-"&amp;tbGroup[[#This Row],[Difficulty]]&amp;"-"&amp;GET_GROUP_NAME(tbGroup[[#This Row],[IsBoss]],tbGroup[[#This Row],[Hero1]:[Soldier3]])&amp;tbGroup[[#This Row],[Suffix]]</f>
        <v>三国-超难-强英+法英</v>
      </c>
      <c r="Q212" s="15" t="s">
        <v>40</v>
      </c>
      <c r="R212" s="15">
        <v>2</v>
      </c>
      <c r="S212" s="15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  <c r="AF212" s="24"/>
      <c r="AG212" s="24"/>
      <c r="AH212" s="24"/>
      <c r="AI212" s="24"/>
      <c r="AJ212" s="24"/>
      <c r="AK212" s="24"/>
      <c r="AL212" s="24"/>
      <c r="AM212" s="24"/>
      <c r="AN212" s="24"/>
      <c r="AO212" s="24"/>
      <c r="AP212" s="24"/>
      <c r="AQ212" s="24"/>
    </row>
    <row r="213" spans="2:43">
      <c r="B213" s="1" t="s">
        <v>151</v>
      </c>
      <c r="C213" s="1" t="s">
        <v>36</v>
      </c>
      <c r="D213" s="1" t="s">
        <v>179</v>
      </c>
      <c r="F213" s="1">
        <v>2</v>
      </c>
      <c r="H213" s="1" t="s">
        <v>154</v>
      </c>
      <c r="I213" s="1" t="s">
        <v>157</v>
      </c>
      <c r="N21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3" s="29"/>
      <c r="P213" s="27" t="str">
        <f>tbGroup[[#This Row],[Camp]]&amp;"-"&amp;tbGroup[[#This Row],[Difficulty]]&amp;"-"&amp;GET_GROUP_NAME(tbGroup[[#This Row],[IsBoss]],tbGroup[[#This Row],[Hero1]:[Soldier3]])&amp;tbGroup[[#This Row],[Suffix]]</f>
        <v>三国-超难-强英+刺英</v>
      </c>
      <c r="Q213" s="15" t="s">
        <v>40</v>
      </c>
      <c r="R213" s="15">
        <v>2</v>
      </c>
      <c r="S213" s="15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  <c r="AF213" s="24"/>
      <c r="AG213" s="24"/>
      <c r="AH213" s="24"/>
      <c r="AI213" s="24"/>
      <c r="AJ213" s="24"/>
      <c r="AK213" s="24"/>
      <c r="AL213" s="24"/>
      <c r="AM213" s="24"/>
      <c r="AN213" s="24"/>
      <c r="AO213" s="24"/>
      <c r="AP213" s="24"/>
      <c r="AQ213" s="24"/>
    </row>
    <row r="214" spans="2:43">
      <c r="B214" s="1" t="s">
        <v>151</v>
      </c>
      <c r="C214" s="1" t="s">
        <v>36</v>
      </c>
      <c r="D214" s="1" t="s">
        <v>179</v>
      </c>
      <c r="F214" s="1">
        <v>2</v>
      </c>
      <c r="H214" s="1" t="s">
        <v>155</v>
      </c>
      <c r="I214" s="1" t="s">
        <v>155</v>
      </c>
      <c r="N21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4" s="29"/>
      <c r="P214" s="27" t="str">
        <f>tbGroup[[#This Row],[Camp]]&amp;"-"&amp;tbGroup[[#This Row],[Difficulty]]&amp;"-"&amp;GET_GROUP_NAME(tbGroup[[#This Row],[IsBoss]],tbGroup[[#This Row],[Hero1]:[Soldier3]])&amp;tbGroup[[#This Row],[Suffix]]</f>
        <v>三国-超难-炼英+炼英</v>
      </c>
      <c r="Q214" s="15" t="s">
        <v>40</v>
      </c>
      <c r="R214" s="15">
        <v>2</v>
      </c>
      <c r="S214" s="15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24"/>
      <c r="AG214" s="24"/>
      <c r="AH214" s="24"/>
      <c r="AI214" s="24"/>
      <c r="AJ214" s="24"/>
      <c r="AK214" s="24"/>
      <c r="AL214" s="24"/>
      <c r="AM214" s="24"/>
      <c r="AN214" s="24"/>
      <c r="AO214" s="24"/>
      <c r="AP214" s="24"/>
      <c r="AQ214" s="24"/>
    </row>
    <row r="215" spans="2:43">
      <c r="B215" s="1" t="s">
        <v>151</v>
      </c>
      <c r="C215" s="1" t="s">
        <v>36</v>
      </c>
      <c r="D215" s="1" t="s">
        <v>179</v>
      </c>
      <c r="F215" s="1">
        <v>2</v>
      </c>
      <c r="H215" s="1" t="s">
        <v>155</v>
      </c>
      <c r="I215" s="1" t="s">
        <v>156</v>
      </c>
      <c r="N21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5" s="29"/>
      <c r="P215" s="27" t="str">
        <f>tbGroup[[#This Row],[Camp]]&amp;"-"&amp;tbGroup[[#This Row],[Difficulty]]&amp;"-"&amp;GET_GROUP_NAME(tbGroup[[#This Row],[IsBoss]],tbGroup[[#This Row],[Hero1]:[Soldier3]])&amp;tbGroup[[#This Row],[Suffix]]</f>
        <v>三国-超难-炼英+法英</v>
      </c>
      <c r="Q215" s="15" t="s">
        <v>40</v>
      </c>
      <c r="R215" s="15">
        <v>2</v>
      </c>
      <c r="S215" s="15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4"/>
      <c r="AI215" s="24"/>
      <c r="AJ215" s="24"/>
      <c r="AK215" s="24"/>
      <c r="AL215" s="24"/>
      <c r="AM215" s="24"/>
      <c r="AN215" s="24"/>
      <c r="AO215" s="24"/>
      <c r="AP215" s="24"/>
      <c r="AQ215" s="24"/>
    </row>
    <row r="216" spans="2:43">
      <c r="B216" s="1" t="s">
        <v>151</v>
      </c>
      <c r="C216" s="1" t="s">
        <v>36</v>
      </c>
      <c r="D216" s="1" t="s">
        <v>179</v>
      </c>
      <c r="F216" s="1">
        <v>2</v>
      </c>
      <c r="H216" s="1" t="s">
        <v>155</v>
      </c>
      <c r="I216" s="1" t="s">
        <v>157</v>
      </c>
      <c r="N21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6" s="29"/>
      <c r="P216" s="27" t="str">
        <f>tbGroup[[#This Row],[Camp]]&amp;"-"&amp;tbGroup[[#This Row],[Difficulty]]&amp;"-"&amp;GET_GROUP_NAME(tbGroup[[#This Row],[IsBoss]],tbGroup[[#This Row],[Hero1]:[Soldier3]])&amp;tbGroup[[#This Row],[Suffix]]</f>
        <v>三国-超难-炼英+刺英</v>
      </c>
      <c r="Q216" s="15" t="s">
        <v>40</v>
      </c>
      <c r="R216" s="15">
        <v>2</v>
      </c>
      <c r="S216" s="15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  <c r="AF216" s="24"/>
      <c r="AG216" s="24"/>
      <c r="AH216" s="24"/>
      <c r="AI216" s="24"/>
      <c r="AJ216" s="24"/>
      <c r="AK216" s="24"/>
      <c r="AL216" s="24"/>
      <c r="AM216" s="24"/>
      <c r="AN216" s="24"/>
      <c r="AO216" s="24"/>
      <c r="AP216" s="24"/>
      <c r="AQ216" s="24"/>
    </row>
    <row r="217" spans="2:43">
      <c r="B217" s="1" t="s">
        <v>151</v>
      </c>
      <c r="C217" s="1" t="s">
        <v>36</v>
      </c>
      <c r="D217" s="1" t="s">
        <v>179</v>
      </c>
      <c r="F217" s="1">
        <v>2</v>
      </c>
      <c r="H217" s="1" t="s">
        <v>156</v>
      </c>
      <c r="I217" s="1" t="s">
        <v>156</v>
      </c>
      <c r="N21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7" s="29"/>
      <c r="P217" s="27" t="str">
        <f>tbGroup[[#This Row],[Camp]]&amp;"-"&amp;tbGroup[[#This Row],[Difficulty]]&amp;"-"&amp;GET_GROUP_NAME(tbGroup[[#This Row],[IsBoss]],tbGroup[[#This Row],[Hero1]:[Soldier3]])&amp;tbGroup[[#This Row],[Suffix]]</f>
        <v>三国-超难-法英+法英</v>
      </c>
      <c r="Q217" s="15" t="s">
        <v>40</v>
      </c>
      <c r="R217" s="15">
        <v>2</v>
      </c>
      <c r="S217" s="15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  <c r="AF217" s="24"/>
      <c r="AG217" s="24"/>
      <c r="AH217" s="24"/>
      <c r="AI217" s="24"/>
      <c r="AJ217" s="24"/>
      <c r="AK217" s="24"/>
      <c r="AL217" s="24"/>
      <c r="AM217" s="24"/>
      <c r="AN217" s="24"/>
      <c r="AO217" s="24"/>
      <c r="AP217" s="24"/>
      <c r="AQ217" s="24"/>
    </row>
    <row r="218" spans="2:43">
      <c r="B218" s="1" t="s">
        <v>151</v>
      </c>
      <c r="C218" s="1" t="s">
        <v>36</v>
      </c>
      <c r="D218" s="1" t="s">
        <v>179</v>
      </c>
      <c r="F218" s="1">
        <v>2</v>
      </c>
      <c r="H218" s="1" t="s">
        <v>156</v>
      </c>
      <c r="I218" s="1" t="s">
        <v>157</v>
      </c>
      <c r="N21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8" s="29"/>
      <c r="P218" s="27" t="str">
        <f>tbGroup[[#This Row],[Camp]]&amp;"-"&amp;tbGroup[[#This Row],[Difficulty]]&amp;"-"&amp;GET_GROUP_NAME(tbGroup[[#This Row],[IsBoss]],tbGroup[[#This Row],[Hero1]:[Soldier3]])&amp;tbGroup[[#This Row],[Suffix]]</f>
        <v>三国-超难-法英+刺英</v>
      </c>
      <c r="Q218" s="15" t="s">
        <v>40</v>
      </c>
      <c r="R218" s="15">
        <v>2</v>
      </c>
      <c r="S218" s="15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  <c r="AF218" s="24"/>
      <c r="AG218" s="24"/>
      <c r="AH218" s="24"/>
      <c r="AI218" s="24"/>
      <c r="AJ218" s="24"/>
      <c r="AK218" s="24"/>
      <c r="AL218" s="24"/>
      <c r="AM218" s="24"/>
      <c r="AN218" s="24"/>
      <c r="AO218" s="24"/>
      <c r="AP218" s="24"/>
      <c r="AQ218" s="24"/>
    </row>
    <row r="219" spans="2:43">
      <c r="B219" s="1" t="s">
        <v>151</v>
      </c>
      <c r="C219" s="1" t="s">
        <v>36</v>
      </c>
      <c r="D219" s="1" t="s">
        <v>179</v>
      </c>
      <c r="F219" s="1">
        <v>2</v>
      </c>
      <c r="H219" s="1" t="s">
        <v>157</v>
      </c>
      <c r="I219" s="1" t="s">
        <v>157</v>
      </c>
      <c r="N21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9" s="29"/>
      <c r="P219" s="27" t="str">
        <f>tbGroup[[#This Row],[Camp]]&amp;"-"&amp;tbGroup[[#This Row],[Difficulty]]&amp;"-"&amp;GET_GROUP_NAME(tbGroup[[#This Row],[IsBoss]],tbGroup[[#This Row],[Hero1]:[Soldier3]])&amp;tbGroup[[#This Row],[Suffix]]</f>
        <v>三国-超难-刺英+刺英</v>
      </c>
      <c r="Q219" s="15" t="s">
        <v>40</v>
      </c>
      <c r="R219" s="15">
        <v>2</v>
      </c>
      <c r="S219" s="15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  <c r="AF219" s="24"/>
      <c r="AG219" s="24"/>
      <c r="AH219" s="24"/>
      <c r="AI219" s="24"/>
      <c r="AJ219" s="24"/>
      <c r="AK219" s="24"/>
      <c r="AL219" s="24"/>
      <c r="AM219" s="24"/>
      <c r="AN219" s="24"/>
      <c r="AO219" s="24"/>
      <c r="AP219" s="24"/>
      <c r="AQ219" s="24"/>
    </row>
    <row r="220" spans="2:43">
      <c r="B220" s="3" t="s">
        <v>192</v>
      </c>
      <c r="C220" s="1" t="s">
        <v>36</v>
      </c>
      <c r="D220" s="3" t="s">
        <v>193</v>
      </c>
      <c r="E220" s="1" t="b">
        <v>1</v>
      </c>
      <c r="F220" s="1">
        <v>2</v>
      </c>
      <c r="H220" s="1" t="s">
        <v>152</v>
      </c>
      <c r="I220" s="1" t="s">
        <v>152</v>
      </c>
      <c r="N22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0" s="29"/>
      <c r="P220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</v>
      </c>
      <c r="Q220" s="15" t="s">
        <v>40</v>
      </c>
      <c r="R220" s="15">
        <v>2</v>
      </c>
      <c r="S220" s="15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  <c r="AF220" s="24"/>
      <c r="AG220" s="24"/>
      <c r="AH220" s="24"/>
      <c r="AI220" s="24"/>
      <c r="AJ220" s="24"/>
      <c r="AK220" s="24"/>
      <c r="AL220" s="24"/>
      <c r="AM220" s="24"/>
      <c r="AN220" s="24"/>
      <c r="AO220" s="24"/>
      <c r="AP220" s="24"/>
      <c r="AQ220" s="24"/>
    </row>
    <row r="221" spans="2:43">
      <c r="B221" s="1" t="s">
        <v>151</v>
      </c>
      <c r="C221" s="1" t="s">
        <v>36</v>
      </c>
      <c r="D221" s="3" t="s">
        <v>193</v>
      </c>
      <c r="E221" s="1" t="b">
        <v>1</v>
      </c>
      <c r="F221" s="1">
        <v>2</v>
      </c>
      <c r="H221" s="1" t="s">
        <v>152</v>
      </c>
      <c r="I221" s="1" t="s">
        <v>153</v>
      </c>
      <c r="N22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1" s="29"/>
      <c r="P221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</v>
      </c>
      <c r="Q221" s="15" t="s">
        <v>40</v>
      </c>
      <c r="R221" s="15">
        <v>2</v>
      </c>
      <c r="S221" s="15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  <c r="AF221" s="24"/>
      <c r="AG221" s="24"/>
      <c r="AH221" s="24"/>
      <c r="AI221" s="24"/>
      <c r="AJ221" s="24"/>
      <c r="AK221" s="24"/>
      <c r="AL221" s="24"/>
      <c r="AM221" s="24"/>
      <c r="AN221" s="24"/>
      <c r="AO221" s="24"/>
      <c r="AP221" s="24"/>
      <c r="AQ221" s="24"/>
    </row>
    <row r="222" spans="2:43">
      <c r="B222" s="1" t="s">
        <v>151</v>
      </c>
      <c r="C222" s="1" t="s">
        <v>36</v>
      </c>
      <c r="D222" s="3" t="s">
        <v>193</v>
      </c>
      <c r="E222" s="1" t="b">
        <v>1</v>
      </c>
      <c r="F222" s="1">
        <v>2</v>
      </c>
      <c r="H222" s="1" t="s">
        <v>152</v>
      </c>
      <c r="I222" s="1" t="s">
        <v>154</v>
      </c>
      <c r="N22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2" s="29"/>
      <c r="P222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</v>
      </c>
      <c r="Q222" s="15" t="s">
        <v>40</v>
      </c>
      <c r="R222" s="15">
        <v>2</v>
      </c>
      <c r="S222" s="15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  <c r="AF222" s="24"/>
      <c r="AG222" s="24"/>
      <c r="AH222" s="24"/>
      <c r="AI222" s="24"/>
      <c r="AJ222" s="24"/>
      <c r="AK222" s="24"/>
      <c r="AL222" s="24"/>
      <c r="AM222" s="24"/>
      <c r="AN222" s="24"/>
      <c r="AO222" s="24"/>
      <c r="AP222" s="24"/>
      <c r="AQ222" s="24"/>
    </row>
    <row r="223" spans="2:43">
      <c r="B223" s="1" t="s">
        <v>151</v>
      </c>
      <c r="C223" s="1" t="s">
        <v>36</v>
      </c>
      <c r="D223" s="3" t="s">
        <v>193</v>
      </c>
      <c r="E223" s="1" t="b">
        <v>1</v>
      </c>
      <c r="F223" s="1">
        <v>2</v>
      </c>
      <c r="H223" s="1" t="s">
        <v>152</v>
      </c>
      <c r="I223" s="1" t="s">
        <v>155</v>
      </c>
      <c r="N22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3" s="29"/>
      <c r="P223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</v>
      </c>
      <c r="Q223" s="15" t="s">
        <v>40</v>
      </c>
      <c r="R223" s="15">
        <v>2</v>
      </c>
      <c r="S223" s="15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  <c r="AF223" s="24"/>
      <c r="AG223" s="24"/>
      <c r="AH223" s="24"/>
      <c r="AI223" s="24"/>
      <c r="AJ223" s="24"/>
      <c r="AK223" s="24"/>
      <c r="AL223" s="24"/>
      <c r="AM223" s="24"/>
      <c r="AN223" s="24"/>
      <c r="AO223" s="24"/>
      <c r="AP223" s="24"/>
      <c r="AQ223" s="24"/>
    </row>
    <row r="224" spans="2:43">
      <c r="B224" s="1" t="s">
        <v>151</v>
      </c>
      <c r="C224" s="1" t="s">
        <v>36</v>
      </c>
      <c r="D224" s="3" t="s">
        <v>193</v>
      </c>
      <c r="E224" s="1" t="b">
        <v>1</v>
      </c>
      <c r="F224" s="1">
        <v>2</v>
      </c>
      <c r="H224" s="1" t="s">
        <v>152</v>
      </c>
      <c r="I224" s="1" t="s">
        <v>156</v>
      </c>
      <c r="N22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4" s="29"/>
      <c r="P224" s="27" t="str">
        <f>tbGroup[[#This Row],[Camp]]&amp;"-"&amp;tbGroup[[#This Row],[Difficulty]]&amp;"-"&amp;GET_GROUP_NAME(tbGroup[[#This Row],[IsBoss]],tbGroup[[#This Row],[Hero1]:[Soldier3]])&amp;tbGroup[[#This Row],[Suffix]]</f>
        <v>三国-超难-[B]铁英+法英</v>
      </c>
      <c r="Q224" s="15" t="s">
        <v>40</v>
      </c>
      <c r="R224" s="15">
        <v>2</v>
      </c>
      <c r="S224" s="15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  <c r="AF224" s="24"/>
      <c r="AG224" s="24"/>
      <c r="AH224" s="24"/>
      <c r="AI224" s="24"/>
      <c r="AJ224" s="24"/>
      <c r="AK224" s="24"/>
      <c r="AL224" s="24"/>
      <c r="AM224" s="24"/>
      <c r="AN224" s="24"/>
      <c r="AO224" s="24"/>
      <c r="AP224" s="24"/>
      <c r="AQ224" s="24"/>
    </row>
    <row r="225" spans="2:43">
      <c r="B225" s="1" t="s">
        <v>151</v>
      </c>
      <c r="C225" s="1" t="s">
        <v>36</v>
      </c>
      <c r="D225" s="3" t="s">
        <v>193</v>
      </c>
      <c r="E225" s="1" t="b">
        <v>1</v>
      </c>
      <c r="F225" s="1">
        <v>2</v>
      </c>
      <c r="H225" s="1" t="s">
        <v>152</v>
      </c>
      <c r="I225" s="1" t="s">
        <v>157</v>
      </c>
      <c r="N22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5" s="29"/>
      <c r="P225" s="27" t="str">
        <f>tbGroup[[#This Row],[Camp]]&amp;"-"&amp;tbGroup[[#This Row],[Difficulty]]&amp;"-"&amp;GET_GROUP_NAME(tbGroup[[#This Row],[IsBoss]],tbGroup[[#This Row],[Hero1]:[Soldier3]])&amp;tbGroup[[#This Row],[Suffix]]</f>
        <v>三国-超难-[B]铁英+刺英</v>
      </c>
      <c r="Q225" s="15" t="s">
        <v>40</v>
      </c>
      <c r="R225" s="15">
        <v>2</v>
      </c>
      <c r="S225" s="15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  <c r="AF225" s="24"/>
      <c r="AG225" s="24"/>
      <c r="AH225" s="24"/>
      <c r="AI225" s="24"/>
      <c r="AJ225" s="24"/>
      <c r="AK225" s="24"/>
      <c r="AL225" s="24"/>
      <c r="AM225" s="24"/>
      <c r="AN225" s="24"/>
      <c r="AO225" s="24"/>
      <c r="AP225" s="24"/>
      <c r="AQ225" s="24"/>
    </row>
    <row r="226" spans="2:43">
      <c r="B226" s="1" t="s">
        <v>151</v>
      </c>
      <c r="C226" s="1" t="s">
        <v>36</v>
      </c>
      <c r="D226" s="3" t="s">
        <v>193</v>
      </c>
      <c r="E226" s="1" t="b">
        <v>1</v>
      </c>
      <c r="F226" s="1">
        <v>2</v>
      </c>
      <c r="H226" s="1" t="s">
        <v>153</v>
      </c>
      <c r="I226" s="1" t="s">
        <v>153</v>
      </c>
      <c r="N22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6" s="29"/>
      <c r="P226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</v>
      </c>
      <c r="Q226" s="15" t="s">
        <v>40</v>
      </c>
      <c r="R226" s="15">
        <v>2</v>
      </c>
      <c r="S226" s="15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  <c r="AF226" s="24"/>
      <c r="AG226" s="24"/>
      <c r="AH226" s="24"/>
      <c r="AI226" s="24"/>
      <c r="AJ226" s="24"/>
      <c r="AK226" s="24"/>
      <c r="AL226" s="24"/>
      <c r="AM226" s="24"/>
      <c r="AN226" s="24"/>
      <c r="AO226" s="24"/>
      <c r="AP226" s="24"/>
      <c r="AQ226" s="24"/>
    </row>
    <row r="227" spans="2:43">
      <c r="B227" s="1" t="s">
        <v>151</v>
      </c>
      <c r="C227" s="1" t="s">
        <v>36</v>
      </c>
      <c r="D227" s="3" t="s">
        <v>193</v>
      </c>
      <c r="E227" s="1" t="b">
        <v>1</v>
      </c>
      <c r="F227" s="1">
        <v>2</v>
      </c>
      <c r="H227" s="1" t="s">
        <v>153</v>
      </c>
      <c r="I227" s="1" t="s">
        <v>154</v>
      </c>
      <c r="N22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7" s="29"/>
      <c r="P227" s="27" t="str">
        <f>tbGroup[[#This Row],[Camp]]&amp;"-"&amp;tbGroup[[#This Row],[Difficulty]]&amp;"-"&amp;GET_GROUP_NAME(tbGroup[[#This Row],[IsBoss]],tbGroup[[#This Row],[Hero1]:[Soldier3]])&amp;tbGroup[[#This Row],[Suffix]]</f>
        <v>三国-超难-[B]盾英+强英</v>
      </c>
      <c r="Q227" s="15" t="s">
        <v>40</v>
      </c>
      <c r="R227" s="15">
        <v>2</v>
      </c>
      <c r="S227" s="15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  <c r="AF227" s="24"/>
      <c r="AG227" s="24"/>
      <c r="AH227" s="24"/>
      <c r="AI227" s="24"/>
      <c r="AJ227" s="24"/>
      <c r="AK227" s="24"/>
      <c r="AL227" s="24"/>
      <c r="AM227" s="24"/>
      <c r="AN227" s="24"/>
      <c r="AO227" s="24"/>
      <c r="AP227" s="24"/>
      <c r="AQ227" s="24"/>
    </row>
    <row r="228" spans="2:43">
      <c r="B228" s="1" t="s">
        <v>151</v>
      </c>
      <c r="C228" s="1" t="s">
        <v>36</v>
      </c>
      <c r="D228" s="3" t="s">
        <v>193</v>
      </c>
      <c r="E228" s="1" t="b">
        <v>1</v>
      </c>
      <c r="F228" s="1">
        <v>2</v>
      </c>
      <c r="H228" s="1" t="s">
        <v>153</v>
      </c>
      <c r="I228" s="1" t="s">
        <v>155</v>
      </c>
      <c r="N22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8" s="29"/>
      <c r="P228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</v>
      </c>
      <c r="Q228" s="15" t="s">
        <v>40</v>
      </c>
      <c r="R228" s="15">
        <v>2</v>
      </c>
      <c r="S228" s="15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  <c r="AF228" s="24"/>
      <c r="AG228" s="24"/>
      <c r="AH228" s="24"/>
      <c r="AI228" s="24"/>
      <c r="AJ228" s="24"/>
      <c r="AK228" s="24"/>
      <c r="AL228" s="24"/>
      <c r="AM228" s="24"/>
      <c r="AN228" s="24"/>
      <c r="AO228" s="24"/>
      <c r="AP228" s="24"/>
      <c r="AQ228" s="24"/>
    </row>
    <row r="229" spans="2:43">
      <c r="B229" s="1" t="s">
        <v>151</v>
      </c>
      <c r="C229" s="1" t="s">
        <v>36</v>
      </c>
      <c r="D229" s="3" t="s">
        <v>193</v>
      </c>
      <c r="E229" s="1" t="b">
        <v>1</v>
      </c>
      <c r="F229" s="1">
        <v>2</v>
      </c>
      <c r="H229" s="1" t="s">
        <v>153</v>
      </c>
      <c r="I229" s="1" t="s">
        <v>156</v>
      </c>
      <c r="N22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9" s="29"/>
      <c r="P229" s="27" t="str">
        <f>tbGroup[[#This Row],[Camp]]&amp;"-"&amp;tbGroup[[#This Row],[Difficulty]]&amp;"-"&amp;GET_GROUP_NAME(tbGroup[[#This Row],[IsBoss]],tbGroup[[#This Row],[Hero1]:[Soldier3]])&amp;tbGroup[[#This Row],[Suffix]]</f>
        <v>三国-超难-[B]盾英+法英</v>
      </c>
      <c r="Q229" s="15" t="s">
        <v>40</v>
      </c>
      <c r="R229" s="15">
        <v>2</v>
      </c>
      <c r="S229" s="15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  <c r="AF229" s="24"/>
      <c r="AG229" s="24"/>
      <c r="AH229" s="24"/>
      <c r="AI229" s="24"/>
      <c r="AJ229" s="24"/>
      <c r="AK229" s="24"/>
      <c r="AL229" s="24"/>
      <c r="AM229" s="24"/>
      <c r="AN229" s="24"/>
      <c r="AO229" s="24"/>
      <c r="AP229" s="24"/>
      <c r="AQ229" s="24"/>
    </row>
    <row r="230" spans="2:43">
      <c r="B230" s="1" t="s">
        <v>151</v>
      </c>
      <c r="C230" s="1" t="s">
        <v>36</v>
      </c>
      <c r="D230" s="3" t="s">
        <v>193</v>
      </c>
      <c r="E230" s="1" t="b">
        <v>1</v>
      </c>
      <c r="F230" s="1">
        <v>2</v>
      </c>
      <c r="H230" s="1" t="s">
        <v>153</v>
      </c>
      <c r="I230" s="1" t="s">
        <v>157</v>
      </c>
      <c r="N23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0" s="29"/>
      <c r="P230" s="27" t="str">
        <f>tbGroup[[#This Row],[Camp]]&amp;"-"&amp;tbGroup[[#This Row],[Difficulty]]&amp;"-"&amp;GET_GROUP_NAME(tbGroup[[#This Row],[IsBoss]],tbGroup[[#This Row],[Hero1]:[Soldier3]])&amp;tbGroup[[#This Row],[Suffix]]</f>
        <v>三国-超难-[B]盾英+刺英</v>
      </c>
      <c r="Q230" s="15" t="s">
        <v>40</v>
      </c>
      <c r="R230" s="15">
        <v>2</v>
      </c>
      <c r="S230" s="15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  <c r="AF230" s="24"/>
      <c r="AG230" s="24"/>
      <c r="AH230" s="24"/>
      <c r="AI230" s="24"/>
      <c r="AJ230" s="24"/>
      <c r="AK230" s="24"/>
      <c r="AL230" s="24"/>
      <c r="AM230" s="24"/>
      <c r="AN230" s="24"/>
      <c r="AO230" s="24"/>
      <c r="AP230" s="24"/>
      <c r="AQ230" s="24"/>
    </row>
    <row r="231" spans="2:43">
      <c r="B231" s="1" t="s">
        <v>151</v>
      </c>
      <c r="C231" s="1" t="s">
        <v>36</v>
      </c>
      <c r="D231" s="3" t="s">
        <v>193</v>
      </c>
      <c r="E231" s="1" t="b">
        <v>1</v>
      </c>
      <c r="F231" s="1">
        <v>2</v>
      </c>
      <c r="H231" s="1" t="s">
        <v>154</v>
      </c>
      <c r="I231" s="1" t="s">
        <v>154</v>
      </c>
      <c r="N23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1" s="29"/>
      <c r="P231" s="27" t="str">
        <f>tbGroup[[#This Row],[Camp]]&amp;"-"&amp;tbGroup[[#This Row],[Difficulty]]&amp;"-"&amp;GET_GROUP_NAME(tbGroup[[#This Row],[IsBoss]],tbGroup[[#This Row],[Hero1]:[Soldier3]])&amp;tbGroup[[#This Row],[Suffix]]</f>
        <v>三国-超难-[B]强英+强英</v>
      </c>
      <c r="Q231" s="15" t="s">
        <v>40</v>
      </c>
      <c r="R231" s="15">
        <v>2</v>
      </c>
      <c r="S231" s="15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  <c r="AF231" s="24"/>
      <c r="AG231" s="24"/>
      <c r="AH231" s="24"/>
      <c r="AI231" s="24"/>
      <c r="AJ231" s="24"/>
      <c r="AK231" s="24"/>
      <c r="AL231" s="24"/>
      <c r="AM231" s="24"/>
      <c r="AN231" s="24"/>
      <c r="AO231" s="24"/>
      <c r="AP231" s="24"/>
      <c r="AQ231" s="24"/>
    </row>
    <row r="232" spans="2:43">
      <c r="B232" s="1" t="s">
        <v>151</v>
      </c>
      <c r="C232" s="1" t="s">
        <v>36</v>
      </c>
      <c r="D232" s="3" t="s">
        <v>193</v>
      </c>
      <c r="E232" s="1" t="b">
        <v>1</v>
      </c>
      <c r="F232" s="1">
        <v>2</v>
      </c>
      <c r="H232" s="1" t="s">
        <v>154</v>
      </c>
      <c r="I232" s="1" t="s">
        <v>155</v>
      </c>
      <c r="N23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2" s="29"/>
      <c r="P232" s="27" t="str">
        <f>tbGroup[[#This Row],[Camp]]&amp;"-"&amp;tbGroup[[#This Row],[Difficulty]]&amp;"-"&amp;GET_GROUP_NAME(tbGroup[[#This Row],[IsBoss]],tbGroup[[#This Row],[Hero1]:[Soldier3]])&amp;tbGroup[[#This Row],[Suffix]]</f>
        <v>三国-超难-[B]强英+炼英</v>
      </c>
      <c r="Q232" s="15" t="s">
        <v>40</v>
      </c>
      <c r="R232" s="15">
        <v>2</v>
      </c>
      <c r="S232" s="15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  <c r="AF232" s="24"/>
      <c r="AG232" s="24"/>
      <c r="AH232" s="24"/>
      <c r="AI232" s="24"/>
      <c r="AJ232" s="24"/>
      <c r="AK232" s="24"/>
      <c r="AL232" s="24"/>
      <c r="AM232" s="24"/>
      <c r="AN232" s="24"/>
      <c r="AO232" s="24"/>
      <c r="AP232" s="24"/>
      <c r="AQ232" s="24"/>
    </row>
    <row r="233" spans="2:43">
      <c r="B233" s="1" t="s">
        <v>151</v>
      </c>
      <c r="C233" s="1" t="s">
        <v>36</v>
      </c>
      <c r="D233" s="3" t="s">
        <v>193</v>
      </c>
      <c r="E233" s="1" t="b">
        <v>1</v>
      </c>
      <c r="F233" s="1">
        <v>2</v>
      </c>
      <c r="H233" s="1" t="s">
        <v>154</v>
      </c>
      <c r="I233" s="1" t="s">
        <v>156</v>
      </c>
      <c r="N23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3" s="29"/>
      <c r="P233" s="27" t="str">
        <f>tbGroup[[#This Row],[Camp]]&amp;"-"&amp;tbGroup[[#This Row],[Difficulty]]&amp;"-"&amp;GET_GROUP_NAME(tbGroup[[#This Row],[IsBoss]],tbGroup[[#This Row],[Hero1]:[Soldier3]])&amp;tbGroup[[#This Row],[Suffix]]</f>
        <v>三国-超难-[B]强英+法英</v>
      </c>
      <c r="Q233" s="15" t="s">
        <v>40</v>
      </c>
      <c r="R233" s="15">
        <v>2</v>
      </c>
      <c r="S233" s="15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  <c r="AF233" s="24"/>
      <c r="AG233" s="24"/>
      <c r="AH233" s="24"/>
      <c r="AI233" s="24"/>
      <c r="AJ233" s="24"/>
      <c r="AK233" s="24"/>
      <c r="AL233" s="24"/>
      <c r="AM233" s="24"/>
      <c r="AN233" s="24"/>
      <c r="AO233" s="24"/>
      <c r="AP233" s="24"/>
      <c r="AQ233" s="24"/>
    </row>
    <row r="234" spans="2:43">
      <c r="B234" s="1" t="s">
        <v>151</v>
      </c>
      <c r="C234" s="1" t="s">
        <v>36</v>
      </c>
      <c r="D234" s="3" t="s">
        <v>193</v>
      </c>
      <c r="E234" s="1" t="b">
        <v>1</v>
      </c>
      <c r="F234" s="1">
        <v>2</v>
      </c>
      <c r="H234" s="1" t="s">
        <v>154</v>
      </c>
      <c r="I234" s="1" t="s">
        <v>157</v>
      </c>
      <c r="N23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4" s="29"/>
      <c r="P234" s="27" t="str">
        <f>tbGroup[[#This Row],[Camp]]&amp;"-"&amp;tbGroup[[#This Row],[Difficulty]]&amp;"-"&amp;GET_GROUP_NAME(tbGroup[[#This Row],[IsBoss]],tbGroup[[#This Row],[Hero1]:[Soldier3]])&amp;tbGroup[[#This Row],[Suffix]]</f>
        <v>三国-超难-[B]强英+刺英</v>
      </c>
      <c r="Q234" s="15" t="s">
        <v>40</v>
      </c>
      <c r="R234" s="15">
        <v>2</v>
      </c>
      <c r="S234" s="15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  <c r="AF234" s="24"/>
      <c r="AG234" s="24"/>
      <c r="AH234" s="24"/>
      <c r="AI234" s="24"/>
      <c r="AJ234" s="24"/>
      <c r="AK234" s="24"/>
      <c r="AL234" s="24"/>
      <c r="AM234" s="24"/>
      <c r="AN234" s="24"/>
      <c r="AO234" s="24"/>
      <c r="AP234" s="24"/>
      <c r="AQ234" s="24"/>
    </row>
    <row r="235" spans="2:43">
      <c r="B235" s="1" t="s">
        <v>151</v>
      </c>
      <c r="C235" s="1" t="s">
        <v>36</v>
      </c>
      <c r="D235" s="3" t="s">
        <v>193</v>
      </c>
      <c r="E235" s="1" t="b">
        <v>1</v>
      </c>
      <c r="F235" s="1">
        <v>2</v>
      </c>
      <c r="H235" s="1" t="s">
        <v>155</v>
      </c>
      <c r="I235" s="1" t="s">
        <v>155</v>
      </c>
      <c r="N23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5" s="29"/>
      <c r="P235" s="27" t="str">
        <f>tbGroup[[#This Row],[Camp]]&amp;"-"&amp;tbGroup[[#This Row],[Difficulty]]&amp;"-"&amp;GET_GROUP_NAME(tbGroup[[#This Row],[IsBoss]],tbGroup[[#This Row],[Hero1]:[Soldier3]])&amp;tbGroup[[#This Row],[Suffix]]</f>
        <v>三国-超难-[B]炼英+炼英</v>
      </c>
      <c r="Q235" s="15" t="s">
        <v>40</v>
      </c>
      <c r="R235" s="15">
        <v>2</v>
      </c>
      <c r="S235" s="15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  <c r="AF235" s="24"/>
      <c r="AG235" s="24"/>
      <c r="AH235" s="24"/>
      <c r="AI235" s="24"/>
      <c r="AJ235" s="24"/>
      <c r="AK235" s="24"/>
      <c r="AL235" s="24"/>
      <c r="AM235" s="24"/>
      <c r="AN235" s="24"/>
      <c r="AO235" s="24"/>
      <c r="AP235" s="24"/>
      <c r="AQ235" s="24"/>
    </row>
    <row r="236" spans="2:43">
      <c r="B236" s="1" t="s">
        <v>151</v>
      </c>
      <c r="C236" s="1" t="s">
        <v>36</v>
      </c>
      <c r="D236" s="3" t="s">
        <v>193</v>
      </c>
      <c r="E236" s="1" t="b">
        <v>1</v>
      </c>
      <c r="F236" s="1">
        <v>2</v>
      </c>
      <c r="H236" s="1" t="s">
        <v>155</v>
      </c>
      <c r="I236" s="1" t="s">
        <v>156</v>
      </c>
      <c r="N23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6" s="29"/>
      <c r="P236" s="27" t="str">
        <f>tbGroup[[#This Row],[Camp]]&amp;"-"&amp;tbGroup[[#This Row],[Difficulty]]&amp;"-"&amp;GET_GROUP_NAME(tbGroup[[#This Row],[IsBoss]],tbGroup[[#This Row],[Hero1]:[Soldier3]])&amp;tbGroup[[#This Row],[Suffix]]</f>
        <v>三国-超难-[B]炼英+法英</v>
      </c>
      <c r="Q236" s="15" t="s">
        <v>40</v>
      </c>
      <c r="R236" s="15">
        <v>2</v>
      </c>
      <c r="S236" s="15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  <c r="AF236" s="24"/>
      <c r="AG236" s="24"/>
      <c r="AH236" s="24"/>
      <c r="AI236" s="24"/>
      <c r="AJ236" s="24"/>
      <c r="AK236" s="24"/>
      <c r="AL236" s="24"/>
      <c r="AM236" s="24"/>
      <c r="AN236" s="24"/>
      <c r="AO236" s="24"/>
      <c r="AP236" s="24"/>
      <c r="AQ236" s="24"/>
    </row>
    <row r="237" spans="2:43">
      <c r="B237" s="1" t="s">
        <v>151</v>
      </c>
      <c r="C237" s="1" t="s">
        <v>36</v>
      </c>
      <c r="D237" s="3" t="s">
        <v>193</v>
      </c>
      <c r="E237" s="1" t="b">
        <v>1</v>
      </c>
      <c r="F237" s="1">
        <v>2</v>
      </c>
      <c r="H237" s="1" t="s">
        <v>155</v>
      </c>
      <c r="I237" s="1" t="s">
        <v>157</v>
      </c>
      <c r="N23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7" s="29"/>
      <c r="P237" s="27" t="str">
        <f>tbGroup[[#This Row],[Camp]]&amp;"-"&amp;tbGroup[[#This Row],[Difficulty]]&amp;"-"&amp;GET_GROUP_NAME(tbGroup[[#This Row],[IsBoss]],tbGroup[[#This Row],[Hero1]:[Soldier3]])&amp;tbGroup[[#This Row],[Suffix]]</f>
        <v>三国-超难-[B]炼英+刺英</v>
      </c>
      <c r="Q237" s="15" t="s">
        <v>40</v>
      </c>
      <c r="R237" s="15">
        <v>2</v>
      </c>
      <c r="S237" s="15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  <c r="AF237" s="24"/>
      <c r="AG237" s="24"/>
      <c r="AH237" s="24"/>
      <c r="AI237" s="24"/>
      <c r="AJ237" s="24"/>
      <c r="AK237" s="24"/>
      <c r="AL237" s="24"/>
      <c r="AM237" s="24"/>
      <c r="AN237" s="24"/>
      <c r="AO237" s="24"/>
      <c r="AP237" s="24"/>
      <c r="AQ237" s="24"/>
    </row>
    <row r="238" spans="2:43">
      <c r="B238" s="1" t="s">
        <v>151</v>
      </c>
      <c r="C238" s="1" t="s">
        <v>36</v>
      </c>
      <c r="D238" s="3" t="s">
        <v>193</v>
      </c>
      <c r="E238" s="1" t="b">
        <v>1</v>
      </c>
      <c r="F238" s="1">
        <v>2</v>
      </c>
      <c r="H238" s="1" t="s">
        <v>156</v>
      </c>
      <c r="I238" s="1" t="s">
        <v>156</v>
      </c>
      <c r="N23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8" s="29"/>
      <c r="P238" s="27" t="str">
        <f>tbGroup[[#This Row],[Camp]]&amp;"-"&amp;tbGroup[[#This Row],[Difficulty]]&amp;"-"&amp;GET_GROUP_NAME(tbGroup[[#This Row],[IsBoss]],tbGroup[[#This Row],[Hero1]:[Soldier3]])&amp;tbGroup[[#This Row],[Suffix]]</f>
        <v>三国-超难-[B]法英+法英</v>
      </c>
      <c r="Q238" s="15" t="s">
        <v>40</v>
      </c>
      <c r="R238" s="15">
        <v>2</v>
      </c>
      <c r="S238" s="15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  <c r="AF238" s="24"/>
      <c r="AG238" s="24"/>
      <c r="AH238" s="24"/>
      <c r="AI238" s="24"/>
      <c r="AJ238" s="24"/>
      <c r="AK238" s="24"/>
      <c r="AL238" s="24"/>
      <c r="AM238" s="24"/>
      <c r="AN238" s="24"/>
      <c r="AO238" s="24"/>
      <c r="AP238" s="24"/>
      <c r="AQ238" s="24"/>
    </row>
    <row r="239" spans="2:43">
      <c r="B239" s="1" t="s">
        <v>151</v>
      </c>
      <c r="C239" s="1" t="s">
        <v>36</v>
      </c>
      <c r="D239" s="3" t="s">
        <v>193</v>
      </c>
      <c r="E239" s="1" t="b">
        <v>1</v>
      </c>
      <c r="F239" s="1">
        <v>2</v>
      </c>
      <c r="H239" s="1" t="s">
        <v>156</v>
      </c>
      <c r="I239" s="1" t="s">
        <v>157</v>
      </c>
      <c r="N23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9" s="29"/>
      <c r="P239" s="27" t="str">
        <f>tbGroup[[#This Row],[Camp]]&amp;"-"&amp;tbGroup[[#This Row],[Difficulty]]&amp;"-"&amp;GET_GROUP_NAME(tbGroup[[#This Row],[IsBoss]],tbGroup[[#This Row],[Hero1]:[Soldier3]])&amp;tbGroup[[#This Row],[Suffix]]</f>
        <v>三国-超难-[B]法英+刺英</v>
      </c>
      <c r="Q239" s="15" t="s">
        <v>40</v>
      </c>
      <c r="R239" s="15">
        <v>2</v>
      </c>
      <c r="S239" s="15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  <c r="AF239" s="24"/>
      <c r="AG239" s="24"/>
      <c r="AH239" s="24"/>
      <c r="AI239" s="24"/>
      <c r="AJ239" s="24"/>
      <c r="AK239" s="24"/>
      <c r="AL239" s="24"/>
      <c r="AM239" s="24"/>
      <c r="AN239" s="24"/>
      <c r="AO239" s="24"/>
      <c r="AP239" s="24"/>
      <c r="AQ239" s="24"/>
    </row>
    <row r="240" spans="2:43">
      <c r="B240" s="1" t="s">
        <v>151</v>
      </c>
      <c r="C240" s="1" t="s">
        <v>36</v>
      </c>
      <c r="D240" s="3" t="s">
        <v>193</v>
      </c>
      <c r="E240" s="1" t="b">
        <v>1</v>
      </c>
      <c r="F240" s="1">
        <v>2</v>
      </c>
      <c r="H240" s="1" t="s">
        <v>157</v>
      </c>
      <c r="I240" s="1" t="s">
        <v>157</v>
      </c>
      <c r="N24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0" s="29"/>
      <c r="P240" s="27" t="str">
        <f>tbGroup[[#This Row],[Camp]]&amp;"-"&amp;tbGroup[[#This Row],[Difficulty]]&amp;"-"&amp;GET_GROUP_NAME(tbGroup[[#This Row],[IsBoss]],tbGroup[[#This Row],[Hero1]:[Soldier3]])&amp;tbGroup[[#This Row],[Suffix]]</f>
        <v>三国-超难-[B]刺英+刺英</v>
      </c>
      <c r="Q240" s="15" t="s">
        <v>40</v>
      </c>
      <c r="R240" s="15">
        <v>2</v>
      </c>
      <c r="S240" s="15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  <c r="AD240" s="24"/>
      <c r="AE240" s="24"/>
      <c r="AF240" s="24"/>
      <c r="AG240" s="24"/>
      <c r="AH240" s="24"/>
      <c r="AI240" s="24"/>
      <c r="AJ240" s="24"/>
      <c r="AK240" s="24"/>
      <c r="AL240" s="24"/>
      <c r="AM240" s="24"/>
      <c r="AN240" s="24"/>
      <c r="AO240" s="24"/>
      <c r="AP240" s="24"/>
      <c r="AQ240" s="24"/>
    </row>
    <row r="241" spans="2:43">
      <c r="B241" s="1" t="s">
        <v>176</v>
      </c>
      <c r="C241" s="1" t="s">
        <v>180</v>
      </c>
      <c r="D241" s="1" t="s">
        <v>181</v>
      </c>
      <c r="F241" s="1">
        <v>3</v>
      </c>
      <c r="H241" s="1" t="s">
        <v>152</v>
      </c>
      <c r="I241" s="1" t="s">
        <v>152</v>
      </c>
      <c r="J241" s="1" t="s">
        <v>154</v>
      </c>
      <c r="N24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1" s="29"/>
      <c r="P241" s="27" t="str">
        <f>tbGroup[[#This Row],[Camp]]&amp;"-"&amp;tbGroup[[#This Row],[Difficulty]]&amp;"-"&amp;GET_GROUP_NAME(tbGroup[[#This Row],[IsBoss]],tbGroup[[#This Row],[Hero1]:[Soldier3]])&amp;tbGroup[[#This Row],[Suffix]]</f>
        <v>三国-超难-铁英+铁英+强英</v>
      </c>
      <c r="Q241" s="15" t="s">
        <v>40</v>
      </c>
      <c r="R241" s="15">
        <v>2</v>
      </c>
      <c r="S241" s="15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  <c r="AD241" s="24"/>
      <c r="AE241" s="24"/>
      <c r="AF241" s="24"/>
      <c r="AG241" s="24"/>
      <c r="AH241" s="24"/>
      <c r="AI241" s="24"/>
      <c r="AJ241" s="24"/>
      <c r="AK241" s="24"/>
      <c r="AL241" s="24"/>
      <c r="AM241" s="24"/>
      <c r="AN241" s="24"/>
      <c r="AO241" s="24"/>
      <c r="AP241" s="24"/>
      <c r="AQ241" s="24"/>
    </row>
    <row r="242" spans="2:43">
      <c r="B242" s="1" t="s">
        <v>151</v>
      </c>
      <c r="C242" s="1" t="s">
        <v>36</v>
      </c>
      <c r="D242" s="1" t="s">
        <v>181</v>
      </c>
      <c r="F242" s="1">
        <v>3</v>
      </c>
      <c r="H242" s="1" t="s">
        <v>152</v>
      </c>
      <c r="I242" s="1" t="s">
        <v>152</v>
      </c>
      <c r="J242" s="1" t="s">
        <v>155</v>
      </c>
      <c r="N24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2" s="29"/>
      <c r="P242" s="27" t="str">
        <f>tbGroup[[#This Row],[Camp]]&amp;"-"&amp;tbGroup[[#This Row],[Difficulty]]&amp;"-"&amp;GET_GROUP_NAME(tbGroup[[#This Row],[IsBoss]],tbGroup[[#This Row],[Hero1]:[Soldier3]])&amp;tbGroup[[#This Row],[Suffix]]</f>
        <v>三国-超难-铁英+铁英+炼英</v>
      </c>
      <c r="Q242" s="15" t="s">
        <v>40</v>
      </c>
      <c r="R242" s="15">
        <v>2</v>
      </c>
      <c r="S242" s="15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  <c r="AD242" s="24"/>
      <c r="AE242" s="24"/>
      <c r="AF242" s="24"/>
      <c r="AG242" s="24"/>
      <c r="AH242" s="24"/>
      <c r="AI242" s="24"/>
      <c r="AJ242" s="24"/>
      <c r="AK242" s="24"/>
      <c r="AL242" s="24"/>
      <c r="AM242" s="24"/>
      <c r="AN242" s="24"/>
      <c r="AO242" s="24"/>
      <c r="AP242" s="24"/>
      <c r="AQ242" s="24"/>
    </row>
    <row r="243" spans="2:43">
      <c r="B243" s="1" t="s">
        <v>151</v>
      </c>
      <c r="C243" s="1" t="s">
        <v>36</v>
      </c>
      <c r="D243" s="1" t="s">
        <v>181</v>
      </c>
      <c r="F243" s="1">
        <v>3</v>
      </c>
      <c r="H243" s="1" t="s">
        <v>152</v>
      </c>
      <c r="I243" s="1" t="s">
        <v>152</v>
      </c>
      <c r="J243" s="1" t="s">
        <v>156</v>
      </c>
      <c r="N24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3" s="29"/>
      <c r="P243" s="27" t="str">
        <f>tbGroup[[#This Row],[Camp]]&amp;"-"&amp;tbGroup[[#This Row],[Difficulty]]&amp;"-"&amp;GET_GROUP_NAME(tbGroup[[#This Row],[IsBoss]],tbGroup[[#This Row],[Hero1]:[Soldier3]])&amp;tbGroup[[#This Row],[Suffix]]</f>
        <v>三国-超难-铁英+铁英+法英</v>
      </c>
      <c r="Q243" s="15" t="s">
        <v>40</v>
      </c>
      <c r="R243" s="15">
        <v>2</v>
      </c>
      <c r="S243" s="15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4"/>
      <c r="AF243" s="24"/>
      <c r="AG243" s="24"/>
      <c r="AH243" s="24"/>
      <c r="AI243" s="24"/>
      <c r="AJ243" s="24"/>
      <c r="AK243" s="24"/>
      <c r="AL243" s="24"/>
      <c r="AM243" s="24"/>
      <c r="AN243" s="24"/>
      <c r="AO243" s="24"/>
      <c r="AP243" s="24"/>
      <c r="AQ243" s="24"/>
    </row>
    <row r="244" spans="2:43">
      <c r="B244" s="1" t="s">
        <v>151</v>
      </c>
      <c r="C244" s="1" t="s">
        <v>36</v>
      </c>
      <c r="D244" s="1" t="s">
        <v>181</v>
      </c>
      <c r="F244" s="1">
        <v>3</v>
      </c>
      <c r="H244" s="1" t="s">
        <v>152</v>
      </c>
      <c r="I244" s="1" t="s">
        <v>152</v>
      </c>
      <c r="J244" s="1" t="s">
        <v>157</v>
      </c>
      <c r="N24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4" s="29"/>
      <c r="P244" s="27" t="str">
        <f>tbGroup[[#This Row],[Camp]]&amp;"-"&amp;tbGroup[[#This Row],[Difficulty]]&amp;"-"&amp;GET_GROUP_NAME(tbGroup[[#This Row],[IsBoss]],tbGroup[[#This Row],[Hero1]:[Soldier3]])&amp;tbGroup[[#This Row],[Suffix]]</f>
        <v>三国-超难-铁英+铁英+刺英</v>
      </c>
      <c r="Q244" s="15" t="s">
        <v>40</v>
      </c>
      <c r="R244" s="15">
        <v>2</v>
      </c>
      <c r="S244" s="15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4"/>
      <c r="AI244" s="24"/>
      <c r="AJ244" s="24"/>
      <c r="AK244" s="24"/>
      <c r="AL244" s="24"/>
      <c r="AM244" s="24"/>
      <c r="AN244" s="24"/>
      <c r="AO244" s="24"/>
      <c r="AP244" s="24"/>
      <c r="AQ244" s="24"/>
    </row>
    <row r="245" spans="2:43">
      <c r="B245" s="1" t="s">
        <v>151</v>
      </c>
      <c r="C245" s="1" t="s">
        <v>36</v>
      </c>
      <c r="D245" s="1" t="s">
        <v>181</v>
      </c>
      <c r="F245" s="1">
        <v>3</v>
      </c>
      <c r="H245" s="1" t="s">
        <v>153</v>
      </c>
      <c r="I245" s="1" t="s">
        <v>153</v>
      </c>
      <c r="J245" s="1" t="s">
        <v>154</v>
      </c>
      <c r="N24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5" s="29"/>
      <c r="P245" s="27" t="str">
        <f>tbGroup[[#This Row],[Camp]]&amp;"-"&amp;tbGroup[[#This Row],[Difficulty]]&amp;"-"&amp;GET_GROUP_NAME(tbGroup[[#This Row],[IsBoss]],tbGroup[[#This Row],[Hero1]:[Soldier3]])&amp;tbGroup[[#This Row],[Suffix]]</f>
        <v>三国-超难-盾英+盾英+强英</v>
      </c>
      <c r="Q245" s="15" t="s">
        <v>40</v>
      </c>
      <c r="R245" s="15">
        <v>2</v>
      </c>
      <c r="S245" s="15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  <c r="AD245" s="24"/>
      <c r="AE245" s="24"/>
      <c r="AF245" s="24"/>
      <c r="AG245" s="24"/>
      <c r="AH245" s="24"/>
      <c r="AI245" s="24"/>
      <c r="AJ245" s="24"/>
      <c r="AK245" s="24"/>
      <c r="AL245" s="24"/>
      <c r="AM245" s="24"/>
      <c r="AN245" s="24"/>
      <c r="AO245" s="24"/>
      <c r="AP245" s="24"/>
      <c r="AQ245" s="24"/>
    </row>
    <row r="246" spans="2:43">
      <c r="B246" s="1" t="s">
        <v>151</v>
      </c>
      <c r="C246" s="1" t="s">
        <v>36</v>
      </c>
      <c r="D246" s="1" t="s">
        <v>181</v>
      </c>
      <c r="F246" s="1">
        <v>3</v>
      </c>
      <c r="H246" s="1" t="s">
        <v>153</v>
      </c>
      <c r="I246" s="1" t="s">
        <v>153</v>
      </c>
      <c r="J246" s="1" t="s">
        <v>155</v>
      </c>
      <c r="N24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6" s="29"/>
      <c r="P246" s="27" t="str">
        <f>tbGroup[[#This Row],[Camp]]&amp;"-"&amp;tbGroup[[#This Row],[Difficulty]]&amp;"-"&amp;GET_GROUP_NAME(tbGroup[[#This Row],[IsBoss]],tbGroup[[#This Row],[Hero1]:[Soldier3]])&amp;tbGroup[[#This Row],[Suffix]]</f>
        <v>三国-超难-盾英+盾英+炼英</v>
      </c>
      <c r="Q246" s="15" t="s">
        <v>40</v>
      </c>
      <c r="R246" s="15">
        <v>2</v>
      </c>
      <c r="S246" s="15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4"/>
      <c r="AI246" s="24"/>
      <c r="AJ246" s="24"/>
      <c r="AK246" s="24"/>
      <c r="AL246" s="24"/>
      <c r="AM246" s="24"/>
      <c r="AN246" s="24"/>
      <c r="AO246" s="24"/>
      <c r="AP246" s="24"/>
      <c r="AQ246" s="24"/>
    </row>
    <row r="247" spans="2:43">
      <c r="B247" s="1" t="s">
        <v>151</v>
      </c>
      <c r="C247" s="1" t="s">
        <v>36</v>
      </c>
      <c r="D247" s="1" t="s">
        <v>181</v>
      </c>
      <c r="F247" s="1">
        <v>3</v>
      </c>
      <c r="H247" s="1" t="s">
        <v>153</v>
      </c>
      <c r="I247" s="1" t="s">
        <v>153</v>
      </c>
      <c r="J247" s="1" t="s">
        <v>156</v>
      </c>
      <c r="N24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7" s="29"/>
      <c r="P247" s="27" t="str">
        <f>tbGroup[[#This Row],[Camp]]&amp;"-"&amp;tbGroup[[#This Row],[Difficulty]]&amp;"-"&amp;GET_GROUP_NAME(tbGroup[[#This Row],[IsBoss]],tbGroup[[#This Row],[Hero1]:[Soldier3]])&amp;tbGroup[[#This Row],[Suffix]]</f>
        <v>三国-超难-盾英+盾英+法英</v>
      </c>
      <c r="Q247" s="15" t="s">
        <v>40</v>
      </c>
      <c r="R247" s="15">
        <v>2</v>
      </c>
      <c r="S247" s="15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4"/>
      <c r="AI247" s="24"/>
      <c r="AJ247" s="24"/>
      <c r="AK247" s="24"/>
      <c r="AL247" s="24"/>
      <c r="AM247" s="24"/>
      <c r="AN247" s="24"/>
      <c r="AO247" s="24"/>
      <c r="AP247" s="24"/>
      <c r="AQ247" s="24"/>
    </row>
    <row r="248" spans="2:43">
      <c r="B248" s="1" t="s">
        <v>151</v>
      </c>
      <c r="C248" s="1" t="s">
        <v>36</v>
      </c>
      <c r="D248" s="1" t="s">
        <v>181</v>
      </c>
      <c r="F248" s="1">
        <v>3</v>
      </c>
      <c r="H248" s="1" t="s">
        <v>153</v>
      </c>
      <c r="I248" s="1" t="s">
        <v>153</v>
      </c>
      <c r="J248" s="1" t="s">
        <v>157</v>
      </c>
      <c r="N24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8" s="29"/>
      <c r="P248" s="27" t="str">
        <f>tbGroup[[#This Row],[Camp]]&amp;"-"&amp;tbGroup[[#This Row],[Difficulty]]&amp;"-"&amp;GET_GROUP_NAME(tbGroup[[#This Row],[IsBoss]],tbGroup[[#This Row],[Hero1]:[Soldier3]])&amp;tbGroup[[#This Row],[Suffix]]</f>
        <v>三国-超难-盾英+盾英+刺英</v>
      </c>
      <c r="Q248" s="15" t="s">
        <v>40</v>
      </c>
      <c r="R248" s="15">
        <v>2</v>
      </c>
      <c r="S248" s="15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  <c r="AD248" s="24"/>
      <c r="AE248" s="24"/>
      <c r="AF248" s="24"/>
      <c r="AG248" s="24"/>
      <c r="AH248" s="24"/>
      <c r="AI248" s="24"/>
      <c r="AJ248" s="24"/>
      <c r="AK248" s="24"/>
      <c r="AL248" s="24"/>
      <c r="AM248" s="24"/>
      <c r="AN248" s="24"/>
      <c r="AO248" s="24"/>
      <c r="AP248" s="24"/>
      <c r="AQ248" s="24"/>
    </row>
    <row r="249" spans="2:43">
      <c r="B249" s="1" t="s">
        <v>151</v>
      </c>
      <c r="C249" s="1" t="s">
        <v>36</v>
      </c>
      <c r="D249" s="1" t="s">
        <v>181</v>
      </c>
      <c r="F249" s="1">
        <v>3</v>
      </c>
      <c r="H249" s="1" t="s">
        <v>152</v>
      </c>
      <c r="I249" s="1" t="s">
        <v>153</v>
      </c>
      <c r="J249" s="1" t="s">
        <v>154</v>
      </c>
      <c r="N24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9" s="29"/>
      <c r="P249" s="27" t="str">
        <f>tbGroup[[#This Row],[Camp]]&amp;"-"&amp;tbGroup[[#This Row],[Difficulty]]&amp;"-"&amp;GET_GROUP_NAME(tbGroup[[#This Row],[IsBoss]],tbGroup[[#This Row],[Hero1]:[Soldier3]])&amp;tbGroup[[#This Row],[Suffix]]</f>
        <v>三国-超难-铁英+盾英+强英</v>
      </c>
      <c r="Q249" s="15" t="s">
        <v>40</v>
      </c>
      <c r="R249" s="15">
        <v>2</v>
      </c>
      <c r="S249" s="15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4"/>
      <c r="AG249" s="24"/>
      <c r="AH249" s="24"/>
      <c r="AI249" s="24"/>
      <c r="AJ249" s="24"/>
      <c r="AK249" s="24"/>
      <c r="AL249" s="24"/>
      <c r="AM249" s="24"/>
      <c r="AN249" s="24"/>
      <c r="AO249" s="24"/>
      <c r="AP249" s="24"/>
      <c r="AQ249" s="24"/>
    </row>
    <row r="250" spans="2:43">
      <c r="B250" s="1" t="s">
        <v>151</v>
      </c>
      <c r="C250" s="1" t="s">
        <v>36</v>
      </c>
      <c r="D250" s="1" t="s">
        <v>181</v>
      </c>
      <c r="F250" s="1">
        <v>3</v>
      </c>
      <c r="H250" s="1" t="s">
        <v>152</v>
      </c>
      <c r="I250" s="1" t="s">
        <v>153</v>
      </c>
      <c r="J250" s="1" t="s">
        <v>155</v>
      </c>
      <c r="N25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0" s="29"/>
      <c r="P250" s="27" t="str">
        <f>tbGroup[[#This Row],[Camp]]&amp;"-"&amp;tbGroup[[#This Row],[Difficulty]]&amp;"-"&amp;GET_GROUP_NAME(tbGroup[[#This Row],[IsBoss]],tbGroup[[#This Row],[Hero1]:[Soldier3]])&amp;tbGroup[[#This Row],[Suffix]]</f>
        <v>三国-超难-铁英+盾英+炼英</v>
      </c>
      <c r="Q250" s="15" t="s">
        <v>40</v>
      </c>
      <c r="R250" s="15">
        <v>2</v>
      </c>
      <c r="S250" s="15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4"/>
      <c r="AG250" s="24"/>
      <c r="AH250" s="24"/>
      <c r="AI250" s="24"/>
      <c r="AJ250" s="24"/>
      <c r="AK250" s="24"/>
      <c r="AL250" s="24"/>
      <c r="AM250" s="24"/>
      <c r="AN250" s="24"/>
      <c r="AO250" s="24"/>
      <c r="AP250" s="24"/>
      <c r="AQ250" s="24"/>
    </row>
    <row r="251" spans="2:43">
      <c r="B251" s="1" t="s">
        <v>151</v>
      </c>
      <c r="C251" s="1" t="s">
        <v>36</v>
      </c>
      <c r="D251" s="1" t="s">
        <v>181</v>
      </c>
      <c r="F251" s="1">
        <v>3</v>
      </c>
      <c r="H251" s="1" t="s">
        <v>152</v>
      </c>
      <c r="I251" s="1" t="s">
        <v>153</v>
      </c>
      <c r="J251" s="1" t="s">
        <v>156</v>
      </c>
      <c r="N25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1" s="29"/>
      <c r="P251" s="27" t="str">
        <f>tbGroup[[#This Row],[Camp]]&amp;"-"&amp;tbGroup[[#This Row],[Difficulty]]&amp;"-"&amp;GET_GROUP_NAME(tbGroup[[#This Row],[IsBoss]],tbGroup[[#This Row],[Hero1]:[Soldier3]])&amp;tbGroup[[#This Row],[Suffix]]</f>
        <v>三国-超难-铁英+盾英+法英</v>
      </c>
      <c r="Q251" s="15" t="s">
        <v>40</v>
      </c>
      <c r="R251" s="15">
        <v>2</v>
      </c>
      <c r="S251" s="15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  <c r="AD251" s="24"/>
      <c r="AE251" s="24"/>
      <c r="AF251" s="24"/>
      <c r="AG251" s="24"/>
      <c r="AH251" s="24"/>
      <c r="AI251" s="24"/>
      <c r="AJ251" s="24"/>
      <c r="AK251" s="24"/>
      <c r="AL251" s="24"/>
      <c r="AM251" s="24"/>
      <c r="AN251" s="24"/>
      <c r="AO251" s="24"/>
      <c r="AP251" s="24"/>
      <c r="AQ251" s="24"/>
    </row>
    <row r="252" spans="2:43">
      <c r="B252" s="1" t="s">
        <v>151</v>
      </c>
      <c r="C252" s="1" t="s">
        <v>36</v>
      </c>
      <c r="D252" s="1" t="s">
        <v>181</v>
      </c>
      <c r="F252" s="1">
        <v>3</v>
      </c>
      <c r="H252" s="1" t="s">
        <v>152</v>
      </c>
      <c r="I252" s="1" t="s">
        <v>153</v>
      </c>
      <c r="J252" s="1" t="s">
        <v>157</v>
      </c>
      <c r="N25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2" s="29"/>
      <c r="P252" s="27" t="str">
        <f>tbGroup[[#This Row],[Camp]]&amp;"-"&amp;tbGroup[[#This Row],[Difficulty]]&amp;"-"&amp;GET_GROUP_NAME(tbGroup[[#This Row],[IsBoss]],tbGroup[[#This Row],[Hero1]:[Soldier3]])&amp;tbGroup[[#This Row],[Suffix]]</f>
        <v>三国-超难-铁英+盾英+刺英</v>
      </c>
      <c r="Q252" s="15" t="s">
        <v>40</v>
      </c>
      <c r="R252" s="15">
        <v>2</v>
      </c>
      <c r="S252" s="15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  <c r="AD252" s="24"/>
      <c r="AE252" s="24"/>
      <c r="AF252" s="24"/>
      <c r="AG252" s="24"/>
      <c r="AH252" s="24"/>
      <c r="AI252" s="24"/>
      <c r="AJ252" s="24"/>
      <c r="AK252" s="24"/>
      <c r="AL252" s="24"/>
      <c r="AM252" s="24"/>
      <c r="AN252" s="24"/>
      <c r="AO252" s="24"/>
      <c r="AP252" s="24"/>
      <c r="AQ252" s="24"/>
    </row>
    <row r="253" spans="2:43">
      <c r="B253" s="3" t="s">
        <v>151</v>
      </c>
      <c r="C253" s="3" t="s">
        <v>36</v>
      </c>
      <c r="D253" s="3" t="s">
        <v>195</v>
      </c>
      <c r="E253" s="3" t="b">
        <v>1</v>
      </c>
      <c r="F253" s="3">
        <v>3</v>
      </c>
      <c r="G253" s="3"/>
      <c r="H253" s="1" t="s">
        <v>152</v>
      </c>
      <c r="I253" s="1" t="s">
        <v>152</v>
      </c>
      <c r="J253" s="1" t="s">
        <v>154</v>
      </c>
      <c r="K253" s="3"/>
      <c r="L253" s="3"/>
      <c r="M253" s="3"/>
      <c r="N25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3" s="29"/>
      <c r="P253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三国-超难-[B]铁英+铁英+强英</v>
      </c>
      <c r="Q253" s="15" t="s">
        <v>40</v>
      </c>
      <c r="R253" s="15">
        <v>2</v>
      </c>
      <c r="S253" s="15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  <c r="AD253" s="24"/>
      <c r="AE253" s="24"/>
      <c r="AF253" s="24"/>
      <c r="AG253" s="24"/>
      <c r="AH253" s="24"/>
      <c r="AI253" s="24"/>
      <c r="AJ253" s="24"/>
      <c r="AK253" s="24"/>
      <c r="AL253" s="24"/>
      <c r="AM253" s="24"/>
      <c r="AN253" s="24"/>
      <c r="AO253" s="24"/>
      <c r="AP253" s="24"/>
      <c r="AQ253" s="24"/>
    </row>
    <row r="254" spans="2:43">
      <c r="B254" s="3" t="s">
        <v>151</v>
      </c>
      <c r="C254" s="3" t="s">
        <v>36</v>
      </c>
      <c r="D254" s="3" t="s">
        <v>195</v>
      </c>
      <c r="E254" s="3" t="b">
        <v>1</v>
      </c>
      <c r="F254" s="3">
        <v>3</v>
      </c>
      <c r="G254" s="3"/>
      <c r="H254" s="1" t="s">
        <v>152</v>
      </c>
      <c r="I254" s="1" t="s">
        <v>152</v>
      </c>
      <c r="J254" s="1" t="s">
        <v>155</v>
      </c>
      <c r="K254" s="3"/>
      <c r="L254" s="3"/>
      <c r="M254" s="3"/>
      <c r="N25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4" s="29"/>
      <c r="P254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三国-超难-[B]铁英+铁英+炼英</v>
      </c>
      <c r="Q254" s="15" t="s">
        <v>40</v>
      </c>
      <c r="R254" s="15">
        <v>2</v>
      </c>
      <c r="S254" s="15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  <c r="AD254" s="24"/>
      <c r="AE254" s="24"/>
      <c r="AF254" s="24"/>
      <c r="AG254" s="24"/>
      <c r="AH254" s="24"/>
      <c r="AI254" s="24"/>
      <c r="AJ254" s="24"/>
      <c r="AK254" s="24"/>
      <c r="AL254" s="24"/>
      <c r="AM254" s="24"/>
      <c r="AN254" s="24"/>
      <c r="AO254" s="24"/>
      <c r="AP254" s="24"/>
      <c r="AQ254" s="24"/>
    </row>
    <row r="255" spans="2:43">
      <c r="B255" s="3" t="s">
        <v>151</v>
      </c>
      <c r="C255" s="3" t="s">
        <v>36</v>
      </c>
      <c r="D255" s="3" t="s">
        <v>195</v>
      </c>
      <c r="E255" s="3" t="b">
        <v>1</v>
      </c>
      <c r="F255" s="3">
        <v>3</v>
      </c>
      <c r="G255" s="3"/>
      <c r="H255" s="1" t="s">
        <v>152</v>
      </c>
      <c r="I255" s="1" t="s">
        <v>152</v>
      </c>
      <c r="J255" s="1" t="s">
        <v>156</v>
      </c>
      <c r="K255" s="3"/>
      <c r="L255" s="3"/>
      <c r="M255" s="3"/>
      <c r="N25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5" s="29"/>
      <c r="P255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三国-超难-[B]铁英+铁英+法英</v>
      </c>
      <c r="Q255" s="15" t="s">
        <v>40</v>
      </c>
      <c r="R255" s="15">
        <v>2</v>
      </c>
      <c r="S255" s="15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24"/>
      <c r="AE255" s="24"/>
      <c r="AF255" s="24"/>
      <c r="AG255" s="24"/>
      <c r="AH255" s="24"/>
      <c r="AI255" s="24"/>
      <c r="AJ255" s="24"/>
      <c r="AK255" s="24"/>
      <c r="AL255" s="24"/>
      <c r="AM255" s="24"/>
      <c r="AN255" s="24"/>
      <c r="AO255" s="24"/>
      <c r="AP255" s="24"/>
      <c r="AQ255" s="24"/>
    </row>
    <row r="256" spans="2:43">
      <c r="B256" s="3" t="s">
        <v>151</v>
      </c>
      <c r="C256" s="3" t="s">
        <v>36</v>
      </c>
      <c r="D256" s="3" t="s">
        <v>195</v>
      </c>
      <c r="E256" s="3" t="b">
        <v>1</v>
      </c>
      <c r="F256" s="3">
        <v>3</v>
      </c>
      <c r="G256" s="3"/>
      <c r="H256" s="1" t="s">
        <v>152</v>
      </c>
      <c r="I256" s="1" t="s">
        <v>152</v>
      </c>
      <c r="J256" s="1" t="s">
        <v>157</v>
      </c>
      <c r="K256" s="3"/>
      <c r="L256" s="3"/>
      <c r="M256" s="3"/>
      <c r="N25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6" s="29"/>
      <c r="P256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三国-超难-[B]铁英+铁英+刺英</v>
      </c>
      <c r="Q256" s="15" t="s">
        <v>40</v>
      </c>
      <c r="R256" s="15">
        <v>2</v>
      </c>
      <c r="S256" s="15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4"/>
      <c r="AG256" s="24"/>
      <c r="AH256" s="24"/>
      <c r="AI256" s="24"/>
      <c r="AJ256" s="24"/>
      <c r="AK256" s="24"/>
      <c r="AL256" s="24"/>
      <c r="AM256" s="24"/>
      <c r="AN256" s="24"/>
      <c r="AO256" s="24"/>
      <c r="AP256" s="24"/>
      <c r="AQ256" s="24"/>
    </row>
    <row r="257" spans="2:43">
      <c r="B257" s="3" t="s">
        <v>151</v>
      </c>
      <c r="C257" s="3" t="s">
        <v>36</v>
      </c>
      <c r="D257" s="3" t="s">
        <v>195</v>
      </c>
      <c r="E257" s="3" t="b">
        <v>1</v>
      </c>
      <c r="F257" s="3">
        <v>3</v>
      </c>
      <c r="G257" s="3"/>
      <c r="H257" s="1" t="s">
        <v>153</v>
      </c>
      <c r="I257" s="1" t="s">
        <v>153</v>
      </c>
      <c r="J257" s="1" t="s">
        <v>154</v>
      </c>
      <c r="K257" s="3"/>
      <c r="L257" s="3"/>
      <c r="M257" s="3"/>
      <c r="N25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7" s="29"/>
      <c r="P257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三国-超难-[B]盾英+盾英+强英</v>
      </c>
      <c r="Q257" s="15" t="s">
        <v>40</v>
      </c>
      <c r="R257" s="15">
        <v>2</v>
      </c>
      <c r="S257" s="15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4"/>
      <c r="AI257" s="24"/>
      <c r="AJ257" s="24"/>
      <c r="AK257" s="24"/>
      <c r="AL257" s="24"/>
      <c r="AM257" s="24"/>
      <c r="AN257" s="24"/>
      <c r="AO257" s="24"/>
      <c r="AP257" s="24"/>
      <c r="AQ257" s="24"/>
    </row>
    <row r="258" spans="2:43">
      <c r="B258" s="3" t="s">
        <v>151</v>
      </c>
      <c r="C258" s="3" t="s">
        <v>36</v>
      </c>
      <c r="D258" s="3" t="s">
        <v>195</v>
      </c>
      <c r="E258" s="3" t="b">
        <v>1</v>
      </c>
      <c r="F258" s="3">
        <v>3</v>
      </c>
      <c r="G258" s="3"/>
      <c r="H258" s="1" t="s">
        <v>153</v>
      </c>
      <c r="I258" s="1" t="s">
        <v>153</v>
      </c>
      <c r="J258" s="1" t="s">
        <v>155</v>
      </c>
      <c r="K258" s="3"/>
      <c r="L258" s="3"/>
      <c r="M258" s="3"/>
      <c r="N25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8" s="29"/>
      <c r="P258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三国-超难-[B]盾英+盾英+炼英</v>
      </c>
      <c r="Q258" s="15" t="s">
        <v>40</v>
      </c>
      <c r="R258" s="15">
        <v>2</v>
      </c>
      <c r="S258" s="15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  <c r="AD258" s="24"/>
      <c r="AE258" s="24"/>
      <c r="AF258" s="24"/>
      <c r="AG258" s="24"/>
      <c r="AH258" s="24"/>
      <c r="AI258" s="24"/>
      <c r="AJ258" s="24"/>
      <c r="AK258" s="24"/>
      <c r="AL258" s="24"/>
      <c r="AM258" s="24"/>
      <c r="AN258" s="24"/>
      <c r="AO258" s="24"/>
      <c r="AP258" s="24"/>
      <c r="AQ258" s="24"/>
    </row>
    <row r="259" spans="2:43">
      <c r="B259" s="3" t="s">
        <v>151</v>
      </c>
      <c r="C259" s="3" t="s">
        <v>36</v>
      </c>
      <c r="D259" s="3" t="s">
        <v>195</v>
      </c>
      <c r="E259" s="3" t="b">
        <v>1</v>
      </c>
      <c r="F259" s="3">
        <v>3</v>
      </c>
      <c r="G259" s="3"/>
      <c r="H259" s="1" t="s">
        <v>153</v>
      </c>
      <c r="I259" s="1" t="s">
        <v>153</v>
      </c>
      <c r="J259" s="1" t="s">
        <v>156</v>
      </c>
      <c r="K259" s="3"/>
      <c r="L259" s="3"/>
      <c r="M259" s="3"/>
      <c r="N25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9" s="29"/>
      <c r="P259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三国-超难-[B]盾英+盾英+法英</v>
      </c>
      <c r="Q259" s="15" t="s">
        <v>40</v>
      </c>
      <c r="R259" s="15">
        <v>2</v>
      </c>
      <c r="S259" s="15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  <c r="AD259" s="24"/>
      <c r="AE259" s="24"/>
      <c r="AF259" s="24"/>
      <c r="AG259" s="24"/>
      <c r="AH259" s="24"/>
      <c r="AI259" s="24"/>
      <c r="AJ259" s="24"/>
      <c r="AK259" s="24"/>
      <c r="AL259" s="24"/>
      <c r="AM259" s="24"/>
      <c r="AN259" s="24"/>
      <c r="AO259" s="24"/>
      <c r="AP259" s="24"/>
      <c r="AQ259" s="24"/>
    </row>
    <row r="260" spans="2:43">
      <c r="B260" s="3" t="s">
        <v>151</v>
      </c>
      <c r="C260" s="3" t="s">
        <v>36</v>
      </c>
      <c r="D260" s="3" t="s">
        <v>195</v>
      </c>
      <c r="E260" s="3" t="b">
        <v>1</v>
      </c>
      <c r="F260" s="3">
        <v>3</v>
      </c>
      <c r="G260" s="3"/>
      <c r="H260" s="1" t="s">
        <v>153</v>
      </c>
      <c r="I260" s="1" t="s">
        <v>153</v>
      </c>
      <c r="J260" s="1" t="s">
        <v>157</v>
      </c>
      <c r="K260" s="3"/>
      <c r="L260" s="3"/>
      <c r="M260" s="3"/>
      <c r="N26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0" s="29"/>
      <c r="P260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三国-超难-[B]盾英+盾英+刺英</v>
      </c>
      <c r="Q260" s="15" t="s">
        <v>40</v>
      </c>
      <c r="R260" s="15">
        <v>2</v>
      </c>
      <c r="S260" s="15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  <c r="AD260" s="24"/>
      <c r="AE260" s="24"/>
      <c r="AF260" s="24"/>
      <c r="AG260" s="24"/>
      <c r="AH260" s="24"/>
      <c r="AI260" s="24"/>
      <c r="AJ260" s="24"/>
      <c r="AK260" s="24"/>
      <c r="AL260" s="24"/>
      <c r="AM260" s="24"/>
      <c r="AN260" s="24"/>
      <c r="AO260" s="24"/>
      <c r="AP260" s="24"/>
      <c r="AQ260" s="24"/>
    </row>
    <row r="261" spans="2:43">
      <c r="B261" s="3" t="s">
        <v>151</v>
      </c>
      <c r="C261" s="3" t="s">
        <v>36</v>
      </c>
      <c r="D261" s="3" t="s">
        <v>195</v>
      </c>
      <c r="E261" s="3" t="b">
        <v>1</v>
      </c>
      <c r="F261" s="3">
        <v>3</v>
      </c>
      <c r="G261" s="3"/>
      <c r="H261" s="1" t="s">
        <v>152</v>
      </c>
      <c r="I261" s="1" t="s">
        <v>153</v>
      </c>
      <c r="J261" s="1" t="s">
        <v>154</v>
      </c>
      <c r="K261" s="3"/>
      <c r="L261" s="3"/>
      <c r="M261" s="3"/>
      <c r="N26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1" s="29"/>
      <c r="P261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三国-超难-[B]铁英+盾英+强英</v>
      </c>
      <c r="Q261" s="15" t="s">
        <v>40</v>
      </c>
      <c r="R261" s="15">
        <v>2</v>
      </c>
      <c r="S261" s="15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  <c r="AD261" s="24"/>
      <c r="AE261" s="24"/>
      <c r="AF261" s="24"/>
      <c r="AG261" s="24"/>
      <c r="AH261" s="24"/>
      <c r="AI261" s="24"/>
      <c r="AJ261" s="24"/>
      <c r="AK261" s="24"/>
      <c r="AL261" s="24"/>
      <c r="AM261" s="24"/>
      <c r="AN261" s="24"/>
      <c r="AO261" s="24"/>
      <c r="AP261" s="24"/>
      <c r="AQ261" s="24"/>
    </row>
    <row r="262" spans="2:43">
      <c r="B262" s="3" t="s">
        <v>151</v>
      </c>
      <c r="C262" s="3" t="s">
        <v>36</v>
      </c>
      <c r="D262" s="3" t="s">
        <v>195</v>
      </c>
      <c r="E262" s="3" t="b">
        <v>1</v>
      </c>
      <c r="F262" s="3">
        <v>3</v>
      </c>
      <c r="G262" s="3"/>
      <c r="H262" s="1" t="s">
        <v>152</v>
      </c>
      <c r="I262" s="1" t="s">
        <v>153</v>
      </c>
      <c r="J262" s="1" t="s">
        <v>155</v>
      </c>
      <c r="K262" s="3"/>
      <c r="L262" s="3"/>
      <c r="M262" s="3"/>
      <c r="N26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2" s="29"/>
      <c r="P262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三国-超难-[B]铁英+盾英+炼英</v>
      </c>
      <c r="Q262" s="15" t="s">
        <v>40</v>
      </c>
      <c r="R262" s="15">
        <v>2</v>
      </c>
      <c r="S262" s="15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  <c r="AD262" s="24"/>
      <c r="AE262" s="24"/>
      <c r="AF262" s="24"/>
      <c r="AG262" s="24"/>
      <c r="AH262" s="24"/>
      <c r="AI262" s="24"/>
      <c r="AJ262" s="24"/>
      <c r="AK262" s="24"/>
      <c r="AL262" s="24"/>
      <c r="AM262" s="24"/>
      <c r="AN262" s="24"/>
      <c r="AO262" s="24"/>
      <c r="AP262" s="24"/>
      <c r="AQ262" s="24"/>
    </row>
    <row r="263" spans="2:43">
      <c r="B263" s="3" t="s">
        <v>151</v>
      </c>
      <c r="C263" s="3" t="s">
        <v>36</v>
      </c>
      <c r="D263" s="3" t="s">
        <v>195</v>
      </c>
      <c r="E263" s="3" t="b">
        <v>1</v>
      </c>
      <c r="F263" s="3">
        <v>3</v>
      </c>
      <c r="G263" s="3"/>
      <c r="H263" s="1" t="s">
        <v>152</v>
      </c>
      <c r="I263" s="1" t="s">
        <v>153</v>
      </c>
      <c r="J263" s="1" t="s">
        <v>156</v>
      </c>
      <c r="K263" s="3"/>
      <c r="L263" s="3"/>
      <c r="M263" s="3"/>
      <c r="N26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3" s="29"/>
      <c r="P263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三国-超难-[B]铁英+盾英+法英</v>
      </c>
      <c r="Q263" s="15" t="s">
        <v>40</v>
      </c>
      <c r="R263" s="15">
        <v>2</v>
      </c>
      <c r="S263" s="15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  <c r="AD263" s="24"/>
      <c r="AE263" s="24"/>
      <c r="AF263" s="24"/>
      <c r="AG263" s="24"/>
      <c r="AH263" s="24"/>
      <c r="AI263" s="24"/>
      <c r="AJ263" s="24"/>
      <c r="AK263" s="24"/>
      <c r="AL263" s="24"/>
      <c r="AM263" s="24"/>
      <c r="AN263" s="24"/>
      <c r="AO263" s="24"/>
      <c r="AP263" s="24"/>
      <c r="AQ263" s="24"/>
    </row>
    <row r="264" spans="2:43">
      <c r="B264" s="3" t="s">
        <v>151</v>
      </c>
      <c r="C264" s="3" t="s">
        <v>36</v>
      </c>
      <c r="D264" s="3" t="s">
        <v>195</v>
      </c>
      <c r="E264" s="3" t="b">
        <v>1</v>
      </c>
      <c r="F264" s="3">
        <v>3</v>
      </c>
      <c r="G264" s="3"/>
      <c r="H264" s="1" t="s">
        <v>152</v>
      </c>
      <c r="I264" s="1" t="s">
        <v>153</v>
      </c>
      <c r="J264" s="1" t="s">
        <v>157</v>
      </c>
      <c r="K264" s="3"/>
      <c r="L264" s="3"/>
      <c r="M264" s="3"/>
      <c r="N26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4" s="29"/>
      <c r="P264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三国-超难-[B]铁英+盾英+刺英</v>
      </c>
      <c r="Q264" s="15" t="s">
        <v>40</v>
      </c>
      <c r="R264" s="15">
        <v>2</v>
      </c>
      <c r="S264" s="15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  <c r="AD264" s="24"/>
      <c r="AE264" s="24"/>
      <c r="AF264" s="24"/>
      <c r="AG264" s="24"/>
      <c r="AH264" s="24"/>
      <c r="AI264" s="24"/>
      <c r="AJ264" s="24"/>
      <c r="AK264" s="24"/>
      <c r="AL264" s="24"/>
      <c r="AM264" s="24"/>
      <c r="AN264" s="24"/>
      <c r="AO264" s="24"/>
      <c r="AP264" s="24"/>
      <c r="AQ264" s="24"/>
    </row>
    <row r="265" spans="2:43">
      <c r="B265" s="1" t="s">
        <v>182</v>
      </c>
      <c r="C265" s="1" t="s">
        <v>183</v>
      </c>
      <c r="D265" s="1" t="s">
        <v>184</v>
      </c>
      <c r="F265" s="1">
        <v>3</v>
      </c>
      <c r="H265" s="1" t="s">
        <v>152</v>
      </c>
      <c r="I265" s="1" t="s">
        <v>154</v>
      </c>
      <c r="J265" s="1" t="s">
        <v>154</v>
      </c>
      <c r="N26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5" s="29"/>
      <c r="P265" s="27" t="str">
        <f>tbGroup[[#This Row],[Camp]]&amp;"-"&amp;tbGroup[[#This Row],[Difficulty]]&amp;"-"&amp;GET_GROUP_NAME(tbGroup[[#This Row],[IsBoss]],tbGroup[[#This Row],[Hero1]:[Soldier3]])&amp;tbGroup[[#This Row],[Suffix]]</f>
        <v>三国-超难-铁英+强英+强英</v>
      </c>
      <c r="Q265" s="15" t="s">
        <v>40</v>
      </c>
      <c r="R265" s="15">
        <v>2</v>
      </c>
      <c r="S265" s="15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  <c r="AD265" s="24"/>
      <c r="AE265" s="24"/>
      <c r="AF265" s="24"/>
      <c r="AG265" s="24"/>
      <c r="AH265" s="24"/>
      <c r="AI265" s="24"/>
      <c r="AJ265" s="24"/>
      <c r="AK265" s="24"/>
      <c r="AL265" s="24"/>
      <c r="AM265" s="24"/>
      <c r="AN265" s="24"/>
      <c r="AO265" s="24"/>
      <c r="AP265" s="24"/>
      <c r="AQ265" s="24"/>
    </row>
    <row r="266" spans="2:43">
      <c r="B266" s="1" t="s">
        <v>151</v>
      </c>
      <c r="C266" s="1" t="s">
        <v>36</v>
      </c>
      <c r="D266" s="1" t="s">
        <v>184</v>
      </c>
      <c r="F266" s="1">
        <v>3</v>
      </c>
      <c r="H266" s="1" t="s">
        <v>152</v>
      </c>
      <c r="I266" s="1" t="s">
        <v>155</v>
      </c>
      <c r="J266" s="1" t="s">
        <v>155</v>
      </c>
      <c r="N26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6" s="29"/>
      <c r="P266" s="27" t="str">
        <f>tbGroup[[#This Row],[Camp]]&amp;"-"&amp;tbGroup[[#This Row],[Difficulty]]&amp;"-"&amp;GET_GROUP_NAME(tbGroup[[#This Row],[IsBoss]],tbGroup[[#This Row],[Hero1]:[Soldier3]])&amp;tbGroup[[#This Row],[Suffix]]</f>
        <v>三国-超难-铁英+炼英+炼英</v>
      </c>
      <c r="Q266" s="15" t="s">
        <v>40</v>
      </c>
      <c r="R266" s="15">
        <v>2</v>
      </c>
      <c r="S266" s="15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  <c r="AD266" s="24"/>
      <c r="AE266" s="24"/>
      <c r="AF266" s="24"/>
      <c r="AG266" s="24"/>
      <c r="AH266" s="24"/>
      <c r="AI266" s="24"/>
      <c r="AJ266" s="24"/>
      <c r="AK266" s="24"/>
      <c r="AL266" s="24"/>
      <c r="AM266" s="24"/>
      <c r="AN266" s="24"/>
      <c r="AO266" s="24"/>
      <c r="AP266" s="24"/>
      <c r="AQ266" s="24"/>
    </row>
    <row r="267" spans="2:43">
      <c r="B267" s="1" t="s">
        <v>151</v>
      </c>
      <c r="C267" s="1" t="s">
        <v>36</v>
      </c>
      <c r="D267" s="1" t="s">
        <v>184</v>
      </c>
      <c r="F267" s="1">
        <v>3</v>
      </c>
      <c r="H267" s="1" t="s">
        <v>152</v>
      </c>
      <c r="I267" s="1" t="s">
        <v>156</v>
      </c>
      <c r="J267" s="1" t="s">
        <v>156</v>
      </c>
      <c r="N26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7" s="29"/>
      <c r="P267" s="27" t="str">
        <f>tbGroup[[#This Row],[Camp]]&amp;"-"&amp;tbGroup[[#This Row],[Difficulty]]&amp;"-"&amp;GET_GROUP_NAME(tbGroup[[#This Row],[IsBoss]],tbGroup[[#This Row],[Hero1]:[Soldier3]])&amp;tbGroup[[#This Row],[Suffix]]</f>
        <v>三国-超难-铁英+法英+法英</v>
      </c>
      <c r="Q267" s="15" t="s">
        <v>40</v>
      </c>
      <c r="R267" s="15">
        <v>2</v>
      </c>
      <c r="S267" s="15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  <c r="AD267" s="24"/>
      <c r="AE267" s="24"/>
      <c r="AF267" s="24"/>
      <c r="AG267" s="24"/>
      <c r="AH267" s="24"/>
      <c r="AI267" s="24"/>
      <c r="AJ267" s="24"/>
      <c r="AK267" s="24"/>
      <c r="AL267" s="24"/>
      <c r="AM267" s="24"/>
      <c r="AN267" s="24"/>
      <c r="AO267" s="24"/>
      <c r="AP267" s="24"/>
      <c r="AQ267" s="24"/>
    </row>
    <row r="268" spans="2:43">
      <c r="B268" s="1" t="s">
        <v>151</v>
      </c>
      <c r="C268" s="1" t="s">
        <v>36</v>
      </c>
      <c r="D268" s="1" t="s">
        <v>184</v>
      </c>
      <c r="F268" s="1">
        <v>3</v>
      </c>
      <c r="H268" s="1" t="s">
        <v>152</v>
      </c>
      <c r="I268" s="1" t="s">
        <v>157</v>
      </c>
      <c r="J268" s="1" t="s">
        <v>157</v>
      </c>
      <c r="N26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8" s="29"/>
      <c r="P268" s="27" t="str">
        <f>tbGroup[[#This Row],[Camp]]&amp;"-"&amp;tbGroup[[#This Row],[Difficulty]]&amp;"-"&amp;GET_GROUP_NAME(tbGroup[[#This Row],[IsBoss]],tbGroup[[#This Row],[Hero1]:[Soldier3]])&amp;tbGroup[[#This Row],[Suffix]]</f>
        <v>三国-超难-铁英+刺英+刺英</v>
      </c>
      <c r="Q268" s="15" t="s">
        <v>40</v>
      </c>
      <c r="R268" s="15">
        <v>2</v>
      </c>
      <c r="S268" s="15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  <c r="AD268" s="24"/>
      <c r="AE268" s="24"/>
      <c r="AF268" s="24"/>
      <c r="AG268" s="24"/>
      <c r="AH268" s="24"/>
      <c r="AI268" s="24"/>
      <c r="AJ268" s="24"/>
      <c r="AK268" s="24"/>
      <c r="AL268" s="24"/>
      <c r="AM268" s="24"/>
      <c r="AN268" s="24"/>
      <c r="AO268" s="24"/>
      <c r="AP268" s="24"/>
      <c r="AQ268" s="24"/>
    </row>
    <row r="269" spans="2:43">
      <c r="B269" s="1" t="s">
        <v>151</v>
      </c>
      <c r="C269" s="1" t="s">
        <v>36</v>
      </c>
      <c r="D269" s="1" t="s">
        <v>184</v>
      </c>
      <c r="F269" s="1">
        <v>3</v>
      </c>
      <c r="H269" s="1" t="s">
        <v>152</v>
      </c>
      <c r="I269" s="1" t="s">
        <v>154</v>
      </c>
      <c r="J269" s="1" t="s">
        <v>155</v>
      </c>
      <c r="N26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9" s="29"/>
      <c r="P269" s="27" t="str">
        <f>tbGroup[[#This Row],[Camp]]&amp;"-"&amp;tbGroup[[#This Row],[Difficulty]]&amp;"-"&amp;GET_GROUP_NAME(tbGroup[[#This Row],[IsBoss]],tbGroup[[#This Row],[Hero1]:[Soldier3]])&amp;tbGroup[[#This Row],[Suffix]]</f>
        <v>三国-超难-铁英+强英+炼英</v>
      </c>
      <c r="Q269" s="15" t="s">
        <v>40</v>
      </c>
      <c r="R269" s="15">
        <v>2</v>
      </c>
      <c r="S269" s="15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  <c r="AD269" s="24"/>
      <c r="AE269" s="24"/>
      <c r="AF269" s="24"/>
      <c r="AG269" s="24"/>
      <c r="AH269" s="24"/>
      <c r="AI269" s="24"/>
      <c r="AJ269" s="24"/>
      <c r="AK269" s="24"/>
      <c r="AL269" s="24"/>
      <c r="AM269" s="24"/>
      <c r="AN269" s="24"/>
      <c r="AO269" s="24"/>
      <c r="AP269" s="24"/>
      <c r="AQ269" s="24"/>
    </row>
    <row r="270" spans="2:43">
      <c r="B270" s="1" t="s">
        <v>151</v>
      </c>
      <c r="C270" s="1" t="s">
        <v>36</v>
      </c>
      <c r="D270" s="1" t="s">
        <v>184</v>
      </c>
      <c r="F270" s="1">
        <v>3</v>
      </c>
      <c r="H270" s="1" t="s">
        <v>152</v>
      </c>
      <c r="I270" s="1" t="s">
        <v>154</v>
      </c>
      <c r="J270" s="1" t="s">
        <v>156</v>
      </c>
      <c r="N27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0" s="29"/>
      <c r="P270" s="27" t="str">
        <f>tbGroup[[#This Row],[Camp]]&amp;"-"&amp;tbGroup[[#This Row],[Difficulty]]&amp;"-"&amp;GET_GROUP_NAME(tbGroup[[#This Row],[IsBoss]],tbGroup[[#This Row],[Hero1]:[Soldier3]])&amp;tbGroup[[#This Row],[Suffix]]</f>
        <v>三国-超难-铁英+强英+法英</v>
      </c>
      <c r="Q270" s="15" t="s">
        <v>40</v>
      </c>
      <c r="R270" s="15">
        <v>2</v>
      </c>
      <c r="S270" s="15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  <c r="AD270" s="24"/>
      <c r="AE270" s="24"/>
      <c r="AF270" s="24"/>
      <c r="AG270" s="24"/>
      <c r="AH270" s="24"/>
      <c r="AI270" s="24"/>
      <c r="AJ270" s="24"/>
      <c r="AK270" s="24"/>
      <c r="AL270" s="24"/>
      <c r="AM270" s="24"/>
      <c r="AN270" s="24"/>
      <c r="AO270" s="24"/>
      <c r="AP270" s="24"/>
      <c r="AQ270" s="24"/>
    </row>
    <row r="271" spans="2:43">
      <c r="B271" s="1" t="s">
        <v>151</v>
      </c>
      <c r="C271" s="1" t="s">
        <v>36</v>
      </c>
      <c r="D271" s="1" t="s">
        <v>184</v>
      </c>
      <c r="F271" s="1">
        <v>3</v>
      </c>
      <c r="H271" s="1" t="s">
        <v>152</v>
      </c>
      <c r="I271" s="1" t="s">
        <v>155</v>
      </c>
      <c r="J271" s="1" t="s">
        <v>156</v>
      </c>
      <c r="N27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1" s="29"/>
      <c r="P271" s="27" t="str">
        <f>tbGroup[[#This Row],[Camp]]&amp;"-"&amp;tbGroup[[#This Row],[Difficulty]]&amp;"-"&amp;GET_GROUP_NAME(tbGroup[[#This Row],[IsBoss]],tbGroup[[#This Row],[Hero1]:[Soldier3]])&amp;tbGroup[[#This Row],[Suffix]]</f>
        <v>三国-超难-铁英+炼英+法英</v>
      </c>
      <c r="Q271" s="15" t="s">
        <v>40</v>
      </c>
      <c r="R271" s="15">
        <v>2</v>
      </c>
      <c r="S271" s="15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  <c r="AD271" s="24"/>
      <c r="AE271" s="24"/>
      <c r="AF271" s="24"/>
      <c r="AG271" s="24"/>
      <c r="AH271" s="24"/>
      <c r="AI271" s="24"/>
      <c r="AJ271" s="24"/>
      <c r="AK271" s="24"/>
      <c r="AL271" s="24"/>
      <c r="AM271" s="24"/>
      <c r="AN271" s="24"/>
      <c r="AO271" s="24"/>
      <c r="AP271" s="24"/>
      <c r="AQ271" s="24"/>
    </row>
    <row r="272" spans="2:43">
      <c r="B272" s="1" t="s">
        <v>151</v>
      </c>
      <c r="C272" s="1" t="s">
        <v>36</v>
      </c>
      <c r="D272" s="1" t="s">
        <v>184</v>
      </c>
      <c r="F272" s="1">
        <v>3</v>
      </c>
      <c r="H272" s="1" t="s">
        <v>152</v>
      </c>
      <c r="I272" s="1" t="s">
        <v>155</v>
      </c>
      <c r="J272" s="1" t="s">
        <v>157</v>
      </c>
      <c r="N27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2" s="29"/>
      <c r="P272" s="27" t="str">
        <f>tbGroup[[#This Row],[Camp]]&amp;"-"&amp;tbGroup[[#This Row],[Difficulty]]&amp;"-"&amp;GET_GROUP_NAME(tbGroup[[#This Row],[IsBoss]],tbGroup[[#This Row],[Hero1]:[Soldier3]])&amp;tbGroup[[#This Row],[Suffix]]</f>
        <v>三国-超难-铁英+炼英+刺英</v>
      </c>
      <c r="Q272" s="15" t="s">
        <v>40</v>
      </c>
      <c r="R272" s="15">
        <v>2</v>
      </c>
      <c r="S272" s="15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  <c r="AD272" s="24"/>
      <c r="AE272" s="24"/>
      <c r="AF272" s="24"/>
      <c r="AG272" s="24"/>
      <c r="AH272" s="24"/>
      <c r="AI272" s="24"/>
      <c r="AJ272" s="24"/>
      <c r="AK272" s="24"/>
      <c r="AL272" s="24"/>
      <c r="AM272" s="24"/>
      <c r="AN272" s="24"/>
      <c r="AO272" s="24"/>
      <c r="AP272" s="24"/>
      <c r="AQ272" s="24"/>
    </row>
    <row r="273" spans="2:43">
      <c r="B273" s="1" t="s">
        <v>151</v>
      </c>
      <c r="C273" s="1" t="s">
        <v>36</v>
      </c>
      <c r="D273" s="1" t="s">
        <v>184</v>
      </c>
      <c r="F273" s="1">
        <v>3</v>
      </c>
      <c r="H273" s="1" t="s">
        <v>152</v>
      </c>
      <c r="I273" s="1" t="s">
        <v>156</v>
      </c>
      <c r="J273" s="1" t="s">
        <v>157</v>
      </c>
      <c r="N27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3" s="29"/>
      <c r="P273" s="27" t="str">
        <f>tbGroup[[#This Row],[Camp]]&amp;"-"&amp;tbGroup[[#This Row],[Difficulty]]&amp;"-"&amp;GET_GROUP_NAME(tbGroup[[#This Row],[IsBoss]],tbGroup[[#This Row],[Hero1]:[Soldier3]])&amp;tbGroup[[#This Row],[Suffix]]</f>
        <v>三国-超难-铁英+法英+刺英</v>
      </c>
      <c r="Q273" s="15" t="s">
        <v>40</v>
      </c>
      <c r="R273" s="15">
        <v>2</v>
      </c>
      <c r="S273" s="15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  <c r="AD273" s="24"/>
      <c r="AE273" s="24"/>
      <c r="AF273" s="24"/>
      <c r="AG273" s="24"/>
      <c r="AH273" s="24"/>
      <c r="AI273" s="24"/>
      <c r="AJ273" s="24"/>
      <c r="AK273" s="24"/>
      <c r="AL273" s="24"/>
      <c r="AM273" s="24"/>
      <c r="AN273" s="24"/>
      <c r="AO273" s="24"/>
      <c r="AP273" s="24"/>
      <c r="AQ273" s="24"/>
    </row>
    <row r="274" spans="2:43">
      <c r="B274" s="1" t="s">
        <v>151</v>
      </c>
      <c r="C274" s="1" t="s">
        <v>36</v>
      </c>
      <c r="D274" s="1" t="s">
        <v>184</v>
      </c>
      <c r="F274" s="1">
        <v>3</v>
      </c>
      <c r="H274" s="1" t="s">
        <v>153</v>
      </c>
      <c r="I274" s="1" t="s">
        <v>155</v>
      </c>
      <c r="J274" s="1" t="s">
        <v>155</v>
      </c>
      <c r="N27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4" s="29"/>
      <c r="P274" s="27" t="str">
        <f>tbGroup[[#This Row],[Camp]]&amp;"-"&amp;tbGroup[[#This Row],[Difficulty]]&amp;"-"&amp;GET_GROUP_NAME(tbGroup[[#This Row],[IsBoss]],tbGroup[[#This Row],[Hero1]:[Soldier3]])&amp;tbGroup[[#This Row],[Suffix]]</f>
        <v>三国-超难-盾英+炼英+炼英</v>
      </c>
      <c r="Q274" s="15" t="s">
        <v>40</v>
      </c>
      <c r="R274" s="15">
        <v>2</v>
      </c>
      <c r="S274" s="15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  <c r="AD274" s="24"/>
      <c r="AE274" s="24"/>
      <c r="AF274" s="24"/>
      <c r="AG274" s="24"/>
      <c r="AH274" s="24"/>
      <c r="AI274" s="24"/>
      <c r="AJ274" s="24"/>
      <c r="AK274" s="24"/>
      <c r="AL274" s="24"/>
      <c r="AM274" s="24"/>
      <c r="AN274" s="24"/>
      <c r="AO274" s="24"/>
      <c r="AP274" s="24"/>
      <c r="AQ274" s="24"/>
    </row>
    <row r="275" spans="2:43">
      <c r="B275" s="1" t="s">
        <v>151</v>
      </c>
      <c r="C275" s="1" t="s">
        <v>36</v>
      </c>
      <c r="D275" s="1" t="s">
        <v>184</v>
      </c>
      <c r="F275" s="1">
        <v>3</v>
      </c>
      <c r="H275" s="1" t="s">
        <v>153</v>
      </c>
      <c r="I275" s="1" t="s">
        <v>156</v>
      </c>
      <c r="J275" s="1" t="s">
        <v>156</v>
      </c>
      <c r="N27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5" s="29"/>
      <c r="P275" s="27" t="str">
        <f>tbGroup[[#This Row],[Camp]]&amp;"-"&amp;tbGroup[[#This Row],[Difficulty]]&amp;"-"&amp;GET_GROUP_NAME(tbGroup[[#This Row],[IsBoss]],tbGroup[[#This Row],[Hero1]:[Soldier3]])&amp;tbGroup[[#This Row],[Suffix]]</f>
        <v>三国-超难-盾英+法英+法英</v>
      </c>
      <c r="Q275" s="15" t="s">
        <v>40</v>
      </c>
      <c r="R275" s="15">
        <v>2</v>
      </c>
      <c r="S275" s="15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  <c r="AD275" s="24"/>
      <c r="AE275" s="24"/>
      <c r="AF275" s="24"/>
      <c r="AG275" s="24"/>
      <c r="AH275" s="24"/>
      <c r="AI275" s="24"/>
      <c r="AJ275" s="24"/>
      <c r="AK275" s="24"/>
      <c r="AL275" s="24"/>
      <c r="AM275" s="24"/>
      <c r="AN275" s="24"/>
      <c r="AO275" s="24"/>
      <c r="AP275" s="24"/>
      <c r="AQ275" s="24"/>
    </row>
    <row r="276" spans="2:43">
      <c r="B276" s="1" t="s">
        <v>151</v>
      </c>
      <c r="C276" s="1" t="s">
        <v>36</v>
      </c>
      <c r="D276" s="1" t="s">
        <v>184</v>
      </c>
      <c r="F276" s="1">
        <v>3</v>
      </c>
      <c r="H276" s="1" t="s">
        <v>153</v>
      </c>
      <c r="I276" s="1" t="s">
        <v>157</v>
      </c>
      <c r="J276" s="1" t="s">
        <v>157</v>
      </c>
      <c r="N27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6" s="29"/>
      <c r="P276" s="27" t="str">
        <f>tbGroup[[#This Row],[Camp]]&amp;"-"&amp;tbGroup[[#This Row],[Difficulty]]&amp;"-"&amp;GET_GROUP_NAME(tbGroup[[#This Row],[IsBoss]],tbGroup[[#This Row],[Hero1]:[Soldier3]])&amp;tbGroup[[#This Row],[Suffix]]</f>
        <v>三国-超难-盾英+刺英+刺英</v>
      </c>
      <c r="Q276" s="15" t="s">
        <v>40</v>
      </c>
      <c r="R276" s="15">
        <v>2</v>
      </c>
      <c r="S276" s="15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  <c r="AD276" s="24"/>
      <c r="AE276" s="24"/>
      <c r="AF276" s="24"/>
      <c r="AG276" s="24"/>
      <c r="AH276" s="24"/>
      <c r="AI276" s="24"/>
      <c r="AJ276" s="24"/>
      <c r="AK276" s="24"/>
      <c r="AL276" s="24"/>
      <c r="AM276" s="24"/>
      <c r="AN276" s="24"/>
      <c r="AO276" s="24"/>
      <c r="AP276" s="24"/>
      <c r="AQ276" s="24"/>
    </row>
    <row r="277" spans="2:43">
      <c r="B277" s="1" t="s">
        <v>151</v>
      </c>
      <c r="C277" s="1" t="s">
        <v>36</v>
      </c>
      <c r="D277" s="1" t="s">
        <v>184</v>
      </c>
      <c r="F277" s="1">
        <v>3</v>
      </c>
      <c r="H277" s="1" t="s">
        <v>153</v>
      </c>
      <c r="I277" s="1" t="s">
        <v>154</v>
      </c>
      <c r="J277" s="1" t="s">
        <v>155</v>
      </c>
      <c r="N27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7" s="29"/>
      <c r="P277" s="27" t="str">
        <f>tbGroup[[#This Row],[Camp]]&amp;"-"&amp;tbGroup[[#This Row],[Difficulty]]&amp;"-"&amp;GET_GROUP_NAME(tbGroup[[#This Row],[IsBoss]],tbGroup[[#This Row],[Hero1]:[Soldier3]])&amp;tbGroup[[#This Row],[Suffix]]</f>
        <v>三国-超难-盾英+强英+炼英</v>
      </c>
      <c r="Q277" s="15" t="s">
        <v>40</v>
      </c>
      <c r="R277" s="15">
        <v>2</v>
      </c>
      <c r="S277" s="15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  <c r="AD277" s="24"/>
      <c r="AE277" s="24"/>
      <c r="AF277" s="24"/>
      <c r="AG277" s="24"/>
      <c r="AH277" s="24"/>
      <c r="AI277" s="24"/>
      <c r="AJ277" s="24"/>
      <c r="AK277" s="24"/>
      <c r="AL277" s="24"/>
      <c r="AM277" s="24"/>
      <c r="AN277" s="24"/>
      <c r="AO277" s="24"/>
      <c r="AP277" s="24"/>
      <c r="AQ277" s="24"/>
    </row>
    <row r="278" spans="2:43">
      <c r="B278" s="1" t="s">
        <v>151</v>
      </c>
      <c r="C278" s="1" t="s">
        <v>36</v>
      </c>
      <c r="D278" s="1" t="s">
        <v>184</v>
      </c>
      <c r="F278" s="1">
        <v>3</v>
      </c>
      <c r="H278" s="1" t="s">
        <v>153</v>
      </c>
      <c r="I278" s="1" t="s">
        <v>154</v>
      </c>
      <c r="J278" s="1" t="s">
        <v>156</v>
      </c>
      <c r="N27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8" s="29"/>
      <c r="P278" s="27" t="str">
        <f>tbGroup[[#This Row],[Camp]]&amp;"-"&amp;tbGroup[[#This Row],[Difficulty]]&amp;"-"&amp;GET_GROUP_NAME(tbGroup[[#This Row],[IsBoss]],tbGroup[[#This Row],[Hero1]:[Soldier3]])&amp;tbGroup[[#This Row],[Suffix]]</f>
        <v>三国-超难-盾英+强英+法英</v>
      </c>
      <c r="Q278" s="15" t="s">
        <v>40</v>
      </c>
      <c r="R278" s="15">
        <v>2</v>
      </c>
      <c r="S278" s="15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  <c r="AD278" s="24"/>
      <c r="AE278" s="24"/>
      <c r="AF278" s="24"/>
      <c r="AG278" s="24"/>
      <c r="AH278" s="24"/>
      <c r="AI278" s="24"/>
      <c r="AJ278" s="24"/>
      <c r="AK278" s="24"/>
      <c r="AL278" s="24"/>
      <c r="AM278" s="24"/>
      <c r="AN278" s="24"/>
      <c r="AO278" s="24"/>
      <c r="AP278" s="24"/>
      <c r="AQ278" s="24"/>
    </row>
    <row r="279" spans="2:43">
      <c r="B279" s="1" t="s">
        <v>151</v>
      </c>
      <c r="C279" s="1" t="s">
        <v>36</v>
      </c>
      <c r="D279" s="1" t="s">
        <v>184</v>
      </c>
      <c r="F279" s="1">
        <v>3</v>
      </c>
      <c r="H279" s="1" t="s">
        <v>153</v>
      </c>
      <c r="I279" s="1" t="s">
        <v>155</v>
      </c>
      <c r="J279" s="1" t="s">
        <v>156</v>
      </c>
      <c r="N27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9" s="29"/>
      <c r="P279" s="27" t="str">
        <f>tbGroup[[#This Row],[Camp]]&amp;"-"&amp;tbGroup[[#This Row],[Difficulty]]&amp;"-"&amp;GET_GROUP_NAME(tbGroup[[#This Row],[IsBoss]],tbGroup[[#This Row],[Hero1]:[Soldier3]])&amp;tbGroup[[#This Row],[Suffix]]</f>
        <v>三国-超难-盾英+炼英+法英</v>
      </c>
      <c r="Q279" s="15" t="s">
        <v>40</v>
      </c>
      <c r="R279" s="15">
        <v>2</v>
      </c>
      <c r="S279" s="15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  <c r="AD279" s="24"/>
      <c r="AE279" s="24"/>
      <c r="AF279" s="24"/>
      <c r="AG279" s="24"/>
      <c r="AH279" s="24"/>
      <c r="AI279" s="24"/>
      <c r="AJ279" s="24"/>
      <c r="AK279" s="24"/>
      <c r="AL279" s="24"/>
      <c r="AM279" s="24"/>
      <c r="AN279" s="24"/>
      <c r="AO279" s="24"/>
      <c r="AP279" s="24"/>
      <c r="AQ279" s="24"/>
    </row>
    <row r="280" spans="2:43">
      <c r="B280" s="1" t="s">
        <v>151</v>
      </c>
      <c r="C280" s="1" t="s">
        <v>36</v>
      </c>
      <c r="D280" s="1" t="s">
        <v>184</v>
      </c>
      <c r="F280" s="1">
        <v>3</v>
      </c>
      <c r="H280" s="1" t="s">
        <v>153</v>
      </c>
      <c r="I280" s="1" t="s">
        <v>155</v>
      </c>
      <c r="J280" s="1" t="s">
        <v>157</v>
      </c>
      <c r="N28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0" s="29"/>
      <c r="P280" s="27" t="str">
        <f>tbGroup[[#This Row],[Camp]]&amp;"-"&amp;tbGroup[[#This Row],[Difficulty]]&amp;"-"&amp;GET_GROUP_NAME(tbGroup[[#This Row],[IsBoss]],tbGroup[[#This Row],[Hero1]:[Soldier3]])&amp;tbGroup[[#This Row],[Suffix]]</f>
        <v>三国-超难-盾英+炼英+刺英</v>
      </c>
      <c r="Q280" s="15" t="s">
        <v>40</v>
      </c>
      <c r="R280" s="15">
        <v>2</v>
      </c>
      <c r="S280" s="15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  <c r="AD280" s="24"/>
      <c r="AE280" s="24"/>
      <c r="AF280" s="24"/>
      <c r="AG280" s="24"/>
      <c r="AH280" s="24"/>
      <c r="AI280" s="24"/>
      <c r="AJ280" s="24"/>
      <c r="AK280" s="24"/>
      <c r="AL280" s="24"/>
      <c r="AM280" s="24"/>
      <c r="AN280" s="24"/>
      <c r="AO280" s="24"/>
      <c r="AP280" s="24"/>
      <c r="AQ280" s="24"/>
    </row>
    <row r="281" spans="2:43">
      <c r="B281" s="1" t="s">
        <v>151</v>
      </c>
      <c r="C281" s="1" t="s">
        <v>36</v>
      </c>
      <c r="D281" s="1" t="s">
        <v>184</v>
      </c>
      <c r="F281" s="1">
        <v>3</v>
      </c>
      <c r="H281" s="1" t="s">
        <v>153</v>
      </c>
      <c r="I281" s="1" t="s">
        <v>156</v>
      </c>
      <c r="J281" s="1" t="s">
        <v>157</v>
      </c>
      <c r="N28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1" s="29"/>
      <c r="P281" s="27" t="str">
        <f>tbGroup[[#This Row],[Camp]]&amp;"-"&amp;tbGroup[[#This Row],[Difficulty]]&amp;"-"&amp;GET_GROUP_NAME(tbGroup[[#This Row],[IsBoss]],tbGroup[[#This Row],[Hero1]:[Soldier3]])&amp;tbGroup[[#This Row],[Suffix]]</f>
        <v>三国-超难-盾英+法英+刺英</v>
      </c>
      <c r="Q281" s="15" t="s">
        <v>40</v>
      </c>
      <c r="R281" s="15">
        <v>2</v>
      </c>
      <c r="S281" s="15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  <c r="AD281" s="24"/>
      <c r="AE281" s="24"/>
      <c r="AF281" s="24"/>
      <c r="AG281" s="24"/>
      <c r="AH281" s="24"/>
      <c r="AI281" s="24"/>
      <c r="AJ281" s="24"/>
      <c r="AK281" s="24"/>
      <c r="AL281" s="24"/>
      <c r="AM281" s="24"/>
      <c r="AN281" s="24"/>
      <c r="AO281" s="24"/>
      <c r="AP281" s="24"/>
      <c r="AQ281" s="24"/>
    </row>
    <row r="282" spans="2:43">
      <c r="B282" s="3" t="s">
        <v>151</v>
      </c>
      <c r="C282" s="3" t="s">
        <v>36</v>
      </c>
      <c r="D282" s="3" t="s">
        <v>196</v>
      </c>
      <c r="E282" s="3" t="b">
        <v>1</v>
      </c>
      <c r="F282" s="3">
        <v>3</v>
      </c>
      <c r="G282" s="3"/>
      <c r="H282" s="1" t="s">
        <v>152</v>
      </c>
      <c r="I282" s="1" t="s">
        <v>154</v>
      </c>
      <c r="J282" s="1" t="s">
        <v>154</v>
      </c>
      <c r="K282" s="3"/>
      <c r="L282" s="3"/>
      <c r="M282" s="3"/>
      <c r="N28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2" s="29"/>
      <c r="P282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三国-超难-[B]铁英+强英+强英</v>
      </c>
      <c r="Q282" s="15" t="s">
        <v>40</v>
      </c>
      <c r="R282" s="15">
        <v>2</v>
      </c>
      <c r="S282" s="15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  <c r="AD282" s="24"/>
      <c r="AE282" s="24"/>
      <c r="AF282" s="24"/>
      <c r="AG282" s="24"/>
      <c r="AH282" s="24"/>
      <c r="AI282" s="24"/>
      <c r="AJ282" s="24"/>
      <c r="AK282" s="24"/>
      <c r="AL282" s="24"/>
      <c r="AM282" s="24"/>
      <c r="AN282" s="24"/>
      <c r="AO282" s="24"/>
      <c r="AP282" s="24"/>
      <c r="AQ282" s="24"/>
    </row>
    <row r="283" spans="2:43">
      <c r="B283" s="3" t="s">
        <v>151</v>
      </c>
      <c r="C283" s="3" t="s">
        <v>36</v>
      </c>
      <c r="D283" s="3" t="s">
        <v>196</v>
      </c>
      <c r="E283" s="3" t="b">
        <v>1</v>
      </c>
      <c r="F283" s="3">
        <v>3</v>
      </c>
      <c r="G283" s="3"/>
      <c r="H283" s="1" t="s">
        <v>152</v>
      </c>
      <c r="I283" s="1" t="s">
        <v>155</v>
      </c>
      <c r="J283" s="1" t="s">
        <v>155</v>
      </c>
      <c r="K283" s="3"/>
      <c r="L283" s="3"/>
      <c r="M283" s="3"/>
      <c r="N28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3" s="29"/>
      <c r="P283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三国-超难-[B]铁英+炼英+炼英</v>
      </c>
      <c r="Q283" s="15" t="s">
        <v>40</v>
      </c>
      <c r="R283" s="15">
        <v>2</v>
      </c>
      <c r="S283" s="15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  <c r="AD283" s="24"/>
      <c r="AE283" s="24"/>
      <c r="AF283" s="24"/>
      <c r="AG283" s="24"/>
      <c r="AH283" s="24"/>
      <c r="AI283" s="24"/>
      <c r="AJ283" s="24"/>
      <c r="AK283" s="24"/>
      <c r="AL283" s="24"/>
      <c r="AM283" s="24"/>
      <c r="AN283" s="24"/>
      <c r="AO283" s="24"/>
      <c r="AP283" s="24"/>
      <c r="AQ283" s="24"/>
    </row>
    <row r="284" spans="2:43">
      <c r="B284" s="3" t="s">
        <v>151</v>
      </c>
      <c r="C284" s="3" t="s">
        <v>36</v>
      </c>
      <c r="D284" s="3" t="s">
        <v>196</v>
      </c>
      <c r="E284" s="3" t="b">
        <v>1</v>
      </c>
      <c r="F284" s="3">
        <v>3</v>
      </c>
      <c r="G284" s="3"/>
      <c r="H284" s="1" t="s">
        <v>152</v>
      </c>
      <c r="I284" s="1" t="s">
        <v>156</v>
      </c>
      <c r="J284" s="1" t="s">
        <v>156</v>
      </c>
      <c r="K284" s="3"/>
      <c r="L284" s="3"/>
      <c r="M284" s="3"/>
      <c r="N28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4" s="29"/>
      <c r="P284" s="27" t="str">
        <f>tbGroup[[#This Row],[Camp]]&amp;"-"&amp;tbGroup[[#This Row],[Difficulty]]&amp;"-"&amp;GET_GROUP_NAME(tbGroup[[#This Row],[IsBoss]],tbGroup[[#This Row],[Hero1]:[Soldier3]])&amp;tbGroup[[#This Row],[Suffix]]</f>
        <v>三国-超难-[B]铁英+法英+法英</v>
      </c>
      <c r="Q284" s="15" t="s">
        <v>40</v>
      </c>
      <c r="R284" s="15">
        <v>2</v>
      </c>
      <c r="S284" s="15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  <c r="AD284" s="24"/>
      <c r="AE284" s="24"/>
      <c r="AF284" s="24"/>
      <c r="AG284" s="24"/>
      <c r="AH284" s="24"/>
      <c r="AI284" s="24"/>
      <c r="AJ284" s="24"/>
      <c r="AK284" s="24"/>
      <c r="AL284" s="24"/>
      <c r="AM284" s="24"/>
      <c r="AN284" s="24"/>
      <c r="AO284" s="24"/>
      <c r="AP284" s="24"/>
      <c r="AQ284" s="24"/>
    </row>
    <row r="285" spans="2:43">
      <c r="B285" s="3" t="s">
        <v>151</v>
      </c>
      <c r="C285" s="3" t="s">
        <v>36</v>
      </c>
      <c r="D285" s="3" t="s">
        <v>196</v>
      </c>
      <c r="E285" s="3" t="b">
        <v>1</v>
      </c>
      <c r="F285" s="3">
        <v>3</v>
      </c>
      <c r="G285" s="3"/>
      <c r="H285" s="1" t="s">
        <v>152</v>
      </c>
      <c r="I285" s="1" t="s">
        <v>157</v>
      </c>
      <c r="J285" s="1" t="s">
        <v>157</v>
      </c>
      <c r="K285" s="3"/>
      <c r="L285" s="3"/>
      <c r="M285" s="3"/>
      <c r="N28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5" s="29"/>
      <c r="P285" s="27" t="str">
        <f>tbGroup[[#This Row],[Camp]]&amp;"-"&amp;tbGroup[[#This Row],[Difficulty]]&amp;"-"&amp;GET_GROUP_NAME(tbGroup[[#This Row],[IsBoss]],tbGroup[[#This Row],[Hero1]:[Soldier3]])&amp;tbGroup[[#This Row],[Suffix]]</f>
        <v>三国-超难-[B]铁英+刺英+刺英</v>
      </c>
      <c r="Q285" s="15" t="s">
        <v>40</v>
      </c>
      <c r="R285" s="15">
        <v>2</v>
      </c>
      <c r="S285" s="15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  <c r="AD285" s="24"/>
      <c r="AE285" s="24"/>
      <c r="AF285" s="24"/>
      <c r="AG285" s="24"/>
      <c r="AH285" s="24"/>
      <c r="AI285" s="24"/>
      <c r="AJ285" s="24"/>
      <c r="AK285" s="24"/>
      <c r="AL285" s="24"/>
      <c r="AM285" s="24"/>
      <c r="AN285" s="24"/>
      <c r="AO285" s="24"/>
      <c r="AP285" s="24"/>
      <c r="AQ285" s="24"/>
    </row>
    <row r="286" spans="2:43">
      <c r="B286" s="3" t="s">
        <v>151</v>
      </c>
      <c r="C286" s="3" t="s">
        <v>36</v>
      </c>
      <c r="D286" s="3" t="s">
        <v>196</v>
      </c>
      <c r="E286" s="3" t="b">
        <v>1</v>
      </c>
      <c r="F286" s="3">
        <v>3</v>
      </c>
      <c r="G286" s="3"/>
      <c r="H286" s="1" t="s">
        <v>152</v>
      </c>
      <c r="I286" s="1" t="s">
        <v>154</v>
      </c>
      <c r="J286" s="1" t="s">
        <v>155</v>
      </c>
      <c r="K286" s="3"/>
      <c r="L286" s="3"/>
      <c r="M286" s="3"/>
      <c r="N28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6" s="29"/>
      <c r="P286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三国-超难-[B]铁英+强英+炼英</v>
      </c>
      <c r="Q286" s="15" t="s">
        <v>40</v>
      </c>
      <c r="R286" s="15">
        <v>2</v>
      </c>
      <c r="S286" s="15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  <c r="AD286" s="24"/>
      <c r="AE286" s="24"/>
      <c r="AF286" s="24"/>
      <c r="AG286" s="24"/>
      <c r="AH286" s="24"/>
      <c r="AI286" s="24"/>
      <c r="AJ286" s="24"/>
      <c r="AK286" s="24"/>
      <c r="AL286" s="24"/>
      <c r="AM286" s="24"/>
      <c r="AN286" s="24"/>
      <c r="AO286" s="24"/>
      <c r="AP286" s="24"/>
      <c r="AQ286" s="24"/>
    </row>
    <row r="287" spans="2:43">
      <c r="B287" s="3" t="s">
        <v>151</v>
      </c>
      <c r="C287" s="3" t="s">
        <v>36</v>
      </c>
      <c r="D287" s="3" t="s">
        <v>196</v>
      </c>
      <c r="E287" s="3" t="b">
        <v>1</v>
      </c>
      <c r="F287" s="3">
        <v>3</v>
      </c>
      <c r="G287" s="3"/>
      <c r="H287" s="1" t="s">
        <v>152</v>
      </c>
      <c r="I287" s="1" t="s">
        <v>154</v>
      </c>
      <c r="J287" s="1" t="s">
        <v>156</v>
      </c>
      <c r="K287" s="3"/>
      <c r="L287" s="3"/>
      <c r="M287" s="3"/>
      <c r="N28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7" s="29"/>
      <c r="P287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三国-超难-[B]铁英+强英+法英</v>
      </c>
      <c r="Q287" s="15" t="s">
        <v>40</v>
      </c>
      <c r="R287" s="15">
        <v>2</v>
      </c>
      <c r="S287" s="15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  <c r="AD287" s="24"/>
      <c r="AE287" s="24"/>
      <c r="AF287" s="24"/>
      <c r="AG287" s="24"/>
      <c r="AH287" s="24"/>
      <c r="AI287" s="24"/>
      <c r="AJ287" s="24"/>
      <c r="AK287" s="24"/>
      <c r="AL287" s="24"/>
      <c r="AM287" s="24"/>
      <c r="AN287" s="24"/>
      <c r="AO287" s="24"/>
      <c r="AP287" s="24"/>
      <c r="AQ287" s="24"/>
    </row>
    <row r="288" spans="2:43">
      <c r="B288" s="3" t="s">
        <v>151</v>
      </c>
      <c r="C288" s="3" t="s">
        <v>36</v>
      </c>
      <c r="D288" s="3" t="s">
        <v>196</v>
      </c>
      <c r="E288" s="3" t="b">
        <v>1</v>
      </c>
      <c r="F288" s="3">
        <v>3</v>
      </c>
      <c r="G288" s="3"/>
      <c r="H288" s="1" t="s">
        <v>152</v>
      </c>
      <c r="I288" s="1" t="s">
        <v>155</v>
      </c>
      <c r="J288" s="1" t="s">
        <v>156</v>
      </c>
      <c r="K288" s="3"/>
      <c r="L288" s="3"/>
      <c r="M288" s="3"/>
      <c r="N28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8" s="29"/>
      <c r="P288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三国-超难-[B]铁英+炼英+法英</v>
      </c>
      <c r="Q288" s="15" t="s">
        <v>40</v>
      </c>
      <c r="R288" s="15">
        <v>2</v>
      </c>
      <c r="S288" s="15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  <c r="AD288" s="24"/>
      <c r="AE288" s="24"/>
      <c r="AF288" s="24"/>
      <c r="AG288" s="24"/>
      <c r="AH288" s="24"/>
      <c r="AI288" s="24"/>
      <c r="AJ288" s="24"/>
      <c r="AK288" s="24"/>
      <c r="AL288" s="24"/>
      <c r="AM288" s="24"/>
      <c r="AN288" s="24"/>
      <c r="AO288" s="24"/>
      <c r="AP288" s="24"/>
      <c r="AQ288" s="24"/>
    </row>
    <row r="289" spans="2:43">
      <c r="B289" s="3" t="s">
        <v>151</v>
      </c>
      <c r="C289" s="3" t="s">
        <v>36</v>
      </c>
      <c r="D289" s="3" t="s">
        <v>196</v>
      </c>
      <c r="E289" s="3" t="b">
        <v>1</v>
      </c>
      <c r="F289" s="3">
        <v>3</v>
      </c>
      <c r="G289" s="3"/>
      <c r="H289" s="1" t="s">
        <v>152</v>
      </c>
      <c r="I289" s="1" t="s">
        <v>155</v>
      </c>
      <c r="J289" s="1" t="s">
        <v>157</v>
      </c>
      <c r="K289" s="3"/>
      <c r="L289" s="3"/>
      <c r="M289" s="3"/>
      <c r="N28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9" s="29"/>
      <c r="P289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三国-超难-[B]铁英+炼英+刺英</v>
      </c>
      <c r="Q289" s="15" t="s">
        <v>40</v>
      </c>
      <c r="R289" s="15">
        <v>2</v>
      </c>
      <c r="S289" s="15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  <c r="AD289" s="24"/>
      <c r="AE289" s="24"/>
      <c r="AF289" s="24"/>
      <c r="AG289" s="24"/>
      <c r="AH289" s="24"/>
      <c r="AI289" s="24"/>
      <c r="AJ289" s="24"/>
      <c r="AK289" s="24"/>
      <c r="AL289" s="24"/>
      <c r="AM289" s="24"/>
      <c r="AN289" s="24"/>
      <c r="AO289" s="24"/>
      <c r="AP289" s="24"/>
      <c r="AQ289" s="24"/>
    </row>
    <row r="290" spans="2:43">
      <c r="B290" s="3" t="s">
        <v>151</v>
      </c>
      <c r="C290" s="3" t="s">
        <v>36</v>
      </c>
      <c r="D290" s="3" t="s">
        <v>196</v>
      </c>
      <c r="E290" s="3" t="b">
        <v>1</v>
      </c>
      <c r="F290" s="3">
        <v>3</v>
      </c>
      <c r="G290" s="3"/>
      <c r="H290" s="1" t="s">
        <v>152</v>
      </c>
      <c r="I290" s="1" t="s">
        <v>156</v>
      </c>
      <c r="J290" s="1" t="s">
        <v>157</v>
      </c>
      <c r="K290" s="3"/>
      <c r="L290" s="3"/>
      <c r="M290" s="3"/>
      <c r="N29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0" s="29"/>
      <c r="P290" s="27" t="str">
        <f>tbGroup[[#This Row],[Camp]]&amp;"-"&amp;tbGroup[[#This Row],[Difficulty]]&amp;"-"&amp;GET_GROUP_NAME(tbGroup[[#This Row],[IsBoss]],tbGroup[[#This Row],[Hero1]:[Soldier3]])&amp;tbGroup[[#This Row],[Suffix]]</f>
        <v>三国-超难-[B]铁英+法英+刺英</v>
      </c>
      <c r="Q290" s="15" t="s">
        <v>40</v>
      </c>
      <c r="R290" s="15">
        <v>2</v>
      </c>
      <c r="S290" s="15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  <c r="AD290" s="24"/>
      <c r="AE290" s="24"/>
      <c r="AF290" s="24"/>
      <c r="AG290" s="24"/>
      <c r="AH290" s="24"/>
      <c r="AI290" s="24"/>
      <c r="AJ290" s="24"/>
      <c r="AK290" s="24"/>
      <c r="AL290" s="24"/>
      <c r="AM290" s="24"/>
      <c r="AN290" s="24"/>
      <c r="AO290" s="24"/>
      <c r="AP290" s="24"/>
      <c r="AQ290" s="24"/>
    </row>
    <row r="291" spans="2:43">
      <c r="B291" s="3" t="s">
        <v>151</v>
      </c>
      <c r="C291" s="3" t="s">
        <v>36</v>
      </c>
      <c r="D291" s="3" t="s">
        <v>196</v>
      </c>
      <c r="E291" s="3" t="b">
        <v>1</v>
      </c>
      <c r="F291" s="3">
        <v>3</v>
      </c>
      <c r="G291" s="3"/>
      <c r="H291" s="1" t="s">
        <v>153</v>
      </c>
      <c r="I291" s="1" t="s">
        <v>155</v>
      </c>
      <c r="J291" s="1" t="s">
        <v>155</v>
      </c>
      <c r="K291" s="3"/>
      <c r="L291" s="3"/>
      <c r="M291" s="3"/>
      <c r="N29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1" s="29"/>
      <c r="P291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三国-超难-[B]盾英+炼英+炼英</v>
      </c>
      <c r="Q291" s="15" t="s">
        <v>40</v>
      </c>
      <c r="R291" s="15">
        <v>2</v>
      </c>
      <c r="S291" s="15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  <c r="AD291" s="24"/>
      <c r="AE291" s="24"/>
      <c r="AF291" s="24"/>
      <c r="AG291" s="24"/>
      <c r="AH291" s="24"/>
      <c r="AI291" s="24"/>
      <c r="AJ291" s="24"/>
      <c r="AK291" s="24"/>
      <c r="AL291" s="24"/>
      <c r="AM291" s="24"/>
      <c r="AN291" s="24"/>
      <c r="AO291" s="24"/>
      <c r="AP291" s="24"/>
      <c r="AQ291" s="24"/>
    </row>
    <row r="292" spans="2:43">
      <c r="B292" s="3" t="s">
        <v>151</v>
      </c>
      <c r="C292" s="3" t="s">
        <v>36</v>
      </c>
      <c r="D292" s="3" t="s">
        <v>196</v>
      </c>
      <c r="E292" s="3" t="b">
        <v>1</v>
      </c>
      <c r="F292" s="3">
        <v>3</v>
      </c>
      <c r="G292" s="3"/>
      <c r="H292" s="1" t="s">
        <v>153</v>
      </c>
      <c r="I292" s="1" t="s">
        <v>156</v>
      </c>
      <c r="J292" s="1" t="s">
        <v>156</v>
      </c>
      <c r="K292" s="3"/>
      <c r="L292" s="3"/>
      <c r="M292" s="3"/>
      <c r="N29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2" s="29"/>
      <c r="P292" s="27" t="str">
        <f>tbGroup[[#This Row],[Camp]]&amp;"-"&amp;tbGroup[[#This Row],[Difficulty]]&amp;"-"&amp;GET_GROUP_NAME(tbGroup[[#This Row],[IsBoss]],tbGroup[[#This Row],[Hero1]:[Soldier3]])&amp;tbGroup[[#This Row],[Suffix]]</f>
        <v>三国-超难-[B]盾英+法英+法英</v>
      </c>
      <c r="Q292" s="15" t="s">
        <v>40</v>
      </c>
      <c r="R292" s="15">
        <v>2</v>
      </c>
      <c r="S292" s="15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  <c r="AD292" s="24"/>
      <c r="AE292" s="24"/>
      <c r="AF292" s="24"/>
      <c r="AG292" s="24"/>
      <c r="AH292" s="24"/>
      <c r="AI292" s="24"/>
      <c r="AJ292" s="24"/>
      <c r="AK292" s="24"/>
      <c r="AL292" s="24"/>
      <c r="AM292" s="24"/>
      <c r="AN292" s="24"/>
      <c r="AO292" s="24"/>
      <c r="AP292" s="24"/>
      <c r="AQ292" s="24"/>
    </row>
    <row r="293" spans="2:43">
      <c r="B293" s="3" t="s">
        <v>151</v>
      </c>
      <c r="C293" s="3" t="s">
        <v>36</v>
      </c>
      <c r="D293" s="3" t="s">
        <v>196</v>
      </c>
      <c r="E293" s="3" t="b">
        <v>1</v>
      </c>
      <c r="F293" s="3">
        <v>3</v>
      </c>
      <c r="G293" s="3"/>
      <c r="H293" s="1" t="s">
        <v>153</v>
      </c>
      <c r="I293" s="1" t="s">
        <v>157</v>
      </c>
      <c r="J293" s="1" t="s">
        <v>157</v>
      </c>
      <c r="K293" s="3"/>
      <c r="L293" s="3"/>
      <c r="M293" s="3"/>
      <c r="N29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3" s="29"/>
      <c r="P293" s="27" t="str">
        <f>tbGroup[[#This Row],[Camp]]&amp;"-"&amp;tbGroup[[#This Row],[Difficulty]]&amp;"-"&amp;GET_GROUP_NAME(tbGroup[[#This Row],[IsBoss]],tbGroup[[#This Row],[Hero1]:[Soldier3]])&amp;tbGroup[[#This Row],[Suffix]]</f>
        <v>三国-超难-[B]盾英+刺英+刺英</v>
      </c>
      <c r="Q293" s="15" t="s">
        <v>40</v>
      </c>
      <c r="R293" s="15">
        <v>2</v>
      </c>
      <c r="S293" s="15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  <c r="AD293" s="24"/>
      <c r="AE293" s="24"/>
      <c r="AF293" s="24"/>
      <c r="AG293" s="24"/>
      <c r="AH293" s="24"/>
      <c r="AI293" s="24"/>
      <c r="AJ293" s="24"/>
      <c r="AK293" s="24"/>
      <c r="AL293" s="24"/>
      <c r="AM293" s="24"/>
      <c r="AN293" s="24"/>
      <c r="AO293" s="24"/>
      <c r="AP293" s="24"/>
      <c r="AQ293" s="24"/>
    </row>
    <row r="294" spans="2:43">
      <c r="B294" s="3" t="s">
        <v>151</v>
      </c>
      <c r="C294" s="3" t="s">
        <v>36</v>
      </c>
      <c r="D294" s="3" t="s">
        <v>196</v>
      </c>
      <c r="E294" s="3" t="b">
        <v>1</v>
      </c>
      <c r="F294" s="3">
        <v>3</v>
      </c>
      <c r="G294" s="3"/>
      <c r="H294" s="1" t="s">
        <v>153</v>
      </c>
      <c r="I294" s="1" t="s">
        <v>154</v>
      </c>
      <c r="J294" s="1" t="s">
        <v>155</v>
      </c>
      <c r="K294" s="3"/>
      <c r="L294" s="3"/>
      <c r="M294" s="3"/>
      <c r="N29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4" s="29"/>
      <c r="P294" s="27" t="str">
        <f>tbGroup[[#This Row],[Camp]]&amp;"-"&amp;tbGroup[[#This Row],[Difficulty]]&amp;"-"&amp;GET_GROUP_NAME(tbGroup[[#This Row],[IsBoss]],tbGroup[[#This Row],[Hero1]:[Soldier3]])&amp;tbGroup[[#This Row],[Suffix]]</f>
        <v>三国-超难-[B]盾英+强英+炼英</v>
      </c>
      <c r="Q294" s="15" t="s">
        <v>40</v>
      </c>
      <c r="R294" s="15">
        <v>2</v>
      </c>
      <c r="S294" s="15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  <c r="AD294" s="24"/>
      <c r="AE294" s="24"/>
      <c r="AF294" s="24"/>
      <c r="AG294" s="24"/>
      <c r="AH294" s="24"/>
      <c r="AI294" s="24"/>
      <c r="AJ294" s="24"/>
      <c r="AK294" s="24"/>
      <c r="AL294" s="24"/>
      <c r="AM294" s="24"/>
      <c r="AN294" s="24"/>
      <c r="AO294" s="24"/>
      <c r="AP294" s="24"/>
      <c r="AQ294" s="24"/>
    </row>
    <row r="295" spans="2:43">
      <c r="B295" s="3" t="s">
        <v>151</v>
      </c>
      <c r="C295" s="3" t="s">
        <v>36</v>
      </c>
      <c r="D295" s="3" t="s">
        <v>196</v>
      </c>
      <c r="E295" s="3" t="b">
        <v>1</v>
      </c>
      <c r="F295" s="3">
        <v>3</v>
      </c>
      <c r="G295" s="3"/>
      <c r="H295" s="1" t="s">
        <v>153</v>
      </c>
      <c r="I295" s="1" t="s">
        <v>154</v>
      </c>
      <c r="J295" s="1" t="s">
        <v>156</v>
      </c>
      <c r="K295" s="3"/>
      <c r="L295" s="3"/>
      <c r="M295" s="3"/>
      <c r="N29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5" s="29"/>
      <c r="P295" s="27" t="str">
        <f>tbGroup[[#This Row],[Camp]]&amp;"-"&amp;tbGroup[[#This Row],[Difficulty]]&amp;"-"&amp;GET_GROUP_NAME(tbGroup[[#This Row],[IsBoss]],tbGroup[[#This Row],[Hero1]:[Soldier3]])&amp;tbGroup[[#This Row],[Suffix]]</f>
        <v>三国-超难-[B]盾英+强英+法英</v>
      </c>
      <c r="Q295" s="15" t="s">
        <v>40</v>
      </c>
      <c r="R295" s="15">
        <v>2</v>
      </c>
      <c r="S295" s="15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  <c r="AD295" s="24"/>
      <c r="AE295" s="24"/>
      <c r="AF295" s="24"/>
      <c r="AG295" s="24"/>
      <c r="AH295" s="24"/>
      <c r="AI295" s="24"/>
      <c r="AJ295" s="24"/>
      <c r="AK295" s="24"/>
      <c r="AL295" s="24"/>
      <c r="AM295" s="24"/>
      <c r="AN295" s="24"/>
      <c r="AO295" s="24"/>
      <c r="AP295" s="24"/>
      <c r="AQ295" s="24"/>
    </row>
    <row r="296" spans="2:43">
      <c r="B296" s="3" t="s">
        <v>151</v>
      </c>
      <c r="C296" s="3" t="s">
        <v>36</v>
      </c>
      <c r="D296" s="3" t="s">
        <v>196</v>
      </c>
      <c r="E296" s="3" t="b">
        <v>1</v>
      </c>
      <c r="F296" s="3">
        <v>3</v>
      </c>
      <c r="G296" s="3"/>
      <c r="H296" s="1" t="s">
        <v>153</v>
      </c>
      <c r="I296" s="1" t="s">
        <v>155</v>
      </c>
      <c r="J296" s="1" t="s">
        <v>156</v>
      </c>
      <c r="K296" s="3"/>
      <c r="L296" s="3"/>
      <c r="M296" s="3"/>
      <c r="N29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6" s="29"/>
      <c r="P296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三国-超难-[B]盾英+炼英+法英</v>
      </c>
      <c r="Q296" s="15" t="s">
        <v>40</v>
      </c>
      <c r="R296" s="15">
        <v>2</v>
      </c>
      <c r="S296" s="15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  <c r="AD296" s="24"/>
      <c r="AE296" s="24"/>
      <c r="AF296" s="24"/>
      <c r="AG296" s="24"/>
      <c r="AH296" s="24"/>
      <c r="AI296" s="24"/>
      <c r="AJ296" s="24"/>
      <c r="AK296" s="24"/>
      <c r="AL296" s="24"/>
      <c r="AM296" s="24"/>
      <c r="AN296" s="24"/>
      <c r="AO296" s="24"/>
      <c r="AP296" s="24"/>
      <c r="AQ296" s="24"/>
    </row>
    <row r="297" spans="2:43">
      <c r="B297" s="3" t="s">
        <v>151</v>
      </c>
      <c r="C297" s="3" t="s">
        <v>36</v>
      </c>
      <c r="D297" s="3" t="s">
        <v>196</v>
      </c>
      <c r="E297" s="3" t="b">
        <v>1</v>
      </c>
      <c r="F297" s="3">
        <v>3</v>
      </c>
      <c r="G297" s="3"/>
      <c r="H297" s="1" t="s">
        <v>153</v>
      </c>
      <c r="I297" s="1" t="s">
        <v>155</v>
      </c>
      <c r="J297" s="1" t="s">
        <v>157</v>
      </c>
      <c r="K297" s="3"/>
      <c r="L297" s="3"/>
      <c r="M297" s="3"/>
      <c r="N29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7" s="29"/>
      <c r="P297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三国-超难-[B]盾英+炼英+刺英</v>
      </c>
      <c r="Q297" s="15" t="s">
        <v>40</v>
      </c>
      <c r="R297" s="15">
        <v>2</v>
      </c>
      <c r="S297" s="15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  <c r="AD297" s="24"/>
      <c r="AE297" s="24"/>
      <c r="AF297" s="24"/>
      <c r="AG297" s="24"/>
      <c r="AH297" s="24"/>
      <c r="AI297" s="24"/>
      <c r="AJ297" s="24"/>
      <c r="AK297" s="24"/>
      <c r="AL297" s="24"/>
      <c r="AM297" s="24"/>
      <c r="AN297" s="24"/>
      <c r="AO297" s="24"/>
      <c r="AP297" s="24"/>
      <c r="AQ297" s="24"/>
    </row>
    <row r="298" spans="2:43">
      <c r="B298" s="3" t="s">
        <v>151</v>
      </c>
      <c r="C298" s="3" t="s">
        <v>36</v>
      </c>
      <c r="D298" s="3" t="s">
        <v>196</v>
      </c>
      <c r="E298" s="3" t="b">
        <v>1</v>
      </c>
      <c r="F298" s="3">
        <v>3</v>
      </c>
      <c r="G298" s="3"/>
      <c r="H298" s="1" t="s">
        <v>153</v>
      </c>
      <c r="I298" s="1" t="s">
        <v>156</v>
      </c>
      <c r="J298" s="1" t="s">
        <v>157</v>
      </c>
      <c r="K298" s="3"/>
      <c r="L298" s="3"/>
      <c r="M298" s="3"/>
      <c r="N29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8" s="29"/>
      <c r="P298" s="27" t="str">
        <f>tbGroup[[#This Row],[Camp]]&amp;"-"&amp;tbGroup[[#This Row],[Difficulty]]&amp;"-"&amp;GET_GROUP_NAME(tbGroup[[#This Row],[IsBoss]],tbGroup[[#This Row],[Hero1]:[Soldier3]])&amp;tbGroup[[#This Row],[Suffix]]</f>
        <v>三国-超难-[B]盾英+法英+刺英</v>
      </c>
      <c r="Q298" s="15" t="s">
        <v>40</v>
      </c>
      <c r="R298" s="15">
        <v>2</v>
      </c>
      <c r="S298" s="15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  <c r="AD298" s="24"/>
      <c r="AE298" s="24"/>
      <c r="AF298" s="24"/>
      <c r="AG298" s="24"/>
      <c r="AH298" s="24"/>
      <c r="AI298" s="24"/>
      <c r="AJ298" s="24"/>
      <c r="AK298" s="24"/>
      <c r="AL298" s="24"/>
      <c r="AM298" s="24"/>
      <c r="AN298" s="24"/>
      <c r="AO298" s="24"/>
      <c r="AP298" s="24"/>
      <c r="AQ298" s="24"/>
    </row>
    <row r="299" spans="2:43">
      <c r="B299" s="1" t="s">
        <v>176</v>
      </c>
      <c r="C299" s="1" t="s">
        <v>185</v>
      </c>
      <c r="D299" s="1" t="s">
        <v>186</v>
      </c>
      <c r="F299" s="1">
        <v>3</v>
      </c>
      <c r="H299" s="1" t="s">
        <v>152</v>
      </c>
      <c r="I299" s="1" t="s">
        <v>152</v>
      </c>
      <c r="J299" s="1" t="s">
        <v>154</v>
      </c>
      <c r="N29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9" s="29"/>
      <c r="P299" s="27" t="str">
        <f>tbGroup[[#This Row],[Camp]]&amp;"-"&amp;tbGroup[[#This Row],[Difficulty]]&amp;"-"&amp;GET_GROUP_NAME(tbGroup[[#This Row],[IsBoss]],tbGroup[[#This Row],[Hero1]:[Soldier3]])&amp;tbGroup[[#This Row],[Suffix]]</f>
        <v>三国-变态-铁英+铁英+强英</v>
      </c>
      <c r="Q299" s="15" t="s">
        <v>40</v>
      </c>
      <c r="R299" s="15">
        <v>2</v>
      </c>
      <c r="S299" s="15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  <c r="AD299" s="24"/>
      <c r="AE299" s="24"/>
      <c r="AF299" s="24"/>
      <c r="AG299" s="24"/>
      <c r="AH299" s="24"/>
      <c r="AI299" s="24"/>
      <c r="AJ299" s="24"/>
      <c r="AK299" s="24"/>
      <c r="AL299" s="24"/>
      <c r="AM299" s="24"/>
      <c r="AN299" s="24"/>
      <c r="AO299" s="24"/>
      <c r="AP299" s="24"/>
      <c r="AQ299" s="24"/>
    </row>
    <row r="300" spans="2:43">
      <c r="B300" s="1" t="s">
        <v>176</v>
      </c>
      <c r="C300" s="1" t="s">
        <v>185</v>
      </c>
      <c r="D300" s="1" t="s">
        <v>186</v>
      </c>
      <c r="F300" s="1">
        <v>3</v>
      </c>
      <c r="H300" s="1" t="s">
        <v>152</v>
      </c>
      <c r="I300" s="1" t="s">
        <v>152</v>
      </c>
      <c r="J300" s="1" t="s">
        <v>155</v>
      </c>
      <c r="N30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0" s="29"/>
      <c r="P300" s="27" t="str">
        <f>tbGroup[[#This Row],[Camp]]&amp;"-"&amp;tbGroup[[#This Row],[Difficulty]]&amp;"-"&amp;GET_GROUP_NAME(tbGroup[[#This Row],[IsBoss]],tbGroup[[#This Row],[Hero1]:[Soldier3]])&amp;tbGroup[[#This Row],[Suffix]]</f>
        <v>三国-变态-铁英+铁英+炼英</v>
      </c>
      <c r="Q300" s="15" t="s">
        <v>40</v>
      </c>
      <c r="R300" s="15">
        <v>2</v>
      </c>
      <c r="S300" s="15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  <c r="AD300" s="24"/>
      <c r="AE300" s="24"/>
      <c r="AF300" s="24"/>
      <c r="AG300" s="24"/>
      <c r="AH300" s="24"/>
      <c r="AI300" s="24"/>
      <c r="AJ300" s="24"/>
      <c r="AK300" s="24"/>
      <c r="AL300" s="24"/>
      <c r="AM300" s="24"/>
      <c r="AN300" s="24"/>
      <c r="AO300" s="24"/>
      <c r="AP300" s="24"/>
      <c r="AQ300" s="24"/>
    </row>
    <row r="301" spans="2:43">
      <c r="B301" s="1" t="s">
        <v>176</v>
      </c>
      <c r="C301" s="1" t="s">
        <v>185</v>
      </c>
      <c r="D301" s="1" t="s">
        <v>186</v>
      </c>
      <c r="F301" s="1">
        <v>3</v>
      </c>
      <c r="H301" s="1" t="s">
        <v>152</v>
      </c>
      <c r="I301" s="1" t="s">
        <v>152</v>
      </c>
      <c r="J301" s="1" t="s">
        <v>156</v>
      </c>
      <c r="N30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1" s="29"/>
      <c r="P301" s="27" t="str">
        <f>tbGroup[[#This Row],[Camp]]&amp;"-"&amp;tbGroup[[#This Row],[Difficulty]]&amp;"-"&amp;GET_GROUP_NAME(tbGroup[[#This Row],[IsBoss]],tbGroup[[#This Row],[Hero1]:[Soldier3]])&amp;tbGroup[[#This Row],[Suffix]]</f>
        <v>三国-变态-铁英+铁英+法英</v>
      </c>
      <c r="Q301" s="15" t="s">
        <v>40</v>
      </c>
      <c r="R301" s="15">
        <v>2</v>
      </c>
      <c r="S301" s="15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4"/>
      <c r="AI301" s="24"/>
      <c r="AJ301" s="24"/>
      <c r="AK301" s="24"/>
      <c r="AL301" s="24"/>
      <c r="AM301" s="24"/>
      <c r="AN301" s="24"/>
      <c r="AO301" s="24"/>
      <c r="AP301" s="24"/>
      <c r="AQ301" s="24"/>
    </row>
    <row r="302" spans="2:43">
      <c r="B302" s="1" t="s">
        <v>176</v>
      </c>
      <c r="C302" s="1" t="s">
        <v>185</v>
      </c>
      <c r="D302" s="1" t="s">
        <v>186</v>
      </c>
      <c r="F302" s="1">
        <v>3</v>
      </c>
      <c r="H302" s="1" t="s">
        <v>152</v>
      </c>
      <c r="I302" s="1" t="s">
        <v>152</v>
      </c>
      <c r="J302" s="1" t="s">
        <v>157</v>
      </c>
      <c r="N30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2" s="29"/>
      <c r="P302" s="27" t="str">
        <f>tbGroup[[#This Row],[Camp]]&amp;"-"&amp;tbGroup[[#This Row],[Difficulty]]&amp;"-"&amp;GET_GROUP_NAME(tbGroup[[#This Row],[IsBoss]],tbGroup[[#This Row],[Hero1]:[Soldier3]])&amp;tbGroup[[#This Row],[Suffix]]</f>
        <v>三国-变态-铁英+铁英+刺英</v>
      </c>
      <c r="Q302" s="15" t="s">
        <v>40</v>
      </c>
      <c r="R302" s="15">
        <v>2</v>
      </c>
      <c r="S302" s="15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  <c r="AD302" s="24"/>
      <c r="AE302" s="24"/>
      <c r="AF302" s="24"/>
      <c r="AG302" s="24"/>
      <c r="AH302" s="24"/>
      <c r="AI302" s="24"/>
      <c r="AJ302" s="24"/>
      <c r="AK302" s="24"/>
      <c r="AL302" s="24"/>
      <c r="AM302" s="24"/>
      <c r="AN302" s="24"/>
      <c r="AO302" s="24"/>
      <c r="AP302" s="24"/>
      <c r="AQ302" s="24"/>
    </row>
    <row r="303" spans="2:43">
      <c r="B303" s="1" t="s">
        <v>176</v>
      </c>
      <c r="C303" s="1" t="s">
        <v>185</v>
      </c>
      <c r="D303" s="1" t="s">
        <v>186</v>
      </c>
      <c r="F303" s="1">
        <v>3</v>
      </c>
      <c r="H303" s="1" t="s">
        <v>153</v>
      </c>
      <c r="I303" s="1" t="s">
        <v>153</v>
      </c>
      <c r="J303" s="1" t="s">
        <v>154</v>
      </c>
      <c r="N30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3" s="29"/>
      <c r="P303" s="27" t="str">
        <f>tbGroup[[#This Row],[Camp]]&amp;"-"&amp;tbGroup[[#This Row],[Difficulty]]&amp;"-"&amp;GET_GROUP_NAME(tbGroup[[#This Row],[IsBoss]],tbGroup[[#This Row],[Hero1]:[Soldier3]])&amp;tbGroup[[#This Row],[Suffix]]</f>
        <v>三国-变态-盾英+盾英+强英</v>
      </c>
      <c r="Q303" s="15" t="s">
        <v>40</v>
      </c>
      <c r="R303" s="15">
        <v>2</v>
      </c>
      <c r="S303" s="15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  <c r="AD303" s="24"/>
      <c r="AE303" s="24"/>
      <c r="AF303" s="24"/>
      <c r="AG303" s="24"/>
      <c r="AH303" s="24"/>
      <c r="AI303" s="24"/>
      <c r="AJ303" s="24"/>
      <c r="AK303" s="24"/>
      <c r="AL303" s="24"/>
      <c r="AM303" s="24"/>
      <c r="AN303" s="24"/>
      <c r="AO303" s="24"/>
      <c r="AP303" s="24"/>
      <c r="AQ303" s="24"/>
    </row>
    <row r="304" spans="2:43">
      <c r="B304" s="1" t="s">
        <v>176</v>
      </c>
      <c r="C304" s="1" t="s">
        <v>185</v>
      </c>
      <c r="D304" s="1" t="s">
        <v>186</v>
      </c>
      <c r="F304" s="1">
        <v>3</v>
      </c>
      <c r="H304" s="1" t="s">
        <v>153</v>
      </c>
      <c r="I304" s="1" t="s">
        <v>153</v>
      </c>
      <c r="J304" s="1" t="s">
        <v>155</v>
      </c>
      <c r="N30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4" s="29"/>
      <c r="P304" s="27" t="str">
        <f>tbGroup[[#This Row],[Camp]]&amp;"-"&amp;tbGroup[[#This Row],[Difficulty]]&amp;"-"&amp;GET_GROUP_NAME(tbGroup[[#This Row],[IsBoss]],tbGroup[[#This Row],[Hero1]:[Soldier3]])&amp;tbGroup[[#This Row],[Suffix]]</f>
        <v>三国-变态-盾英+盾英+炼英</v>
      </c>
      <c r="Q304" s="15" t="s">
        <v>40</v>
      </c>
      <c r="R304" s="15">
        <v>2</v>
      </c>
      <c r="S304" s="15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  <c r="AD304" s="24"/>
      <c r="AE304" s="24"/>
      <c r="AF304" s="24"/>
      <c r="AG304" s="24"/>
      <c r="AH304" s="24"/>
      <c r="AI304" s="24"/>
      <c r="AJ304" s="24"/>
      <c r="AK304" s="24"/>
      <c r="AL304" s="24"/>
      <c r="AM304" s="24"/>
      <c r="AN304" s="24"/>
      <c r="AO304" s="24"/>
      <c r="AP304" s="24"/>
      <c r="AQ304" s="24"/>
    </row>
    <row r="305" spans="2:43">
      <c r="B305" s="1" t="s">
        <v>176</v>
      </c>
      <c r="C305" s="1" t="s">
        <v>185</v>
      </c>
      <c r="D305" s="1" t="s">
        <v>186</v>
      </c>
      <c r="F305" s="1">
        <v>3</v>
      </c>
      <c r="H305" s="1" t="s">
        <v>153</v>
      </c>
      <c r="I305" s="1" t="s">
        <v>153</v>
      </c>
      <c r="J305" s="1" t="s">
        <v>156</v>
      </c>
      <c r="N30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5" s="29"/>
      <c r="P305" s="27" t="str">
        <f>tbGroup[[#This Row],[Camp]]&amp;"-"&amp;tbGroup[[#This Row],[Difficulty]]&amp;"-"&amp;GET_GROUP_NAME(tbGroup[[#This Row],[IsBoss]],tbGroup[[#This Row],[Hero1]:[Soldier3]])&amp;tbGroup[[#This Row],[Suffix]]</f>
        <v>三国-变态-盾英+盾英+法英</v>
      </c>
      <c r="Q305" s="15" t="s">
        <v>40</v>
      </c>
      <c r="R305" s="15">
        <v>2</v>
      </c>
      <c r="S305" s="15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  <c r="AD305" s="24"/>
      <c r="AE305" s="24"/>
      <c r="AF305" s="24"/>
      <c r="AG305" s="24"/>
      <c r="AH305" s="24"/>
      <c r="AI305" s="24"/>
      <c r="AJ305" s="24"/>
      <c r="AK305" s="24"/>
      <c r="AL305" s="24"/>
      <c r="AM305" s="24"/>
      <c r="AN305" s="24"/>
      <c r="AO305" s="24"/>
      <c r="AP305" s="24"/>
      <c r="AQ305" s="24"/>
    </row>
    <row r="306" spans="2:43">
      <c r="B306" s="1" t="s">
        <v>176</v>
      </c>
      <c r="C306" s="1" t="s">
        <v>185</v>
      </c>
      <c r="D306" s="1" t="s">
        <v>186</v>
      </c>
      <c r="F306" s="1">
        <v>3</v>
      </c>
      <c r="H306" s="1" t="s">
        <v>153</v>
      </c>
      <c r="I306" s="1" t="s">
        <v>153</v>
      </c>
      <c r="J306" s="1" t="s">
        <v>157</v>
      </c>
      <c r="N30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6" s="29"/>
      <c r="P306" s="27" t="str">
        <f>tbGroup[[#This Row],[Camp]]&amp;"-"&amp;tbGroup[[#This Row],[Difficulty]]&amp;"-"&amp;GET_GROUP_NAME(tbGroup[[#This Row],[IsBoss]],tbGroup[[#This Row],[Hero1]:[Soldier3]])&amp;tbGroup[[#This Row],[Suffix]]</f>
        <v>三国-变态-盾英+盾英+刺英</v>
      </c>
      <c r="Q306" s="15" t="s">
        <v>40</v>
      </c>
      <c r="R306" s="15">
        <v>2</v>
      </c>
      <c r="S306" s="15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  <c r="AD306" s="24"/>
      <c r="AE306" s="24"/>
      <c r="AF306" s="24"/>
      <c r="AG306" s="24"/>
      <c r="AH306" s="24"/>
      <c r="AI306" s="24"/>
      <c r="AJ306" s="24"/>
      <c r="AK306" s="24"/>
      <c r="AL306" s="24"/>
      <c r="AM306" s="24"/>
      <c r="AN306" s="24"/>
      <c r="AO306" s="24"/>
      <c r="AP306" s="24"/>
      <c r="AQ306" s="24"/>
    </row>
    <row r="307" spans="2:43">
      <c r="B307" s="1" t="s">
        <v>176</v>
      </c>
      <c r="C307" s="1" t="s">
        <v>185</v>
      </c>
      <c r="D307" s="1" t="s">
        <v>186</v>
      </c>
      <c r="F307" s="1">
        <v>3</v>
      </c>
      <c r="H307" s="1" t="s">
        <v>152</v>
      </c>
      <c r="I307" s="1" t="s">
        <v>153</v>
      </c>
      <c r="J307" s="1" t="s">
        <v>154</v>
      </c>
      <c r="N30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7" s="29"/>
      <c r="P307" s="27" t="str">
        <f>tbGroup[[#This Row],[Camp]]&amp;"-"&amp;tbGroup[[#This Row],[Difficulty]]&amp;"-"&amp;GET_GROUP_NAME(tbGroup[[#This Row],[IsBoss]],tbGroup[[#This Row],[Hero1]:[Soldier3]])&amp;tbGroup[[#This Row],[Suffix]]</f>
        <v>三国-变态-铁英+盾英+强英</v>
      </c>
      <c r="Q307" s="15" t="s">
        <v>40</v>
      </c>
      <c r="R307" s="15">
        <v>2</v>
      </c>
      <c r="S307" s="15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  <c r="AD307" s="24"/>
      <c r="AE307" s="24"/>
      <c r="AF307" s="24"/>
      <c r="AG307" s="24"/>
      <c r="AH307" s="24"/>
      <c r="AI307" s="24"/>
      <c r="AJ307" s="24"/>
      <c r="AK307" s="24"/>
      <c r="AL307" s="24"/>
      <c r="AM307" s="24"/>
      <c r="AN307" s="24"/>
      <c r="AO307" s="24"/>
      <c r="AP307" s="24"/>
      <c r="AQ307" s="24"/>
    </row>
    <row r="308" spans="2:43">
      <c r="B308" s="1" t="s">
        <v>176</v>
      </c>
      <c r="C308" s="1" t="s">
        <v>185</v>
      </c>
      <c r="D308" s="1" t="s">
        <v>186</v>
      </c>
      <c r="F308" s="1">
        <v>3</v>
      </c>
      <c r="H308" s="1" t="s">
        <v>152</v>
      </c>
      <c r="I308" s="1" t="s">
        <v>153</v>
      </c>
      <c r="J308" s="1" t="s">
        <v>155</v>
      </c>
      <c r="N30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8" s="29"/>
      <c r="P308" s="27" t="str">
        <f>tbGroup[[#This Row],[Camp]]&amp;"-"&amp;tbGroup[[#This Row],[Difficulty]]&amp;"-"&amp;GET_GROUP_NAME(tbGroup[[#This Row],[IsBoss]],tbGroup[[#This Row],[Hero1]:[Soldier3]])&amp;tbGroup[[#This Row],[Suffix]]</f>
        <v>三国-变态-铁英+盾英+炼英</v>
      </c>
      <c r="Q308" s="15" t="s">
        <v>40</v>
      </c>
      <c r="R308" s="15">
        <v>2</v>
      </c>
      <c r="S308" s="15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  <c r="AD308" s="24"/>
      <c r="AE308" s="24"/>
      <c r="AF308" s="24"/>
      <c r="AG308" s="24"/>
      <c r="AH308" s="24"/>
      <c r="AI308" s="24"/>
      <c r="AJ308" s="24"/>
      <c r="AK308" s="24"/>
      <c r="AL308" s="24"/>
      <c r="AM308" s="24"/>
      <c r="AN308" s="24"/>
      <c r="AO308" s="24"/>
      <c r="AP308" s="24"/>
      <c r="AQ308" s="24"/>
    </row>
    <row r="309" spans="2:43">
      <c r="B309" s="1" t="s">
        <v>176</v>
      </c>
      <c r="C309" s="1" t="s">
        <v>185</v>
      </c>
      <c r="D309" s="1" t="s">
        <v>186</v>
      </c>
      <c r="F309" s="1">
        <v>3</v>
      </c>
      <c r="H309" s="1" t="s">
        <v>152</v>
      </c>
      <c r="I309" s="1" t="s">
        <v>153</v>
      </c>
      <c r="J309" s="1" t="s">
        <v>156</v>
      </c>
      <c r="N30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9" s="29"/>
      <c r="P309" s="27" t="str">
        <f>tbGroup[[#This Row],[Camp]]&amp;"-"&amp;tbGroup[[#This Row],[Difficulty]]&amp;"-"&amp;GET_GROUP_NAME(tbGroup[[#This Row],[IsBoss]],tbGroup[[#This Row],[Hero1]:[Soldier3]])&amp;tbGroup[[#This Row],[Suffix]]</f>
        <v>三国-变态-铁英+盾英+法英</v>
      </c>
      <c r="Q309" s="15" t="s">
        <v>40</v>
      </c>
      <c r="R309" s="15">
        <v>2</v>
      </c>
      <c r="S309" s="15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  <c r="AD309" s="24"/>
      <c r="AE309" s="24"/>
      <c r="AF309" s="24"/>
      <c r="AG309" s="24"/>
      <c r="AH309" s="24"/>
      <c r="AI309" s="24"/>
      <c r="AJ309" s="24"/>
      <c r="AK309" s="24"/>
      <c r="AL309" s="24"/>
      <c r="AM309" s="24"/>
      <c r="AN309" s="24"/>
      <c r="AO309" s="24"/>
      <c r="AP309" s="24"/>
      <c r="AQ309" s="24"/>
    </row>
    <row r="310" spans="2:43">
      <c r="B310" s="1" t="s">
        <v>176</v>
      </c>
      <c r="C310" s="1" t="s">
        <v>185</v>
      </c>
      <c r="D310" s="1" t="s">
        <v>186</v>
      </c>
      <c r="F310" s="1">
        <v>3</v>
      </c>
      <c r="H310" s="1" t="s">
        <v>152</v>
      </c>
      <c r="I310" s="1" t="s">
        <v>153</v>
      </c>
      <c r="J310" s="1" t="s">
        <v>157</v>
      </c>
      <c r="N31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0" s="29"/>
      <c r="P310" s="27" t="str">
        <f>tbGroup[[#This Row],[Camp]]&amp;"-"&amp;tbGroup[[#This Row],[Difficulty]]&amp;"-"&amp;GET_GROUP_NAME(tbGroup[[#This Row],[IsBoss]],tbGroup[[#This Row],[Hero1]:[Soldier3]])&amp;tbGroup[[#This Row],[Suffix]]</f>
        <v>三国-变态-铁英+盾英+刺英</v>
      </c>
      <c r="Q310" s="15" t="s">
        <v>40</v>
      </c>
      <c r="R310" s="15">
        <v>2</v>
      </c>
      <c r="S310" s="15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  <c r="AD310" s="24"/>
      <c r="AE310" s="24"/>
      <c r="AF310" s="24"/>
      <c r="AG310" s="24"/>
      <c r="AH310" s="24"/>
      <c r="AI310" s="24"/>
      <c r="AJ310" s="24"/>
      <c r="AK310" s="24"/>
      <c r="AL310" s="24"/>
      <c r="AM310" s="24"/>
      <c r="AN310" s="24"/>
      <c r="AO310" s="24"/>
      <c r="AP310" s="24"/>
      <c r="AQ310" s="24"/>
    </row>
    <row r="311" spans="2:43">
      <c r="B311" s="3" t="s">
        <v>151</v>
      </c>
      <c r="C311" s="3" t="s">
        <v>194</v>
      </c>
      <c r="D311" s="3" t="s">
        <v>197</v>
      </c>
      <c r="E311" s="3" t="b">
        <v>1</v>
      </c>
      <c r="F311" s="3">
        <v>3</v>
      </c>
      <c r="G311" s="3"/>
      <c r="H311" s="1" t="s">
        <v>152</v>
      </c>
      <c r="I311" s="1" t="s">
        <v>152</v>
      </c>
      <c r="J311" s="1" t="s">
        <v>154</v>
      </c>
      <c r="K311" s="3"/>
      <c r="L311" s="3"/>
      <c r="M311" s="3"/>
      <c r="N31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1" s="29"/>
      <c r="P311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三国-变态-[B]铁英+铁英+强英</v>
      </c>
      <c r="Q311" s="15" t="s">
        <v>40</v>
      </c>
      <c r="R311" s="15">
        <v>2</v>
      </c>
      <c r="S311" s="15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  <c r="AD311" s="24"/>
      <c r="AE311" s="24"/>
      <c r="AF311" s="24"/>
      <c r="AG311" s="24"/>
      <c r="AH311" s="24"/>
      <c r="AI311" s="24"/>
      <c r="AJ311" s="24"/>
      <c r="AK311" s="24"/>
      <c r="AL311" s="24"/>
      <c r="AM311" s="24"/>
      <c r="AN311" s="24"/>
      <c r="AO311" s="24"/>
      <c r="AP311" s="24"/>
      <c r="AQ311" s="24"/>
    </row>
    <row r="312" spans="2:43">
      <c r="B312" s="3" t="s">
        <v>151</v>
      </c>
      <c r="C312" s="3" t="s">
        <v>194</v>
      </c>
      <c r="D312" s="3" t="s">
        <v>197</v>
      </c>
      <c r="E312" s="3" t="b">
        <v>1</v>
      </c>
      <c r="F312" s="3">
        <v>3</v>
      </c>
      <c r="G312" s="3"/>
      <c r="H312" s="1" t="s">
        <v>152</v>
      </c>
      <c r="I312" s="1" t="s">
        <v>152</v>
      </c>
      <c r="J312" s="1" t="s">
        <v>155</v>
      </c>
      <c r="K312" s="3"/>
      <c r="L312" s="3"/>
      <c r="M312" s="3"/>
      <c r="N31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2" s="29"/>
      <c r="P312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三国-变态-[B]铁英+铁英+炼英</v>
      </c>
      <c r="Q312" s="15" t="s">
        <v>40</v>
      </c>
      <c r="R312" s="15">
        <v>2</v>
      </c>
      <c r="S312" s="15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  <c r="AD312" s="24"/>
      <c r="AE312" s="24"/>
      <c r="AF312" s="24"/>
      <c r="AG312" s="24"/>
      <c r="AH312" s="24"/>
      <c r="AI312" s="24"/>
      <c r="AJ312" s="24"/>
      <c r="AK312" s="24"/>
      <c r="AL312" s="24"/>
      <c r="AM312" s="24"/>
      <c r="AN312" s="24"/>
      <c r="AO312" s="24"/>
      <c r="AP312" s="24"/>
      <c r="AQ312" s="24"/>
    </row>
    <row r="313" spans="2:43">
      <c r="B313" s="3" t="s">
        <v>151</v>
      </c>
      <c r="C313" s="3" t="s">
        <v>194</v>
      </c>
      <c r="D313" s="3" t="s">
        <v>197</v>
      </c>
      <c r="E313" s="3" t="b">
        <v>1</v>
      </c>
      <c r="F313" s="3">
        <v>3</v>
      </c>
      <c r="G313" s="3"/>
      <c r="H313" s="1" t="s">
        <v>152</v>
      </c>
      <c r="I313" s="1" t="s">
        <v>152</v>
      </c>
      <c r="J313" s="1" t="s">
        <v>156</v>
      </c>
      <c r="K313" s="3"/>
      <c r="L313" s="3"/>
      <c r="M313" s="3"/>
      <c r="N31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3" s="29"/>
      <c r="P313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三国-变态-[B]铁英+铁英+法英</v>
      </c>
      <c r="Q313" s="15" t="s">
        <v>40</v>
      </c>
      <c r="R313" s="15">
        <v>2</v>
      </c>
      <c r="S313" s="15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  <c r="AD313" s="24"/>
      <c r="AE313" s="24"/>
      <c r="AF313" s="24"/>
      <c r="AG313" s="24"/>
      <c r="AH313" s="24"/>
      <c r="AI313" s="24"/>
      <c r="AJ313" s="24"/>
      <c r="AK313" s="24"/>
      <c r="AL313" s="24"/>
      <c r="AM313" s="24"/>
      <c r="AN313" s="24"/>
      <c r="AO313" s="24"/>
      <c r="AP313" s="24"/>
      <c r="AQ313" s="24"/>
    </row>
    <row r="314" spans="2:43">
      <c r="B314" s="3" t="s">
        <v>151</v>
      </c>
      <c r="C314" s="3" t="s">
        <v>194</v>
      </c>
      <c r="D314" s="3" t="s">
        <v>197</v>
      </c>
      <c r="E314" s="3" t="b">
        <v>1</v>
      </c>
      <c r="F314" s="3">
        <v>3</v>
      </c>
      <c r="G314" s="3"/>
      <c r="H314" s="1" t="s">
        <v>152</v>
      </c>
      <c r="I314" s="1" t="s">
        <v>152</v>
      </c>
      <c r="J314" s="1" t="s">
        <v>157</v>
      </c>
      <c r="K314" s="3"/>
      <c r="L314" s="3"/>
      <c r="M314" s="3"/>
      <c r="N31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4" s="29"/>
      <c r="P314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三国-变态-[B]铁英+铁英+刺英</v>
      </c>
      <c r="Q314" s="15" t="s">
        <v>40</v>
      </c>
      <c r="R314" s="15">
        <v>2</v>
      </c>
      <c r="S314" s="15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  <c r="AD314" s="24"/>
      <c r="AE314" s="24"/>
      <c r="AF314" s="24"/>
      <c r="AG314" s="24"/>
      <c r="AH314" s="24"/>
      <c r="AI314" s="24"/>
      <c r="AJ314" s="24"/>
      <c r="AK314" s="24"/>
      <c r="AL314" s="24"/>
      <c r="AM314" s="24"/>
      <c r="AN314" s="24"/>
      <c r="AO314" s="24"/>
      <c r="AP314" s="24"/>
      <c r="AQ314" s="24"/>
    </row>
    <row r="315" spans="2:43">
      <c r="B315" s="3" t="s">
        <v>151</v>
      </c>
      <c r="C315" s="3" t="s">
        <v>194</v>
      </c>
      <c r="D315" s="3" t="s">
        <v>197</v>
      </c>
      <c r="E315" s="3" t="b">
        <v>1</v>
      </c>
      <c r="F315" s="3">
        <v>3</v>
      </c>
      <c r="G315" s="3"/>
      <c r="H315" s="1" t="s">
        <v>153</v>
      </c>
      <c r="I315" s="1" t="s">
        <v>153</v>
      </c>
      <c r="J315" s="1" t="s">
        <v>154</v>
      </c>
      <c r="K315" s="3"/>
      <c r="L315" s="3"/>
      <c r="M315" s="3"/>
      <c r="N31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5" s="29"/>
      <c r="P315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三国-变态-[B]盾英+盾英+强英</v>
      </c>
      <c r="Q315" s="15" t="s">
        <v>40</v>
      </c>
      <c r="R315" s="15">
        <v>2</v>
      </c>
      <c r="S315" s="15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  <c r="AD315" s="24"/>
      <c r="AE315" s="24"/>
      <c r="AF315" s="24"/>
      <c r="AG315" s="24"/>
      <c r="AH315" s="24"/>
      <c r="AI315" s="24"/>
      <c r="AJ315" s="24"/>
      <c r="AK315" s="24"/>
      <c r="AL315" s="24"/>
      <c r="AM315" s="24"/>
      <c r="AN315" s="24"/>
      <c r="AO315" s="24"/>
      <c r="AP315" s="24"/>
      <c r="AQ315" s="24"/>
    </row>
    <row r="316" spans="2:43">
      <c r="B316" s="3" t="s">
        <v>151</v>
      </c>
      <c r="C316" s="3" t="s">
        <v>194</v>
      </c>
      <c r="D316" s="3" t="s">
        <v>197</v>
      </c>
      <c r="E316" s="3" t="b">
        <v>1</v>
      </c>
      <c r="F316" s="3">
        <v>3</v>
      </c>
      <c r="G316" s="3"/>
      <c r="H316" s="1" t="s">
        <v>153</v>
      </c>
      <c r="I316" s="1" t="s">
        <v>153</v>
      </c>
      <c r="J316" s="1" t="s">
        <v>155</v>
      </c>
      <c r="K316" s="3"/>
      <c r="L316" s="3"/>
      <c r="M316" s="3"/>
      <c r="N31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6" s="29"/>
      <c r="P316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三国-变态-[B]盾英+盾英+炼英</v>
      </c>
      <c r="Q316" s="15" t="s">
        <v>40</v>
      </c>
      <c r="R316" s="15">
        <v>2</v>
      </c>
      <c r="S316" s="15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  <c r="AD316" s="24"/>
      <c r="AE316" s="24"/>
      <c r="AF316" s="24"/>
      <c r="AG316" s="24"/>
      <c r="AH316" s="24"/>
      <c r="AI316" s="24"/>
      <c r="AJ316" s="24"/>
      <c r="AK316" s="24"/>
      <c r="AL316" s="24"/>
      <c r="AM316" s="24"/>
      <c r="AN316" s="24"/>
      <c r="AO316" s="24"/>
      <c r="AP316" s="24"/>
      <c r="AQ316" s="24"/>
    </row>
    <row r="317" spans="2:43">
      <c r="B317" s="3" t="s">
        <v>151</v>
      </c>
      <c r="C317" s="3" t="s">
        <v>194</v>
      </c>
      <c r="D317" s="3" t="s">
        <v>197</v>
      </c>
      <c r="E317" s="3" t="b">
        <v>1</v>
      </c>
      <c r="F317" s="3">
        <v>3</v>
      </c>
      <c r="G317" s="3"/>
      <c r="H317" s="1" t="s">
        <v>153</v>
      </c>
      <c r="I317" s="1" t="s">
        <v>153</v>
      </c>
      <c r="J317" s="1" t="s">
        <v>156</v>
      </c>
      <c r="K317" s="3"/>
      <c r="L317" s="3"/>
      <c r="M317" s="3"/>
      <c r="N31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7" s="29"/>
      <c r="P317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三国-变态-[B]盾英+盾英+法英</v>
      </c>
      <c r="Q317" s="15" t="s">
        <v>40</v>
      </c>
      <c r="R317" s="15">
        <v>2</v>
      </c>
      <c r="S317" s="15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  <c r="AD317" s="24"/>
      <c r="AE317" s="24"/>
      <c r="AF317" s="24"/>
      <c r="AG317" s="24"/>
      <c r="AH317" s="24"/>
      <c r="AI317" s="24"/>
      <c r="AJ317" s="24"/>
      <c r="AK317" s="24"/>
      <c r="AL317" s="24"/>
      <c r="AM317" s="24"/>
      <c r="AN317" s="24"/>
      <c r="AO317" s="24"/>
      <c r="AP317" s="24"/>
      <c r="AQ317" s="24"/>
    </row>
    <row r="318" spans="2:43">
      <c r="B318" s="3" t="s">
        <v>151</v>
      </c>
      <c r="C318" s="3" t="s">
        <v>194</v>
      </c>
      <c r="D318" s="3" t="s">
        <v>197</v>
      </c>
      <c r="E318" s="3" t="b">
        <v>1</v>
      </c>
      <c r="F318" s="3">
        <v>3</v>
      </c>
      <c r="G318" s="3"/>
      <c r="H318" s="1" t="s">
        <v>153</v>
      </c>
      <c r="I318" s="1" t="s">
        <v>153</v>
      </c>
      <c r="J318" s="1" t="s">
        <v>157</v>
      </c>
      <c r="K318" s="3"/>
      <c r="L318" s="3"/>
      <c r="M318" s="3"/>
      <c r="N31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8" s="29"/>
      <c r="P318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三国-变态-[B]盾英+盾英+刺英</v>
      </c>
      <c r="Q318" s="15" t="s">
        <v>40</v>
      </c>
      <c r="R318" s="15">
        <v>2</v>
      </c>
      <c r="S318" s="15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  <c r="AD318" s="24"/>
      <c r="AE318" s="24"/>
      <c r="AF318" s="24"/>
      <c r="AG318" s="24"/>
      <c r="AH318" s="24"/>
      <c r="AI318" s="24"/>
      <c r="AJ318" s="24"/>
      <c r="AK318" s="24"/>
      <c r="AL318" s="24"/>
      <c r="AM318" s="24"/>
      <c r="AN318" s="24"/>
      <c r="AO318" s="24"/>
      <c r="AP318" s="24"/>
      <c r="AQ318" s="24"/>
    </row>
    <row r="319" spans="2:43">
      <c r="B319" s="3" t="s">
        <v>151</v>
      </c>
      <c r="C319" s="3" t="s">
        <v>194</v>
      </c>
      <c r="D319" s="3" t="s">
        <v>197</v>
      </c>
      <c r="E319" s="3" t="b">
        <v>1</v>
      </c>
      <c r="F319" s="3">
        <v>3</v>
      </c>
      <c r="G319" s="3"/>
      <c r="H319" s="1" t="s">
        <v>152</v>
      </c>
      <c r="I319" s="1" t="s">
        <v>153</v>
      </c>
      <c r="J319" s="1" t="s">
        <v>154</v>
      </c>
      <c r="K319" s="3"/>
      <c r="L319" s="3"/>
      <c r="M319" s="3"/>
      <c r="N31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9" s="29"/>
      <c r="P319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三国-变态-[B]铁英+盾英+强英</v>
      </c>
      <c r="Q319" s="15" t="s">
        <v>40</v>
      </c>
      <c r="R319" s="15">
        <v>2</v>
      </c>
      <c r="S319" s="15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  <c r="AD319" s="24"/>
      <c r="AE319" s="24"/>
      <c r="AF319" s="24"/>
      <c r="AG319" s="24"/>
      <c r="AH319" s="24"/>
      <c r="AI319" s="24"/>
      <c r="AJ319" s="24"/>
      <c r="AK319" s="24"/>
      <c r="AL319" s="24"/>
      <c r="AM319" s="24"/>
      <c r="AN319" s="24"/>
      <c r="AO319" s="24"/>
      <c r="AP319" s="24"/>
      <c r="AQ319" s="24"/>
    </row>
    <row r="320" spans="2:43">
      <c r="B320" s="3" t="s">
        <v>151</v>
      </c>
      <c r="C320" s="3" t="s">
        <v>194</v>
      </c>
      <c r="D320" s="3" t="s">
        <v>197</v>
      </c>
      <c r="E320" s="3" t="b">
        <v>1</v>
      </c>
      <c r="F320" s="3">
        <v>3</v>
      </c>
      <c r="G320" s="3"/>
      <c r="H320" s="1" t="s">
        <v>152</v>
      </c>
      <c r="I320" s="1" t="s">
        <v>153</v>
      </c>
      <c r="J320" s="1" t="s">
        <v>155</v>
      </c>
      <c r="K320" s="3"/>
      <c r="L320" s="3"/>
      <c r="M320" s="3"/>
      <c r="N32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0" s="29"/>
      <c r="P320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三国-变态-[B]铁英+盾英+炼英</v>
      </c>
      <c r="Q320" s="15" t="s">
        <v>40</v>
      </c>
      <c r="R320" s="15">
        <v>2</v>
      </c>
      <c r="S320" s="15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  <c r="AD320" s="24"/>
      <c r="AE320" s="24"/>
      <c r="AF320" s="24"/>
      <c r="AG320" s="24"/>
      <c r="AH320" s="24"/>
      <c r="AI320" s="24"/>
      <c r="AJ320" s="24"/>
      <c r="AK320" s="24"/>
      <c r="AL320" s="24"/>
      <c r="AM320" s="24"/>
      <c r="AN320" s="24"/>
      <c r="AO320" s="24"/>
      <c r="AP320" s="24"/>
      <c r="AQ320" s="24"/>
    </row>
    <row r="321" spans="2:43">
      <c r="B321" s="3" t="s">
        <v>151</v>
      </c>
      <c r="C321" s="3" t="s">
        <v>194</v>
      </c>
      <c r="D321" s="3" t="s">
        <v>197</v>
      </c>
      <c r="E321" s="3" t="b">
        <v>1</v>
      </c>
      <c r="F321" s="3">
        <v>3</v>
      </c>
      <c r="G321" s="3"/>
      <c r="H321" s="1" t="s">
        <v>152</v>
      </c>
      <c r="I321" s="1" t="s">
        <v>153</v>
      </c>
      <c r="J321" s="1" t="s">
        <v>156</v>
      </c>
      <c r="K321" s="3"/>
      <c r="L321" s="3"/>
      <c r="M321" s="3"/>
      <c r="N32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1" s="29"/>
      <c r="P321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三国-变态-[B]铁英+盾英+法英</v>
      </c>
      <c r="Q321" s="15" t="s">
        <v>40</v>
      </c>
      <c r="R321" s="15">
        <v>2</v>
      </c>
      <c r="S321" s="15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  <c r="AD321" s="24"/>
      <c r="AE321" s="24"/>
      <c r="AF321" s="24"/>
      <c r="AG321" s="24"/>
      <c r="AH321" s="24"/>
      <c r="AI321" s="24"/>
      <c r="AJ321" s="24"/>
      <c r="AK321" s="24"/>
      <c r="AL321" s="24"/>
      <c r="AM321" s="24"/>
      <c r="AN321" s="24"/>
      <c r="AO321" s="24"/>
      <c r="AP321" s="24"/>
      <c r="AQ321" s="24"/>
    </row>
    <row r="322" spans="2:43">
      <c r="B322" s="3" t="s">
        <v>151</v>
      </c>
      <c r="C322" s="3" t="s">
        <v>194</v>
      </c>
      <c r="D322" s="3" t="s">
        <v>197</v>
      </c>
      <c r="E322" s="3" t="b">
        <v>1</v>
      </c>
      <c r="F322" s="3">
        <v>3</v>
      </c>
      <c r="G322" s="3"/>
      <c r="H322" s="1" t="s">
        <v>152</v>
      </c>
      <c r="I322" s="1" t="s">
        <v>153</v>
      </c>
      <c r="J322" s="1" t="s">
        <v>157</v>
      </c>
      <c r="K322" s="3"/>
      <c r="L322" s="3"/>
      <c r="M322" s="3"/>
      <c r="N32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2" s="29"/>
      <c r="P322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三国-变态-[B]铁英+盾英+刺英</v>
      </c>
      <c r="Q322" s="15" t="s">
        <v>40</v>
      </c>
      <c r="R322" s="15">
        <v>2</v>
      </c>
      <c r="S322" s="15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  <c r="AD322" s="24"/>
      <c r="AE322" s="24"/>
      <c r="AF322" s="24"/>
      <c r="AG322" s="24"/>
      <c r="AH322" s="24"/>
      <c r="AI322" s="24"/>
      <c r="AJ322" s="24"/>
      <c r="AK322" s="24"/>
      <c r="AL322" s="24"/>
      <c r="AM322" s="24"/>
      <c r="AN322" s="24"/>
      <c r="AO322" s="24"/>
      <c r="AP322" s="24"/>
      <c r="AQ322" s="24"/>
    </row>
    <row r="323" spans="2:43">
      <c r="B323" s="1" t="s">
        <v>176</v>
      </c>
      <c r="C323" s="1" t="s">
        <v>185</v>
      </c>
      <c r="D323" s="1" t="s">
        <v>187</v>
      </c>
      <c r="F323" s="1">
        <v>3</v>
      </c>
      <c r="H323" s="1" t="s">
        <v>152</v>
      </c>
      <c r="I323" s="1" t="s">
        <v>154</v>
      </c>
      <c r="J323" s="1" t="s">
        <v>154</v>
      </c>
      <c r="N32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3" s="29"/>
      <c r="P323" s="27" t="str">
        <f>tbGroup[[#This Row],[Camp]]&amp;"-"&amp;tbGroup[[#This Row],[Difficulty]]&amp;"-"&amp;GET_GROUP_NAME(tbGroup[[#This Row],[IsBoss]],tbGroup[[#This Row],[Hero1]:[Soldier3]])&amp;tbGroup[[#This Row],[Suffix]]</f>
        <v>三国-变态-铁英+强英+强英</v>
      </c>
      <c r="Q323" s="15" t="s">
        <v>40</v>
      </c>
      <c r="R323" s="15">
        <v>2</v>
      </c>
      <c r="S323" s="15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  <c r="AD323" s="24"/>
      <c r="AE323" s="24"/>
      <c r="AF323" s="24"/>
      <c r="AG323" s="24"/>
      <c r="AH323" s="24"/>
      <c r="AI323" s="24"/>
      <c r="AJ323" s="24"/>
      <c r="AK323" s="24"/>
      <c r="AL323" s="24"/>
      <c r="AM323" s="24"/>
      <c r="AN323" s="24"/>
      <c r="AO323" s="24"/>
      <c r="AP323" s="24"/>
      <c r="AQ323" s="24"/>
    </row>
    <row r="324" spans="2:43">
      <c r="B324" s="1" t="s">
        <v>176</v>
      </c>
      <c r="C324" s="1" t="s">
        <v>185</v>
      </c>
      <c r="D324" s="1" t="s">
        <v>187</v>
      </c>
      <c r="F324" s="1">
        <v>3</v>
      </c>
      <c r="H324" s="1" t="s">
        <v>152</v>
      </c>
      <c r="I324" s="1" t="s">
        <v>155</v>
      </c>
      <c r="J324" s="1" t="s">
        <v>155</v>
      </c>
      <c r="N32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4" s="29"/>
      <c r="P324" s="27" t="str">
        <f>tbGroup[[#This Row],[Camp]]&amp;"-"&amp;tbGroup[[#This Row],[Difficulty]]&amp;"-"&amp;GET_GROUP_NAME(tbGroup[[#This Row],[IsBoss]],tbGroup[[#This Row],[Hero1]:[Soldier3]])&amp;tbGroup[[#This Row],[Suffix]]</f>
        <v>三国-变态-铁英+炼英+炼英</v>
      </c>
      <c r="Q324" s="15" t="s">
        <v>40</v>
      </c>
      <c r="R324" s="15">
        <v>2</v>
      </c>
      <c r="S324" s="15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  <c r="AD324" s="24"/>
      <c r="AE324" s="24"/>
      <c r="AF324" s="24"/>
      <c r="AG324" s="24"/>
      <c r="AH324" s="24"/>
      <c r="AI324" s="24"/>
      <c r="AJ324" s="24"/>
      <c r="AK324" s="24"/>
      <c r="AL324" s="24"/>
      <c r="AM324" s="24"/>
      <c r="AN324" s="24"/>
      <c r="AO324" s="24"/>
      <c r="AP324" s="24"/>
      <c r="AQ324" s="24"/>
    </row>
    <row r="325" spans="2:43">
      <c r="B325" s="1" t="s">
        <v>176</v>
      </c>
      <c r="C325" s="1" t="s">
        <v>185</v>
      </c>
      <c r="D325" s="1" t="s">
        <v>187</v>
      </c>
      <c r="F325" s="1">
        <v>3</v>
      </c>
      <c r="H325" s="1" t="s">
        <v>152</v>
      </c>
      <c r="I325" s="1" t="s">
        <v>156</v>
      </c>
      <c r="J325" s="1" t="s">
        <v>156</v>
      </c>
      <c r="N32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5" s="29"/>
      <c r="P325" s="27" t="str">
        <f>tbGroup[[#This Row],[Camp]]&amp;"-"&amp;tbGroup[[#This Row],[Difficulty]]&amp;"-"&amp;GET_GROUP_NAME(tbGroup[[#This Row],[IsBoss]],tbGroup[[#This Row],[Hero1]:[Soldier3]])&amp;tbGroup[[#This Row],[Suffix]]</f>
        <v>三国-变态-铁英+法英+法英</v>
      </c>
      <c r="Q325" s="15" t="s">
        <v>40</v>
      </c>
      <c r="R325" s="15">
        <v>2</v>
      </c>
      <c r="S325" s="15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  <c r="AD325" s="24"/>
      <c r="AE325" s="24"/>
      <c r="AF325" s="24"/>
      <c r="AG325" s="24"/>
      <c r="AH325" s="24"/>
      <c r="AI325" s="24"/>
      <c r="AJ325" s="24"/>
      <c r="AK325" s="24"/>
      <c r="AL325" s="24"/>
      <c r="AM325" s="24"/>
      <c r="AN325" s="24"/>
      <c r="AO325" s="24"/>
      <c r="AP325" s="24"/>
      <c r="AQ325" s="24"/>
    </row>
    <row r="326" spans="2:43">
      <c r="B326" s="1" t="s">
        <v>176</v>
      </c>
      <c r="C326" s="1" t="s">
        <v>185</v>
      </c>
      <c r="D326" s="1" t="s">
        <v>187</v>
      </c>
      <c r="F326" s="1">
        <v>3</v>
      </c>
      <c r="H326" s="1" t="s">
        <v>152</v>
      </c>
      <c r="I326" s="1" t="s">
        <v>157</v>
      </c>
      <c r="J326" s="1" t="s">
        <v>157</v>
      </c>
      <c r="N32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6" s="29"/>
      <c r="P326" s="27" t="str">
        <f>tbGroup[[#This Row],[Camp]]&amp;"-"&amp;tbGroup[[#This Row],[Difficulty]]&amp;"-"&amp;GET_GROUP_NAME(tbGroup[[#This Row],[IsBoss]],tbGroup[[#This Row],[Hero1]:[Soldier3]])&amp;tbGroup[[#This Row],[Suffix]]</f>
        <v>三国-变态-铁英+刺英+刺英</v>
      </c>
      <c r="Q326" s="15" t="s">
        <v>40</v>
      </c>
      <c r="R326" s="15">
        <v>2</v>
      </c>
      <c r="S326" s="15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  <c r="AD326" s="24"/>
      <c r="AE326" s="24"/>
      <c r="AF326" s="24"/>
      <c r="AG326" s="24"/>
      <c r="AH326" s="24"/>
      <c r="AI326" s="24"/>
      <c r="AJ326" s="24"/>
      <c r="AK326" s="24"/>
      <c r="AL326" s="24"/>
      <c r="AM326" s="24"/>
      <c r="AN326" s="24"/>
      <c r="AO326" s="24"/>
      <c r="AP326" s="24"/>
      <c r="AQ326" s="24"/>
    </row>
    <row r="327" spans="2:43">
      <c r="B327" s="1" t="s">
        <v>176</v>
      </c>
      <c r="C327" s="1" t="s">
        <v>185</v>
      </c>
      <c r="D327" s="1" t="s">
        <v>187</v>
      </c>
      <c r="F327" s="1">
        <v>3</v>
      </c>
      <c r="H327" s="1" t="s">
        <v>152</v>
      </c>
      <c r="I327" s="1" t="s">
        <v>154</v>
      </c>
      <c r="J327" s="1" t="s">
        <v>155</v>
      </c>
      <c r="N32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7" s="29"/>
      <c r="P327" s="27" t="str">
        <f>tbGroup[[#This Row],[Camp]]&amp;"-"&amp;tbGroup[[#This Row],[Difficulty]]&amp;"-"&amp;GET_GROUP_NAME(tbGroup[[#This Row],[IsBoss]],tbGroup[[#This Row],[Hero1]:[Soldier3]])&amp;tbGroup[[#This Row],[Suffix]]</f>
        <v>三国-变态-铁英+强英+炼英</v>
      </c>
      <c r="Q327" s="15" t="s">
        <v>40</v>
      </c>
      <c r="R327" s="15">
        <v>2</v>
      </c>
      <c r="S327" s="15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  <c r="AD327" s="24"/>
      <c r="AE327" s="24"/>
      <c r="AF327" s="24"/>
      <c r="AG327" s="24"/>
      <c r="AH327" s="24"/>
      <c r="AI327" s="24"/>
      <c r="AJ327" s="24"/>
      <c r="AK327" s="24"/>
      <c r="AL327" s="24"/>
      <c r="AM327" s="24"/>
      <c r="AN327" s="24"/>
      <c r="AO327" s="24"/>
      <c r="AP327" s="24"/>
      <c r="AQ327" s="24"/>
    </row>
    <row r="328" spans="2:43">
      <c r="B328" s="1" t="s">
        <v>176</v>
      </c>
      <c r="C328" s="1" t="s">
        <v>185</v>
      </c>
      <c r="D328" s="1" t="s">
        <v>187</v>
      </c>
      <c r="F328" s="1">
        <v>3</v>
      </c>
      <c r="H328" s="1" t="s">
        <v>152</v>
      </c>
      <c r="I328" s="1" t="s">
        <v>154</v>
      </c>
      <c r="J328" s="1" t="s">
        <v>156</v>
      </c>
      <c r="N32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8" s="29"/>
      <c r="P328" s="27" t="str">
        <f>tbGroup[[#This Row],[Camp]]&amp;"-"&amp;tbGroup[[#This Row],[Difficulty]]&amp;"-"&amp;GET_GROUP_NAME(tbGroup[[#This Row],[IsBoss]],tbGroup[[#This Row],[Hero1]:[Soldier3]])&amp;tbGroup[[#This Row],[Suffix]]</f>
        <v>三国-变态-铁英+强英+法英</v>
      </c>
      <c r="Q328" s="15" t="s">
        <v>40</v>
      </c>
      <c r="R328" s="15">
        <v>2</v>
      </c>
      <c r="S328" s="15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  <c r="AD328" s="24"/>
      <c r="AE328" s="24"/>
      <c r="AF328" s="24"/>
      <c r="AG328" s="24"/>
      <c r="AH328" s="24"/>
      <c r="AI328" s="24"/>
      <c r="AJ328" s="24"/>
      <c r="AK328" s="24"/>
      <c r="AL328" s="24"/>
      <c r="AM328" s="24"/>
      <c r="AN328" s="24"/>
      <c r="AO328" s="24"/>
      <c r="AP328" s="24"/>
      <c r="AQ328" s="24"/>
    </row>
    <row r="329" spans="2:43">
      <c r="B329" s="1" t="s">
        <v>176</v>
      </c>
      <c r="C329" s="1" t="s">
        <v>185</v>
      </c>
      <c r="D329" s="1" t="s">
        <v>187</v>
      </c>
      <c r="F329" s="1">
        <v>3</v>
      </c>
      <c r="H329" s="1" t="s">
        <v>152</v>
      </c>
      <c r="I329" s="1" t="s">
        <v>155</v>
      </c>
      <c r="J329" s="1" t="s">
        <v>156</v>
      </c>
      <c r="N32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9" s="29"/>
      <c r="P329" s="27" t="str">
        <f>tbGroup[[#This Row],[Camp]]&amp;"-"&amp;tbGroup[[#This Row],[Difficulty]]&amp;"-"&amp;GET_GROUP_NAME(tbGroup[[#This Row],[IsBoss]],tbGroup[[#This Row],[Hero1]:[Soldier3]])&amp;tbGroup[[#This Row],[Suffix]]</f>
        <v>三国-变态-铁英+炼英+法英</v>
      </c>
      <c r="Q329" s="15" t="s">
        <v>40</v>
      </c>
      <c r="R329" s="15">
        <v>2</v>
      </c>
      <c r="S329" s="15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  <c r="AD329" s="24"/>
      <c r="AE329" s="24"/>
      <c r="AF329" s="24"/>
      <c r="AG329" s="24"/>
      <c r="AH329" s="24"/>
      <c r="AI329" s="24"/>
      <c r="AJ329" s="24"/>
      <c r="AK329" s="24"/>
      <c r="AL329" s="24"/>
      <c r="AM329" s="24"/>
      <c r="AN329" s="24"/>
      <c r="AO329" s="24"/>
      <c r="AP329" s="24"/>
      <c r="AQ329" s="24"/>
    </row>
    <row r="330" spans="2:43">
      <c r="B330" s="1" t="s">
        <v>176</v>
      </c>
      <c r="C330" s="1" t="s">
        <v>185</v>
      </c>
      <c r="D330" s="1" t="s">
        <v>187</v>
      </c>
      <c r="F330" s="1">
        <v>3</v>
      </c>
      <c r="H330" s="1" t="s">
        <v>152</v>
      </c>
      <c r="I330" s="1" t="s">
        <v>155</v>
      </c>
      <c r="J330" s="1" t="s">
        <v>157</v>
      </c>
      <c r="N33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0" s="29"/>
      <c r="P330" s="27" t="str">
        <f>tbGroup[[#This Row],[Camp]]&amp;"-"&amp;tbGroup[[#This Row],[Difficulty]]&amp;"-"&amp;GET_GROUP_NAME(tbGroup[[#This Row],[IsBoss]],tbGroup[[#This Row],[Hero1]:[Soldier3]])&amp;tbGroup[[#This Row],[Suffix]]</f>
        <v>三国-变态-铁英+炼英+刺英</v>
      </c>
      <c r="Q330" s="15" t="s">
        <v>40</v>
      </c>
      <c r="R330" s="15">
        <v>2</v>
      </c>
      <c r="S330" s="15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  <c r="AD330" s="24"/>
      <c r="AE330" s="24"/>
      <c r="AF330" s="24"/>
      <c r="AG330" s="24"/>
      <c r="AH330" s="24"/>
      <c r="AI330" s="24"/>
      <c r="AJ330" s="24"/>
      <c r="AK330" s="24"/>
      <c r="AL330" s="24"/>
      <c r="AM330" s="24"/>
      <c r="AN330" s="24"/>
      <c r="AO330" s="24"/>
      <c r="AP330" s="24"/>
      <c r="AQ330" s="24"/>
    </row>
    <row r="331" spans="2:43">
      <c r="B331" s="1" t="s">
        <v>176</v>
      </c>
      <c r="C331" s="1" t="s">
        <v>185</v>
      </c>
      <c r="D331" s="1" t="s">
        <v>187</v>
      </c>
      <c r="F331" s="1">
        <v>3</v>
      </c>
      <c r="H331" s="1" t="s">
        <v>152</v>
      </c>
      <c r="I331" s="1" t="s">
        <v>156</v>
      </c>
      <c r="J331" s="1" t="s">
        <v>157</v>
      </c>
      <c r="N33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1" s="29"/>
      <c r="P331" s="27" t="str">
        <f>tbGroup[[#This Row],[Camp]]&amp;"-"&amp;tbGroup[[#This Row],[Difficulty]]&amp;"-"&amp;GET_GROUP_NAME(tbGroup[[#This Row],[IsBoss]],tbGroup[[#This Row],[Hero1]:[Soldier3]])&amp;tbGroup[[#This Row],[Suffix]]</f>
        <v>三国-变态-铁英+法英+刺英</v>
      </c>
      <c r="Q331" s="15" t="s">
        <v>40</v>
      </c>
      <c r="R331" s="15">
        <v>2</v>
      </c>
      <c r="S331" s="15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  <c r="AD331" s="24"/>
      <c r="AE331" s="24"/>
      <c r="AF331" s="24"/>
      <c r="AG331" s="24"/>
      <c r="AH331" s="24"/>
      <c r="AI331" s="24"/>
      <c r="AJ331" s="24"/>
      <c r="AK331" s="24"/>
      <c r="AL331" s="24"/>
      <c r="AM331" s="24"/>
      <c r="AN331" s="24"/>
      <c r="AO331" s="24"/>
      <c r="AP331" s="24"/>
      <c r="AQ331" s="24"/>
    </row>
    <row r="332" spans="2:43">
      <c r="B332" s="1" t="s">
        <v>176</v>
      </c>
      <c r="C332" s="1" t="s">
        <v>185</v>
      </c>
      <c r="D332" s="1" t="s">
        <v>187</v>
      </c>
      <c r="F332" s="1">
        <v>3</v>
      </c>
      <c r="H332" s="1" t="s">
        <v>153</v>
      </c>
      <c r="I332" s="1" t="s">
        <v>155</v>
      </c>
      <c r="J332" s="1" t="s">
        <v>155</v>
      </c>
      <c r="N33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2" s="29"/>
      <c r="P332" s="27" t="str">
        <f>tbGroup[[#This Row],[Camp]]&amp;"-"&amp;tbGroup[[#This Row],[Difficulty]]&amp;"-"&amp;GET_GROUP_NAME(tbGroup[[#This Row],[IsBoss]],tbGroup[[#This Row],[Hero1]:[Soldier3]])&amp;tbGroup[[#This Row],[Suffix]]</f>
        <v>三国-变态-盾英+炼英+炼英</v>
      </c>
      <c r="Q332" s="15" t="s">
        <v>40</v>
      </c>
      <c r="R332" s="15">
        <v>2</v>
      </c>
      <c r="S332" s="15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  <c r="AD332" s="24"/>
      <c r="AE332" s="24"/>
      <c r="AF332" s="24"/>
      <c r="AG332" s="24"/>
      <c r="AH332" s="24"/>
      <c r="AI332" s="24"/>
      <c r="AJ332" s="24"/>
      <c r="AK332" s="24"/>
      <c r="AL332" s="24"/>
      <c r="AM332" s="24"/>
      <c r="AN332" s="24"/>
      <c r="AO332" s="24"/>
      <c r="AP332" s="24"/>
      <c r="AQ332" s="24"/>
    </row>
    <row r="333" spans="2:43">
      <c r="B333" s="1" t="s">
        <v>176</v>
      </c>
      <c r="C333" s="1" t="s">
        <v>185</v>
      </c>
      <c r="D333" s="1" t="s">
        <v>187</v>
      </c>
      <c r="F333" s="1">
        <v>3</v>
      </c>
      <c r="H333" s="1" t="s">
        <v>153</v>
      </c>
      <c r="I333" s="1" t="s">
        <v>156</v>
      </c>
      <c r="J333" s="1" t="s">
        <v>156</v>
      </c>
      <c r="N33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3" s="29"/>
      <c r="P333" s="27" t="str">
        <f>tbGroup[[#This Row],[Camp]]&amp;"-"&amp;tbGroup[[#This Row],[Difficulty]]&amp;"-"&amp;GET_GROUP_NAME(tbGroup[[#This Row],[IsBoss]],tbGroup[[#This Row],[Hero1]:[Soldier3]])&amp;tbGroup[[#This Row],[Suffix]]</f>
        <v>三国-变态-盾英+法英+法英</v>
      </c>
      <c r="Q333" s="15" t="s">
        <v>40</v>
      </c>
      <c r="R333" s="15">
        <v>2</v>
      </c>
      <c r="S333" s="15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  <c r="AD333" s="24"/>
      <c r="AE333" s="24"/>
      <c r="AF333" s="24"/>
      <c r="AG333" s="24"/>
      <c r="AH333" s="24"/>
      <c r="AI333" s="24"/>
      <c r="AJ333" s="24"/>
      <c r="AK333" s="24"/>
      <c r="AL333" s="24"/>
      <c r="AM333" s="24"/>
      <c r="AN333" s="24"/>
      <c r="AO333" s="24"/>
      <c r="AP333" s="24"/>
      <c r="AQ333" s="24"/>
    </row>
    <row r="334" spans="2:43">
      <c r="B334" s="1" t="s">
        <v>176</v>
      </c>
      <c r="C334" s="1" t="s">
        <v>185</v>
      </c>
      <c r="D334" s="1" t="s">
        <v>187</v>
      </c>
      <c r="F334" s="1">
        <v>3</v>
      </c>
      <c r="H334" s="1" t="s">
        <v>153</v>
      </c>
      <c r="I334" s="1" t="s">
        <v>157</v>
      </c>
      <c r="J334" s="1" t="s">
        <v>157</v>
      </c>
      <c r="N33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4" s="29"/>
      <c r="P334" s="27" t="str">
        <f>tbGroup[[#This Row],[Camp]]&amp;"-"&amp;tbGroup[[#This Row],[Difficulty]]&amp;"-"&amp;GET_GROUP_NAME(tbGroup[[#This Row],[IsBoss]],tbGroup[[#This Row],[Hero1]:[Soldier3]])&amp;tbGroup[[#This Row],[Suffix]]</f>
        <v>三国-变态-盾英+刺英+刺英</v>
      </c>
      <c r="Q334" s="15" t="s">
        <v>40</v>
      </c>
      <c r="R334" s="15">
        <v>2</v>
      </c>
      <c r="S334" s="15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  <c r="AD334" s="24"/>
      <c r="AE334" s="24"/>
      <c r="AF334" s="24"/>
      <c r="AG334" s="24"/>
      <c r="AH334" s="24"/>
      <c r="AI334" s="24"/>
      <c r="AJ334" s="24"/>
      <c r="AK334" s="24"/>
      <c r="AL334" s="24"/>
      <c r="AM334" s="24"/>
      <c r="AN334" s="24"/>
      <c r="AO334" s="24"/>
      <c r="AP334" s="24"/>
      <c r="AQ334" s="24"/>
    </row>
    <row r="335" spans="2:43">
      <c r="B335" s="1" t="s">
        <v>176</v>
      </c>
      <c r="C335" s="1" t="s">
        <v>185</v>
      </c>
      <c r="D335" s="1" t="s">
        <v>187</v>
      </c>
      <c r="F335" s="1">
        <v>3</v>
      </c>
      <c r="H335" s="1" t="s">
        <v>153</v>
      </c>
      <c r="I335" s="1" t="s">
        <v>154</v>
      </c>
      <c r="J335" s="1" t="s">
        <v>155</v>
      </c>
      <c r="N33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5" s="29"/>
      <c r="P335" s="27" t="str">
        <f>tbGroup[[#This Row],[Camp]]&amp;"-"&amp;tbGroup[[#This Row],[Difficulty]]&amp;"-"&amp;GET_GROUP_NAME(tbGroup[[#This Row],[IsBoss]],tbGroup[[#This Row],[Hero1]:[Soldier3]])&amp;tbGroup[[#This Row],[Suffix]]</f>
        <v>三国-变态-盾英+强英+炼英</v>
      </c>
      <c r="Q335" s="15" t="s">
        <v>40</v>
      </c>
      <c r="R335" s="15">
        <v>2</v>
      </c>
      <c r="S335" s="15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  <c r="AD335" s="24"/>
      <c r="AE335" s="24"/>
      <c r="AF335" s="24"/>
      <c r="AG335" s="24"/>
      <c r="AH335" s="24"/>
      <c r="AI335" s="24"/>
      <c r="AJ335" s="24"/>
      <c r="AK335" s="24"/>
      <c r="AL335" s="24"/>
      <c r="AM335" s="24"/>
      <c r="AN335" s="24"/>
      <c r="AO335" s="24"/>
      <c r="AP335" s="24"/>
      <c r="AQ335" s="24"/>
    </row>
    <row r="336" spans="2:43">
      <c r="B336" s="1" t="s">
        <v>176</v>
      </c>
      <c r="C336" s="1" t="s">
        <v>185</v>
      </c>
      <c r="D336" s="1" t="s">
        <v>187</v>
      </c>
      <c r="F336" s="1">
        <v>3</v>
      </c>
      <c r="H336" s="1" t="s">
        <v>153</v>
      </c>
      <c r="I336" s="1" t="s">
        <v>154</v>
      </c>
      <c r="J336" s="1" t="s">
        <v>156</v>
      </c>
      <c r="N33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6" s="29"/>
      <c r="P336" s="27" t="str">
        <f>tbGroup[[#This Row],[Camp]]&amp;"-"&amp;tbGroup[[#This Row],[Difficulty]]&amp;"-"&amp;GET_GROUP_NAME(tbGroup[[#This Row],[IsBoss]],tbGroup[[#This Row],[Hero1]:[Soldier3]])&amp;tbGroup[[#This Row],[Suffix]]</f>
        <v>三国-变态-盾英+强英+法英</v>
      </c>
      <c r="Q336" s="15" t="s">
        <v>40</v>
      </c>
      <c r="R336" s="15">
        <v>2</v>
      </c>
      <c r="S336" s="15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  <c r="AD336" s="24"/>
      <c r="AE336" s="24"/>
      <c r="AF336" s="24"/>
      <c r="AG336" s="24"/>
      <c r="AH336" s="24"/>
      <c r="AI336" s="24"/>
      <c r="AJ336" s="24"/>
      <c r="AK336" s="24"/>
      <c r="AL336" s="24"/>
      <c r="AM336" s="24"/>
      <c r="AN336" s="24"/>
      <c r="AO336" s="24"/>
      <c r="AP336" s="24"/>
      <c r="AQ336" s="24"/>
    </row>
    <row r="337" spans="2:43">
      <c r="B337" s="1" t="s">
        <v>176</v>
      </c>
      <c r="C337" s="1" t="s">
        <v>185</v>
      </c>
      <c r="D337" s="1" t="s">
        <v>187</v>
      </c>
      <c r="F337" s="1">
        <v>3</v>
      </c>
      <c r="H337" s="1" t="s">
        <v>153</v>
      </c>
      <c r="I337" s="1" t="s">
        <v>155</v>
      </c>
      <c r="J337" s="1" t="s">
        <v>156</v>
      </c>
      <c r="N33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7" s="29"/>
      <c r="P337" s="27" t="str">
        <f>tbGroup[[#This Row],[Camp]]&amp;"-"&amp;tbGroup[[#This Row],[Difficulty]]&amp;"-"&amp;GET_GROUP_NAME(tbGroup[[#This Row],[IsBoss]],tbGroup[[#This Row],[Hero1]:[Soldier3]])&amp;tbGroup[[#This Row],[Suffix]]</f>
        <v>三国-变态-盾英+炼英+法英</v>
      </c>
      <c r="Q337" s="15" t="s">
        <v>40</v>
      </c>
      <c r="R337" s="15">
        <v>2</v>
      </c>
      <c r="S337" s="15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  <c r="AD337" s="24"/>
      <c r="AE337" s="24"/>
      <c r="AF337" s="24"/>
      <c r="AG337" s="24"/>
      <c r="AH337" s="24"/>
      <c r="AI337" s="24"/>
      <c r="AJ337" s="24"/>
      <c r="AK337" s="24"/>
      <c r="AL337" s="24"/>
      <c r="AM337" s="24"/>
      <c r="AN337" s="24"/>
      <c r="AO337" s="24"/>
      <c r="AP337" s="24"/>
      <c r="AQ337" s="24"/>
    </row>
    <row r="338" spans="2:43">
      <c r="B338" s="1" t="s">
        <v>176</v>
      </c>
      <c r="C338" s="1" t="s">
        <v>185</v>
      </c>
      <c r="D338" s="1" t="s">
        <v>187</v>
      </c>
      <c r="F338" s="1">
        <v>3</v>
      </c>
      <c r="H338" s="1" t="s">
        <v>153</v>
      </c>
      <c r="I338" s="1" t="s">
        <v>155</v>
      </c>
      <c r="J338" s="1" t="s">
        <v>157</v>
      </c>
      <c r="N33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8" s="29"/>
      <c r="P338" s="27" t="str">
        <f>tbGroup[[#This Row],[Camp]]&amp;"-"&amp;tbGroup[[#This Row],[Difficulty]]&amp;"-"&amp;GET_GROUP_NAME(tbGroup[[#This Row],[IsBoss]],tbGroup[[#This Row],[Hero1]:[Soldier3]])&amp;tbGroup[[#This Row],[Suffix]]</f>
        <v>三国-变态-盾英+炼英+刺英</v>
      </c>
      <c r="Q338" s="15" t="s">
        <v>40</v>
      </c>
      <c r="R338" s="15">
        <v>2</v>
      </c>
      <c r="S338" s="15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  <c r="AD338" s="24"/>
      <c r="AE338" s="24"/>
      <c r="AF338" s="24"/>
      <c r="AG338" s="24"/>
      <c r="AH338" s="24"/>
      <c r="AI338" s="24"/>
      <c r="AJ338" s="24"/>
      <c r="AK338" s="24"/>
      <c r="AL338" s="24"/>
      <c r="AM338" s="24"/>
      <c r="AN338" s="24"/>
      <c r="AO338" s="24"/>
      <c r="AP338" s="24"/>
      <c r="AQ338" s="24"/>
    </row>
    <row r="339" spans="2:43">
      <c r="B339" s="1" t="s">
        <v>176</v>
      </c>
      <c r="C339" s="1" t="s">
        <v>185</v>
      </c>
      <c r="D339" s="1" t="s">
        <v>187</v>
      </c>
      <c r="F339" s="1">
        <v>3</v>
      </c>
      <c r="H339" s="1" t="s">
        <v>153</v>
      </c>
      <c r="I339" s="1" t="s">
        <v>156</v>
      </c>
      <c r="J339" s="1" t="s">
        <v>157</v>
      </c>
      <c r="N33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9" s="29"/>
      <c r="P339" s="27" t="str">
        <f>tbGroup[[#This Row],[Camp]]&amp;"-"&amp;tbGroup[[#This Row],[Difficulty]]&amp;"-"&amp;GET_GROUP_NAME(tbGroup[[#This Row],[IsBoss]],tbGroup[[#This Row],[Hero1]:[Soldier3]])&amp;tbGroup[[#This Row],[Suffix]]</f>
        <v>三国-变态-盾英+法英+刺英</v>
      </c>
      <c r="Q339" s="15" t="s">
        <v>40</v>
      </c>
      <c r="R339" s="15">
        <v>2</v>
      </c>
      <c r="S339" s="15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  <c r="AD339" s="24"/>
      <c r="AE339" s="24"/>
      <c r="AF339" s="24"/>
      <c r="AG339" s="24"/>
      <c r="AH339" s="24"/>
      <c r="AI339" s="24"/>
      <c r="AJ339" s="24"/>
      <c r="AK339" s="24"/>
      <c r="AL339" s="24"/>
      <c r="AM339" s="24"/>
      <c r="AN339" s="24"/>
      <c r="AO339" s="24"/>
      <c r="AP339" s="24"/>
      <c r="AQ339" s="24"/>
    </row>
    <row r="340" spans="2:43">
      <c r="B340" s="3" t="s">
        <v>151</v>
      </c>
      <c r="C340" s="3" t="s">
        <v>194</v>
      </c>
      <c r="D340" s="3" t="s">
        <v>198</v>
      </c>
      <c r="E340" s="3" t="b">
        <v>1</v>
      </c>
      <c r="F340" s="3">
        <v>3</v>
      </c>
      <c r="G340" s="3"/>
      <c r="H340" s="1" t="s">
        <v>152</v>
      </c>
      <c r="I340" s="1" t="s">
        <v>154</v>
      </c>
      <c r="J340" s="1" t="s">
        <v>154</v>
      </c>
      <c r="K340" s="3"/>
      <c r="L340" s="3"/>
      <c r="M340" s="3"/>
      <c r="N34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0" s="29"/>
      <c r="P340" s="27" t="str">
        <f>tbGroup[[#This Row],[Camp]]&amp;"-"&amp;tbGroup[[#This Row],[Difficulty]]&amp;"-"&amp;GET_GROUP_NAME(tbGroup[[#This Row],[IsBoss]],tbGroup[[#This Row],[Hero1]:[Soldier3]])&amp;tbGroup[[#This Row],[Suffix]]</f>
        <v>三国-变态-[B]铁英+强英+强英</v>
      </c>
      <c r="Q340" s="15" t="s">
        <v>40</v>
      </c>
      <c r="R340" s="15">
        <v>2</v>
      </c>
      <c r="S340" s="15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  <c r="AD340" s="24"/>
      <c r="AE340" s="24"/>
      <c r="AF340" s="24"/>
      <c r="AG340" s="24"/>
      <c r="AH340" s="24"/>
      <c r="AI340" s="24"/>
      <c r="AJ340" s="24"/>
      <c r="AK340" s="24"/>
      <c r="AL340" s="24"/>
      <c r="AM340" s="24"/>
      <c r="AN340" s="24"/>
      <c r="AO340" s="24"/>
      <c r="AP340" s="24"/>
      <c r="AQ340" s="24"/>
    </row>
    <row r="341" spans="2:43">
      <c r="B341" s="3" t="s">
        <v>151</v>
      </c>
      <c r="C341" s="3" t="s">
        <v>194</v>
      </c>
      <c r="D341" s="3" t="s">
        <v>198</v>
      </c>
      <c r="E341" s="3" t="b">
        <v>1</v>
      </c>
      <c r="F341" s="3">
        <v>3</v>
      </c>
      <c r="G341" s="3"/>
      <c r="H341" s="1" t="s">
        <v>152</v>
      </c>
      <c r="I341" s="1" t="s">
        <v>155</v>
      </c>
      <c r="J341" s="1" t="s">
        <v>155</v>
      </c>
      <c r="K341" s="3"/>
      <c r="L341" s="3"/>
      <c r="M341" s="3"/>
      <c r="N34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1" s="29"/>
      <c r="P341" s="27" t="str">
        <f>tbGroup[[#This Row],[Camp]]&amp;"-"&amp;tbGroup[[#This Row],[Difficulty]]&amp;"-"&amp;GET_GROUP_NAME(tbGroup[[#This Row],[IsBoss]],tbGroup[[#This Row],[Hero1]:[Soldier3]])&amp;tbGroup[[#This Row],[Suffix]]</f>
        <v>三国-变态-[B]铁英+炼英+炼英</v>
      </c>
      <c r="Q341" s="15" t="s">
        <v>40</v>
      </c>
      <c r="R341" s="15">
        <v>2</v>
      </c>
      <c r="S341" s="15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  <c r="AD341" s="24"/>
      <c r="AE341" s="24"/>
      <c r="AF341" s="24"/>
      <c r="AG341" s="24"/>
      <c r="AH341" s="24"/>
      <c r="AI341" s="24"/>
      <c r="AJ341" s="24"/>
      <c r="AK341" s="24"/>
      <c r="AL341" s="24"/>
      <c r="AM341" s="24"/>
      <c r="AN341" s="24"/>
      <c r="AO341" s="24"/>
      <c r="AP341" s="24"/>
      <c r="AQ341" s="24"/>
    </row>
    <row r="342" spans="2:43">
      <c r="B342" s="3" t="s">
        <v>151</v>
      </c>
      <c r="C342" s="3" t="s">
        <v>194</v>
      </c>
      <c r="D342" s="3" t="s">
        <v>198</v>
      </c>
      <c r="E342" s="3" t="b">
        <v>1</v>
      </c>
      <c r="F342" s="3">
        <v>3</v>
      </c>
      <c r="G342" s="3"/>
      <c r="H342" s="1" t="s">
        <v>152</v>
      </c>
      <c r="I342" s="1" t="s">
        <v>156</v>
      </c>
      <c r="J342" s="1" t="s">
        <v>156</v>
      </c>
      <c r="K342" s="3"/>
      <c r="L342" s="3"/>
      <c r="M342" s="3"/>
      <c r="N34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2" s="29"/>
      <c r="P342" s="27" t="str">
        <f>tbGroup[[#This Row],[Camp]]&amp;"-"&amp;tbGroup[[#This Row],[Difficulty]]&amp;"-"&amp;GET_GROUP_NAME(tbGroup[[#This Row],[IsBoss]],tbGroup[[#This Row],[Hero1]:[Soldier3]])&amp;tbGroup[[#This Row],[Suffix]]</f>
        <v>三国-变态-[B]铁英+法英+法英</v>
      </c>
      <c r="Q342" s="15" t="s">
        <v>40</v>
      </c>
      <c r="R342" s="15">
        <v>2</v>
      </c>
      <c r="S342" s="15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  <c r="AD342" s="24"/>
      <c r="AE342" s="24"/>
      <c r="AF342" s="24"/>
      <c r="AG342" s="24"/>
      <c r="AH342" s="24"/>
      <c r="AI342" s="24"/>
      <c r="AJ342" s="24"/>
      <c r="AK342" s="24"/>
      <c r="AL342" s="24"/>
      <c r="AM342" s="24"/>
      <c r="AN342" s="24"/>
      <c r="AO342" s="24"/>
      <c r="AP342" s="24"/>
      <c r="AQ342" s="24"/>
    </row>
    <row r="343" spans="2:43">
      <c r="B343" s="3" t="s">
        <v>151</v>
      </c>
      <c r="C343" s="3" t="s">
        <v>194</v>
      </c>
      <c r="D343" s="3" t="s">
        <v>198</v>
      </c>
      <c r="E343" s="3" t="b">
        <v>1</v>
      </c>
      <c r="F343" s="3">
        <v>3</v>
      </c>
      <c r="G343" s="3"/>
      <c r="H343" s="1" t="s">
        <v>152</v>
      </c>
      <c r="I343" s="1" t="s">
        <v>157</v>
      </c>
      <c r="J343" s="1" t="s">
        <v>157</v>
      </c>
      <c r="K343" s="3"/>
      <c r="L343" s="3"/>
      <c r="M343" s="3"/>
      <c r="N34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3" s="29"/>
      <c r="P343" s="27" t="str">
        <f>tbGroup[[#This Row],[Camp]]&amp;"-"&amp;tbGroup[[#This Row],[Difficulty]]&amp;"-"&amp;GET_GROUP_NAME(tbGroup[[#This Row],[IsBoss]],tbGroup[[#This Row],[Hero1]:[Soldier3]])&amp;tbGroup[[#This Row],[Suffix]]</f>
        <v>三国-变态-[B]铁英+刺英+刺英</v>
      </c>
      <c r="Q343" s="15" t="s">
        <v>40</v>
      </c>
      <c r="R343" s="15">
        <v>2</v>
      </c>
      <c r="S343" s="15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  <c r="AD343" s="24"/>
      <c r="AE343" s="24"/>
      <c r="AF343" s="24"/>
      <c r="AG343" s="24"/>
      <c r="AH343" s="24"/>
      <c r="AI343" s="24"/>
      <c r="AJ343" s="24"/>
      <c r="AK343" s="24"/>
      <c r="AL343" s="24"/>
      <c r="AM343" s="24"/>
      <c r="AN343" s="24"/>
      <c r="AO343" s="24"/>
      <c r="AP343" s="24"/>
      <c r="AQ343" s="24"/>
    </row>
    <row r="344" spans="2:43">
      <c r="B344" s="3" t="s">
        <v>151</v>
      </c>
      <c r="C344" s="3" t="s">
        <v>194</v>
      </c>
      <c r="D344" s="3" t="s">
        <v>198</v>
      </c>
      <c r="E344" s="3" t="b">
        <v>1</v>
      </c>
      <c r="F344" s="3">
        <v>3</v>
      </c>
      <c r="G344" s="3"/>
      <c r="H344" s="1" t="s">
        <v>152</v>
      </c>
      <c r="I344" s="1" t="s">
        <v>154</v>
      </c>
      <c r="J344" s="1" t="s">
        <v>155</v>
      </c>
      <c r="K344" s="3"/>
      <c r="L344" s="3"/>
      <c r="M344" s="3"/>
      <c r="N34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4" s="29"/>
      <c r="P344" s="27" t="str">
        <f>tbGroup[[#This Row],[Camp]]&amp;"-"&amp;tbGroup[[#This Row],[Difficulty]]&amp;"-"&amp;GET_GROUP_NAME(tbGroup[[#This Row],[IsBoss]],tbGroup[[#This Row],[Hero1]:[Soldier3]])&amp;tbGroup[[#This Row],[Suffix]]</f>
        <v>三国-变态-[B]铁英+强英+炼英</v>
      </c>
      <c r="Q344" s="15" t="s">
        <v>40</v>
      </c>
      <c r="R344" s="15">
        <v>2</v>
      </c>
      <c r="S344" s="15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  <c r="AD344" s="24"/>
      <c r="AE344" s="24"/>
      <c r="AF344" s="24"/>
      <c r="AG344" s="24"/>
      <c r="AH344" s="24"/>
      <c r="AI344" s="24"/>
      <c r="AJ344" s="24"/>
      <c r="AK344" s="24"/>
      <c r="AL344" s="24"/>
      <c r="AM344" s="24"/>
      <c r="AN344" s="24"/>
      <c r="AO344" s="24"/>
      <c r="AP344" s="24"/>
      <c r="AQ344" s="24"/>
    </row>
    <row r="345" spans="2:43">
      <c r="B345" s="3" t="s">
        <v>151</v>
      </c>
      <c r="C345" s="3" t="s">
        <v>194</v>
      </c>
      <c r="D345" s="3" t="s">
        <v>198</v>
      </c>
      <c r="E345" s="3" t="b">
        <v>1</v>
      </c>
      <c r="F345" s="3">
        <v>3</v>
      </c>
      <c r="G345" s="3"/>
      <c r="H345" s="1" t="s">
        <v>152</v>
      </c>
      <c r="I345" s="1" t="s">
        <v>154</v>
      </c>
      <c r="J345" s="1" t="s">
        <v>156</v>
      </c>
      <c r="K345" s="3"/>
      <c r="L345" s="3"/>
      <c r="M345" s="3"/>
      <c r="N34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5" s="29"/>
      <c r="P345" s="27" t="str">
        <f>tbGroup[[#This Row],[Camp]]&amp;"-"&amp;tbGroup[[#This Row],[Difficulty]]&amp;"-"&amp;GET_GROUP_NAME(tbGroup[[#This Row],[IsBoss]],tbGroup[[#This Row],[Hero1]:[Soldier3]])&amp;tbGroup[[#This Row],[Suffix]]</f>
        <v>三国-变态-[B]铁英+强英+法英</v>
      </c>
      <c r="Q345" s="15" t="s">
        <v>40</v>
      </c>
      <c r="R345" s="15">
        <v>2</v>
      </c>
      <c r="S345" s="15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  <c r="AD345" s="24"/>
      <c r="AE345" s="24"/>
      <c r="AF345" s="24"/>
      <c r="AG345" s="24"/>
      <c r="AH345" s="24"/>
      <c r="AI345" s="24"/>
      <c r="AJ345" s="24"/>
      <c r="AK345" s="24"/>
      <c r="AL345" s="24"/>
      <c r="AM345" s="24"/>
      <c r="AN345" s="24"/>
      <c r="AO345" s="24"/>
      <c r="AP345" s="24"/>
      <c r="AQ345" s="24"/>
    </row>
    <row r="346" spans="2:43">
      <c r="B346" s="3" t="s">
        <v>151</v>
      </c>
      <c r="C346" s="3" t="s">
        <v>194</v>
      </c>
      <c r="D346" s="3" t="s">
        <v>198</v>
      </c>
      <c r="E346" s="3" t="b">
        <v>1</v>
      </c>
      <c r="F346" s="3">
        <v>3</v>
      </c>
      <c r="G346" s="3"/>
      <c r="H346" s="1" t="s">
        <v>152</v>
      </c>
      <c r="I346" s="1" t="s">
        <v>155</v>
      </c>
      <c r="J346" s="1" t="s">
        <v>156</v>
      </c>
      <c r="K346" s="3"/>
      <c r="L346" s="3"/>
      <c r="M346" s="3"/>
      <c r="N34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6" s="29"/>
      <c r="P346" s="27" t="str">
        <f>tbGroup[[#This Row],[Camp]]&amp;"-"&amp;tbGroup[[#This Row],[Difficulty]]&amp;"-"&amp;GET_GROUP_NAME(tbGroup[[#This Row],[IsBoss]],tbGroup[[#This Row],[Hero1]:[Soldier3]])&amp;tbGroup[[#This Row],[Suffix]]</f>
        <v>三国-变态-[B]铁英+炼英+法英</v>
      </c>
      <c r="Q346" s="15" t="s">
        <v>40</v>
      </c>
      <c r="R346" s="15">
        <v>2</v>
      </c>
      <c r="S346" s="15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  <c r="AD346" s="24"/>
      <c r="AE346" s="24"/>
      <c r="AF346" s="24"/>
      <c r="AG346" s="24"/>
      <c r="AH346" s="24"/>
      <c r="AI346" s="24"/>
      <c r="AJ346" s="24"/>
      <c r="AK346" s="24"/>
      <c r="AL346" s="24"/>
      <c r="AM346" s="24"/>
      <c r="AN346" s="24"/>
      <c r="AO346" s="24"/>
      <c r="AP346" s="24"/>
      <c r="AQ346" s="24"/>
    </row>
    <row r="347" spans="2:43">
      <c r="B347" s="3" t="s">
        <v>151</v>
      </c>
      <c r="C347" s="3" t="s">
        <v>194</v>
      </c>
      <c r="D347" s="3" t="s">
        <v>198</v>
      </c>
      <c r="E347" s="3" t="b">
        <v>1</v>
      </c>
      <c r="F347" s="3">
        <v>3</v>
      </c>
      <c r="G347" s="3"/>
      <c r="H347" s="1" t="s">
        <v>152</v>
      </c>
      <c r="I347" s="1" t="s">
        <v>155</v>
      </c>
      <c r="J347" s="1" t="s">
        <v>157</v>
      </c>
      <c r="K347" s="3"/>
      <c r="L347" s="3"/>
      <c r="M347" s="3"/>
      <c r="N34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7" s="29"/>
      <c r="P347" s="27" t="str">
        <f>tbGroup[[#This Row],[Camp]]&amp;"-"&amp;tbGroup[[#This Row],[Difficulty]]&amp;"-"&amp;GET_GROUP_NAME(tbGroup[[#This Row],[IsBoss]],tbGroup[[#This Row],[Hero1]:[Soldier3]])&amp;tbGroup[[#This Row],[Suffix]]</f>
        <v>三国-变态-[B]铁英+炼英+刺英</v>
      </c>
      <c r="Q347" s="15" t="s">
        <v>40</v>
      </c>
      <c r="R347" s="15">
        <v>2</v>
      </c>
      <c r="S347" s="15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  <c r="AD347" s="24"/>
      <c r="AE347" s="24"/>
      <c r="AF347" s="24"/>
      <c r="AG347" s="24"/>
      <c r="AH347" s="24"/>
      <c r="AI347" s="24"/>
      <c r="AJ347" s="24"/>
      <c r="AK347" s="24"/>
      <c r="AL347" s="24"/>
      <c r="AM347" s="24"/>
      <c r="AN347" s="24"/>
      <c r="AO347" s="24"/>
      <c r="AP347" s="24"/>
      <c r="AQ347" s="24"/>
    </row>
    <row r="348" spans="2:43">
      <c r="B348" s="3" t="s">
        <v>151</v>
      </c>
      <c r="C348" s="3" t="s">
        <v>194</v>
      </c>
      <c r="D348" s="3" t="s">
        <v>198</v>
      </c>
      <c r="E348" s="3" t="b">
        <v>1</v>
      </c>
      <c r="F348" s="3">
        <v>3</v>
      </c>
      <c r="G348" s="3"/>
      <c r="H348" s="1" t="s">
        <v>152</v>
      </c>
      <c r="I348" s="1" t="s">
        <v>156</v>
      </c>
      <c r="J348" s="1" t="s">
        <v>157</v>
      </c>
      <c r="K348" s="3"/>
      <c r="L348" s="3"/>
      <c r="M348" s="3"/>
      <c r="N34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8" s="29"/>
      <c r="P348" s="27" t="str">
        <f>tbGroup[[#This Row],[Camp]]&amp;"-"&amp;tbGroup[[#This Row],[Difficulty]]&amp;"-"&amp;GET_GROUP_NAME(tbGroup[[#This Row],[IsBoss]],tbGroup[[#This Row],[Hero1]:[Soldier3]])&amp;tbGroup[[#This Row],[Suffix]]</f>
        <v>三国-变态-[B]铁英+法英+刺英</v>
      </c>
      <c r="Q348" s="15" t="s">
        <v>40</v>
      </c>
      <c r="R348" s="15">
        <v>2</v>
      </c>
      <c r="S348" s="15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  <c r="AD348" s="24"/>
      <c r="AE348" s="24"/>
      <c r="AF348" s="24"/>
      <c r="AG348" s="24"/>
      <c r="AH348" s="24"/>
      <c r="AI348" s="24"/>
      <c r="AJ348" s="24"/>
      <c r="AK348" s="24"/>
      <c r="AL348" s="24"/>
      <c r="AM348" s="24"/>
      <c r="AN348" s="24"/>
      <c r="AO348" s="24"/>
      <c r="AP348" s="24"/>
      <c r="AQ348" s="24"/>
    </row>
    <row r="349" spans="2:43">
      <c r="B349" s="3" t="s">
        <v>151</v>
      </c>
      <c r="C349" s="3" t="s">
        <v>194</v>
      </c>
      <c r="D349" s="3" t="s">
        <v>198</v>
      </c>
      <c r="E349" s="3" t="b">
        <v>1</v>
      </c>
      <c r="F349" s="3">
        <v>3</v>
      </c>
      <c r="G349" s="3"/>
      <c r="H349" s="1" t="s">
        <v>153</v>
      </c>
      <c r="I349" s="1" t="s">
        <v>155</v>
      </c>
      <c r="J349" s="1" t="s">
        <v>155</v>
      </c>
      <c r="K349" s="3"/>
      <c r="L349" s="3"/>
      <c r="M349" s="3"/>
      <c r="N34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9" s="29"/>
      <c r="P349" s="27" t="str">
        <f>tbGroup[[#This Row],[Camp]]&amp;"-"&amp;tbGroup[[#This Row],[Difficulty]]&amp;"-"&amp;GET_GROUP_NAME(tbGroup[[#This Row],[IsBoss]],tbGroup[[#This Row],[Hero1]:[Soldier3]])&amp;tbGroup[[#This Row],[Suffix]]</f>
        <v>三国-变态-[B]盾英+炼英+炼英</v>
      </c>
      <c r="Q349" s="15" t="s">
        <v>40</v>
      </c>
      <c r="R349" s="15">
        <v>2</v>
      </c>
      <c r="S349" s="15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  <c r="AD349" s="24"/>
      <c r="AE349" s="24"/>
      <c r="AF349" s="24"/>
      <c r="AG349" s="24"/>
      <c r="AH349" s="24"/>
      <c r="AI349" s="24"/>
      <c r="AJ349" s="24"/>
      <c r="AK349" s="24"/>
      <c r="AL349" s="24"/>
      <c r="AM349" s="24"/>
      <c r="AN349" s="24"/>
      <c r="AO349" s="24"/>
      <c r="AP349" s="24"/>
      <c r="AQ349" s="24"/>
    </row>
    <row r="350" spans="2:43">
      <c r="B350" s="3" t="s">
        <v>151</v>
      </c>
      <c r="C350" s="3" t="s">
        <v>194</v>
      </c>
      <c r="D350" s="3" t="s">
        <v>198</v>
      </c>
      <c r="E350" s="3" t="b">
        <v>1</v>
      </c>
      <c r="F350" s="3">
        <v>3</v>
      </c>
      <c r="G350" s="3"/>
      <c r="H350" s="1" t="s">
        <v>153</v>
      </c>
      <c r="I350" s="1" t="s">
        <v>156</v>
      </c>
      <c r="J350" s="1" t="s">
        <v>156</v>
      </c>
      <c r="K350" s="3"/>
      <c r="L350" s="3"/>
      <c r="M350" s="3"/>
      <c r="N35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0" s="29"/>
      <c r="P350" s="27" t="str">
        <f>tbGroup[[#This Row],[Camp]]&amp;"-"&amp;tbGroup[[#This Row],[Difficulty]]&amp;"-"&amp;GET_GROUP_NAME(tbGroup[[#This Row],[IsBoss]],tbGroup[[#This Row],[Hero1]:[Soldier3]])&amp;tbGroup[[#This Row],[Suffix]]</f>
        <v>三国-变态-[B]盾英+法英+法英</v>
      </c>
      <c r="Q350" s="15" t="s">
        <v>40</v>
      </c>
      <c r="R350" s="15">
        <v>2</v>
      </c>
      <c r="S350" s="15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  <c r="AD350" s="24"/>
      <c r="AE350" s="24"/>
      <c r="AF350" s="24"/>
      <c r="AG350" s="24"/>
      <c r="AH350" s="24"/>
      <c r="AI350" s="24"/>
      <c r="AJ350" s="24"/>
      <c r="AK350" s="24"/>
      <c r="AL350" s="24"/>
      <c r="AM350" s="24"/>
      <c r="AN350" s="24"/>
      <c r="AO350" s="24"/>
      <c r="AP350" s="24"/>
      <c r="AQ350" s="24"/>
    </row>
    <row r="351" spans="2:43">
      <c r="B351" s="3" t="s">
        <v>151</v>
      </c>
      <c r="C351" s="3" t="s">
        <v>194</v>
      </c>
      <c r="D351" s="3" t="s">
        <v>198</v>
      </c>
      <c r="E351" s="3" t="b">
        <v>1</v>
      </c>
      <c r="F351" s="3">
        <v>3</v>
      </c>
      <c r="G351" s="3"/>
      <c r="H351" s="1" t="s">
        <v>153</v>
      </c>
      <c r="I351" s="1" t="s">
        <v>157</v>
      </c>
      <c r="J351" s="1" t="s">
        <v>157</v>
      </c>
      <c r="K351" s="3"/>
      <c r="L351" s="3"/>
      <c r="M351" s="3"/>
      <c r="N35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1" s="29"/>
      <c r="P351" s="27" t="str">
        <f>tbGroup[[#This Row],[Camp]]&amp;"-"&amp;tbGroup[[#This Row],[Difficulty]]&amp;"-"&amp;GET_GROUP_NAME(tbGroup[[#This Row],[IsBoss]],tbGroup[[#This Row],[Hero1]:[Soldier3]])&amp;tbGroup[[#This Row],[Suffix]]</f>
        <v>三国-变态-[B]盾英+刺英+刺英</v>
      </c>
      <c r="Q351" s="15" t="s">
        <v>40</v>
      </c>
      <c r="R351" s="15">
        <v>2</v>
      </c>
      <c r="S351" s="15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  <c r="AD351" s="24"/>
      <c r="AE351" s="24"/>
      <c r="AF351" s="24"/>
      <c r="AG351" s="24"/>
      <c r="AH351" s="24"/>
      <c r="AI351" s="24"/>
      <c r="AJ351" s="24"/>
      <c r="AK351" s="24"/>
      <c r="AL351" s="24"/>
      <c r="AM351" s="24"/>
      <c r="AN351" s="24"/>
      <c r="AO351" s="24"/>
      <c r="AP351" s="24"/>
      <c r="AQ351" s="24"/>
    </row>
    <row r="352" spans="2:43">
      <c r="B352" s="3" t="s">
        <v>151</v>
      </c>
      <c r="C352" s="3" t="s">
        <v>194</v>
      </c>
      <c r="D352" s="3" t="s">
        <v>198</v>
      </c>
      <c r="E352" s="3" t="b">
        <v>1</v>
      </c>
      <c r="F352" s="3">
        <v>3</v>
      </c>
      <c r="G352" s="3"/>
      <c r="H352" s="1" t="s">
        <v>153</v>
      </c>
      <c r="I352" s="1" t="s">
        <v>154</v>
      </c>
      <c r="J352" s="1" t="s">
        <v>155</v>
      </c>
      <c r="K352" s="3"/>
      <c r="L352" s="3"/>
      <c r="M352" s="3"/>
      <c r="N35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2" s="29"/>
      <c r="P352" s="27" t="str">
        <f>tbGroup[[#This Row],[Camp]]&amp;"-"&amp;tbGroup[[#This Row],[Difficulty]]&amp;"-"&amp;GET_GROUP_NAME(tbGroup[[#This Row],[IsBoss]],tbGroup[[#This Row],[Hero1]:[Soldier3]])&amp;tbGroup[[#This Row],[Suffix]]</f>
        <v>三国-变态-[B]盾英+强英+炼英</v>
      </c>
      <c r="Q352" s="15" t="s">
        <v>40</v>
      </c>
      <c r="R352" s="15">
        <v>2</v>
      </c>
      <c r="S352" s="15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  <c r="AD352" s="24"/>
      <c r="AE352" s="24"/>
      <c r="AF352" s="24"/>
      <c r="AG352" s="24"/>
      <c r="AH352" s="24"/>
      <c r="AI352" s="24"/>
      <c r="AJ352" s="24"/>
      <c r="AK352" s="24"/>
      <c r="AL352" s="24"/>
      <c r="AM352" s="24"/>
      <c r="AN352" s="24"/>
      <c r="AO352" s="24"/>
      <c r="AP352" s="24"/>
      <c r="AQ352" s="24"/>
    </row>
    <row r="353" spans="2:43">
      <c r="B353" s="3" t="s">
        <v>151</v>
      </c>
      <c r="C353" s="3" t="s">
        <v>194</v>
      </c>
      <c r="D353" s="3" t="s">
        <v>198</v>
      </c>
      <c r="E353" s="3" t="b">
        <v>1</v>
      </c>
      <c r="F353" s="3">
        <v>3</v>
      </c>
      <c r="G353" s="3"/>
      <c r="H353" s="1" t="s">
        <v>153</v>
      </c>
      <c r="I353" s="1" t="s">
        <v>154</v>
      </c>
      <c r="J353" s="1" t="s">
        <v>156</v>
      </c>
      <c r="K353" s="3"/>
      <c r="L353" s="3"/>
      <c r="M353" s="3"/>
      <c r="N35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3" s="29"/>
      <c r="P353" s="27" t="str">
        <f>tbGroup[[#This Row],[Camp]]&amp;"-"&amp;tbGroup[[#This Row],[Difficulty]]&amp;"-"&amp;GET_GROUP_NAME(tbGroup[[#This Row],[IsBoss]],tbGroup[[#This Row],[Hero1]:[Soldier3]])&amp;tbGroup[[#This Row],[Suffix]]</f>
        <v>三国-变态-[B]盾英+强英+法英</v>
      </c>
      <c r="Q353" s="15" t="s">
        <v>40</v>
      </c>
      <c r="R353" s="15">
        <v>2</v>
      </c>
      <c r="S353" s="15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  <c r="AD353" s="24"/>
      <c r="AE353" s="24"/>
      <c r="AF353" s="24"/>
      <c r="AG353" s="24"/>
      <c r="AH353" s="24"/>
      <c r="AI353" s="24"/>
      <c r="AJ353" s="24"/>
      <c r="AK353" s="24"/>
      <c r="AL353" s="24"/>
      <c r="AM353" s="24"/>
      <c r="AN353" s="24"/>
      <c r="AO353" s="24"/>
      <c r="AP353" s="24"/>
      <c r="AQ353" s="24"/>
    </row>
    <row r="354" spans="2:43">
      <c r="B354" s="3" t="s">
        <v>151</v>
      </c>
      <c r="C354" s="3" t="s">
        <v>194</v>
      </c>
      <c r="D354" s="3" t="s">
        <v>198</v>
      </c>
      <c r="E354" s="3" t="b">
        <v>1</v>
      </c>
      <c r="F354" s="3">
        <v>3</v>
      </c>
      <c r="G354" s="3"/>
      <c r="H354" s="1" t="s">
        <v>153</v>
      </c>
      <c r="I354" s="1" t="s">
        <v>155</v>
      </c>
      <c r="J354" s="1" t="s">
        <v>156</v>
      </c>
      <c r="K354" s="3"/>
      <c r="L354" s="3"/>
      <c r="M354" s="3"/>
      <c r="N35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4" s="29"/>
      <c r="P354" s="27" t="str">
        <f>tbGroup[[#This Row],[Camp]]&amp;"-"&amp;tbGroup[[#This Row],[Difficulty]]&amp;"-"&amp;GET_GROUP_NAME(tbGroup[[#This Row],[IsBoss]],tbGroup[[#This Row],[Hero1]:[Soldier3]])&amp;tbGroup[[#This Row],[Suffix]]</f>
        <v>三国-变态-[B]盾英+炼英+法英</v>
      </c>
      <c r="Q354" s="15" t="s">
        <v>40</v>
      </c>
      <c r="R354" s="15">
        <v>2</v>
      </c>
      <c r="S354" s="15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  <c r="AD354" s="24"/>
      <c r="AE354" s="24"/>
      <c r="AF354" s="24"/>
      <c r="AG354" s="24"/>
      <c r="AH354" s="24"/>
      <c r="AI354" s="24"/>
      <c r="AJ354" s="24"/>
      <c r="AK354" s="24"/>
      <c r="AL354" s="24"/>
      <c r="AM354" s="24"/>
      <c r="AN354" s="24"/>
      <c r="AO354" s="24"/>
      <c r="AP354" s="24"/>
      <c r="AQ354" s="24"/>
    </row>
    <row r="355" spans="2:43">
      <c r="B355" s="3" t="s">
        <v>151</v>
      </c>
      <c r="C355" s="3" t="s">
        <v>194</v>
      </c>
      <c r="D355" s="3" t="s">
        <v>198</v>
      </c>
      <c r="E355" s="3" t="b">
        <v>1</v>
      </c>
      <c r="F355" s="3">
        <v>3</v>
      </c>
      <c r="G355" s="3"/>
      <c r="H355" s="1" t="s">
        <v>153</v>
      </c>
      <c r="I355" s="1" t="s">
        <v>155</v>
      </c>
      <c r="J355" s="1" t="s">
        <v>157</v>
      </c>
      <c r="K355" s="3"/>
      <c r="L355" s="3"/>
      <c r="M355" s="3"/>
      <c r="N35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5" s="29"/>
      <c r="P355" s="27" t="str">
        <f>tbGroup[[#This Row],[Camp]]&amp;"-"&amp;tbGroup[[#This Row],[Difficulty]]&amp;"-"&amp;GET_GROUP_NAME(tbGroup[[#This Row],[IsBoss]],tbGroup[[#This Row],[Hero1]:[Soldier3]])&amp;tbGroup[[#This Row],[Suffix]]</f>
        <v>三国-变态-[B]盾英+炼英+刺英</v>
      </c>
      <c r="Q355" s="15" t="s">
        <v>40</v>
      </c>
      <c r="R355" s="15">
        <v>2</v>
      </c>
      <c r="S355" s="15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  <c r="AD355" s="24"/>
      <c r="AE355" s="24"/>
      <c r="AF355" s="24"/>
      <c r="AG355" s="24"/>
      <c r="AH355" s="24"/>
      <c r="AI355" s="24"/>
      <c r="AJ355" s="24"/>
      <c r="AK355" s="24"/>
      <c r="AL355" s="24"/>
      <c r="AM355" s="24"/>
      <c r="AN355" s="24"/>
      <c r="AO355" s="24"/>
      <c r="AP355" s="24"/>
      <c r="AQ355" s="24"/>
    </row>
    <row r="356" spans="2:43">
      <c r="B356" s="3" t="s">
        <v>151</v>
      </c>
      <c r="C356" s="3" t="s">
        <v>194</v>
      </c>
      <c r="D356" s="3" t="s">
        <v>198</v>
      </c>
      <c r="E356" s="3" t="b">
        <v>1</v>
      </c>
      <c r="F356" s="3">
        <v>3</v>
      </c>
      <c r="G356" s="3"/>
      <c r="H356" s="1" t="s">
        <v>153</v>
      </c>
      <c r="I356" s="1" t="s">
        <v>156</v>
      </c>
      <c r="J356" s="1" t="s">
        <v>157</v>
      </c>
      <c r="K356" s="3"/>
      <c r="L356" s="3"/>
      <c r="M356" s="3"/>
      <c r="N35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6" s="29"/>
      <c r="P356" s="27" t="str">
        <f>tbGroup[[#This Row],[Camp]]&amp;"-"&amp;tbGroup[[#This Row],[Difficulty]]&amp;"-"&amp;GET_GROUP_NAME(tbGroup[[#This Row],[IsBoss]],tbGroup[[#This Row],[Hero1]:[Soldier3]])&amp;tbGroup[[#This Row],[Suffix]]</f>
        <v>三国-变态-[B]盾英+法英+刺英</v>
      </c>
      <c r="Q356" s="15" t="s">
        <v>40</v>
      </c>
      <c r="R356" s="15">
        <v>2</v>
      </c>
      <c r="S356" s="15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  <c r="AD356" s="24"/>
      <c r="AE356" s="24"/>
      <c r="AF356" s="24"/>
      <c r="AG356" s="24"/>
      <c r="AH356" s="24"/>
      <c r="AI356" s="24"/>
      <c r="AJ356" s="24"/>
      <c r="AK356" s="24"/>
      <c r="AL356" s="24"/>
      <c r="AM356" s="24"/>
      <c r="AN356" s="24"/>
      <c r="AO356" s="24"/>
      <c r="AP356" s="24"/>
      <c r="AQ356" s="24"/>
    </row>
  </sheetData>
  <phoneticPr fontId="28" type="noConversion"/>
  <conditionalFormatting sqref="N5:N356">
    <cfRule type="cellIs" dxfId="14" priority="3" operator="equal">
      <formula>FALSE</formula>
    </cfRule>
  </conditionalFormatting>
  <conditionalFormatting sqref="Q5:R356">
    <cfRule type="expression" dxfId="13" priority="1">
      <formula>ISBLANK(Q5)</formula>
    </cfRule>
  </conditionalFormatting>
  <conditionalFormatting sqref="P5:P356">
    <cfRule type="duplicateValues" dxfId="12" priority="73"/>
  </conditionalFormatting>
  <dataValidations count="8">
    <dataValidation type="list" allowBlank="1" showInputMessage="1" showErrorMessage="1" sqref="B5:B356">
      <formula1>"三国,黄巾"</formula1>
    </dataValidation>
    <dataValidation type="list" allowBlank="1" showInputMessage="1" showErrorMessage="1" sqref="C5:C356">
      <formula1>"简单,普通,困难,超难,变态"</formula1>
    </dataValidation>
    <dataValidation type="list" allowBlank="1" showInputMessage="1" showErrorMessage="1" sqref="F5:G356">
      <formula1>"0,1,2,3"</formula1>
    </dataValidation>
    <dataValidation type="list" allowBlank="1" showInputMessage="1" showErrorMessage="1" sqref="H5:J356">
      <formula1>HeroShortNames</formula1>
    </dataValidation>
    <dataValidation type="list" allowBlank="1" showInputMessage="1" showErrorMessage="1" sqref="K5:M356">
      <formula1>SoldierShortNames</formula1>
    </dataValidation>
    <dataValidation type="list" allowBlank="1" showInputMessage="1" showErrorMessage="1" sqref="S5:S356 E5:E356">
      <formula1>"TRUE,FALSE"</formula1>
    </dataValidation>
    <dataValidation type="list" allowBlank="1" showInputMessage="1" showErrorMessage="1" sqref="Q5:Q356">
      <formula1>Formations</formula1>
    </dataValidation>
    <dataValidation type="list" allowBlank="1" showInputMessage="1" showErrorMessage="1" sqref="R5:R356">
      <formula1>"0,1,2,3,4,5,6,7,8"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GenGroupInputJson">
                <anchor moveWithCells="1" sizeWithCells="1">
                  <from>
                    <xdr:col>1</xdr:col>
                    <xdr:colOff>9525</xdr:colOff>
                    <xdr:row>0</xdr:row>
                    <xdr:rowOff>209550</xdr:rowOff>
                  </from>
                  <to>
                    <xdr:col>2</xdr:col>
                    <xdr:colOff>200025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ReadGroupOutputAndUpdateToStageEnemy">
                <anchor moveWithCells="1" sizeWithCells="1">
                  <from>
                    <xdr:col>8</xdr:col>
                    <xdr:colOff>9525</xdr:colOff>
                    <xdr:row>0</xdr:row>
                    <xdr:rowOff>209550</xdr:rowOff>
                  </from>
                  <to>
                    <xdr:col>11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W596"/>
  <sheetViews>
    <sheetView showGridLines="0" zoomScale="90" zoomScaleNormal="90" workbookViewId="0">
      <pane ySplit="4" topLeftCell="A5" activePane="bottomLeft" state="frozen"/>
      <selection activeCell="E1" sqref="E1:E1048576"/>
      <selection pane="bottomLeft" activeCell="V19" sqref="V19"/>
    </sheetView>
  </sheetViews>
  <sheetFormatPr defaultColWidth="9" defaultRowHeight="16.5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9.25" style="7" customWidth="1"/>
    <col min="6" max="6" width="8.75" style="7" customWidth="1"/>
    <col min="7" max="7" width="8.625" style="7" customWidth="1"/>
    <col min="8" max="8" width="8.125" customWidth="1"/>
    <col min="9" max="11" width="9" style="7"/>
    <col min="12" max="14" width="10.5" style="7" customWidth="1"/>
    <col min="15" max="15" width="14" style="7" customWidth="1"/>
    <col min="16" max="16" width="10.5" style="7" customWidth="1"/>
    <col min="17" max="17" width="8.375" style="7" customWidth="1"/>
    <col min="18" max="18" width="12.25" style="7" customWidth="1"/>
    <col min="19" max="19" width="20.625" style="7" customWidth="1"/>
    <col min="20" max="41" width="9" style="7"/>
    <col min="42" max="42" width="9" style="7" customWidth="1"/>
    <col min="43" max="16384" width="9" style="7"/>
  </cols>
  <sheetData>
    <row r="1" spans="2:23">
      <c r="H1" s="7"/>
    </row>
    <row r="2" spans="2:23">
      <c r="H2" s="7"/>
    </row>
    <row r="3" spans="2:23">
      <c r="H3" s="7"/>
    </row>
    <row r="4" spans="2:23">
      <c r="B4" s="8" t="s">
        <v>492</v>
      </c>
      <c r="C4" s="34" t="s">
        <v>1290</v>
      </c>
      <c r="D4" s="7" t="s">
        <v>482</v>
      </c>
      <c r="E4" s="36" t="s">
        <v>1312</v>
      </c>
      <c r="F4" s="7" t="s">
        <v>491</v>
      </c>
      <c r="G4" s="7" t="s">
        <v>489</v>
      </c>
      <c r="H4" s="7" t="s">
        <v>490</v>
      </c>
      <c r="I4" s="8" t="s">
        <v>493</v>
      </c>
      <c r="J4" s="8" t="s">
        <v>494</v>
      </c>
      <c r="K4" s="8" t="s">
        <v>495</v>
      </c>
      <c r="L4" s="7" t="s">
        <v>483</v>
      </c>
      <c r="M4" s="7" t="s">
        <v>484</v>
      </c>
      <c r="N4" s="7" t="s">
        <v>485</v>
      </c>
      <c r="O4" s="7" t="s">
        <v>487</v>
      </c>
      <c r="P4" s="7" t="s">
        <v>488</v>
      </c>
      <c r="Q4" s="8" t="s">
        <v>496</v>
      </c>
      <c r="R4" s="17" t="s">
        <v>1127</v>
      </c>
      <c r="S4" s="7" t="s">
        <v>486</v>
      </c>
    </row>
    <row r="5" spans="2:23">
      <c r="B5" s="7" t="s">
        <v>1254</v>
      </c>
      <c r="C5" s="34" t="s">
        <v>1289</v>
      </c>
      <c r="D5" s="7">
        <v>1</v>
      </c>
      <c r="E5" s="7">
        <v>0</v>
      </c>
      <c r="F5" s="7" t="s">
        <v>597</v>
      </c>
      <c r="G5" s="7" t="s">
        <v>1340</v>
      </c>
      <c r="H5" s="7"/>
      <c r="I5" s="8"/>
      <c r="J5" s="8"/>
      <c r="K5" s="8"/>
      <c r="L5" s="7" t="s">
        <v>49</v>
      </c>
      <c r="O5" s="26">
        <f>GET_OK_GROUPS_COUNT(tbStoryEnemy[[#This Row],[Camp]],tbStoryEnemy[[#This Row],[Difficulty]],tbStoryEnemy[[#This Row],[IsBoss]],tbStoryEnemy[[#This Row],[Hero1]:[Soldier3]])</f>
        <v>2</v>
      </c>
      <c r="P5" s="7">
        <v>2</v>
      </c>
      <c r="Q5" s="8"/>
      <c r="R5" s="17"/>
      <c r="S5" s="26" t="str">
        <f>GET_OK_GROUP(tbStoryEnemy[[#This Row],[Camp]],tbStoryEnemy[[#This Row],[Difficulty]],tbStoryEnemy[[#This Row],[IsBoss]],tbStoryEnemy[[#This Row],[Hero1]:[Soldier3]],tbStoryEnemy[[#This Row],[GroupID]])</f>
        <v>黄巾-普通-教徒1</v>
      </c>
    </row>
    <row r="6" spans="2:23">
      <c r="B6" s="7" t="s">
        <v>1254</v>
      </c>
      <c r="C6" s="34" t="s">
        <v>1289</v>
      </c>
      <c r="D6" s="7">
        <v>2</v>
      </c>
      <c r="E6" s="7">
        <v>0</v>
      </c>
      <c r="F6" s="7" t="s">
        <v>597</v>
      </c>
      <c r="G6" s="7" t="s">
        <v>1169</v>
      </c>
      <c r="H6" s="7"/>
      <c r="I6" s="23" t="s">
        <v>1183</v>
      </c>
      <c r="O6" s="26">
        <f>GET_OK_GROUPS_COUNT(tbStoryEnemy[[#This Row],[Camp]],tbStoryEnemy[[#This Row],[Difficulty]],tbStoryEnemy[[#This Row],[IsBoss]],tbStoryEnemy[[#This Row],[Hero1]:[Soldier3]])</f>
        <v>1</v>
      </c>
      <c r="P6" s="7">
        <v>1</v>
      </c>
      <c r="Q6" s="9" t="s">
        <v>912</v>
      </c>
      <c r="R6" s="9"/>
      <c r="S6" s="26" t="str">
        <f>GET_OK_GROUP(tbStoryEnemy[[#This Row],[Camp]],tbStoryEnemy[[#This Row],[Difficulty]],tbStoryEnemy[[#This Row],[IsBoss]],tbStoryEnemy[[#This Row],[Hero1]:[Soldier3]],tbStoryEnemy[[#This Row],[GroupID]])</f>
        <v>黄巾-困难-盾英</v>
      </c>
    </row>
    <row r="7" spans="2:23">
      <c r="B7" s="11" t="s">
        <v>1255</v>
      </c>
      <c r="C7" s="34" t="s">
        <v>1289</v>
      </c>
      <c r="D7" s="7">
        <v>1</v>
      </c>
      <c r="E7" s="7">
        <v>0</v>
      </c>
      <c r="F7" s="9" t="s">
        <v>597</v>
      </c>
      <c r="G7" s="7" t="s">
        <v>1338</v>
      </c>
      <c r="H7" s="7"/>
      <c r="I7" s="23"/>
      <c r="L7" s="7" t="s">
        <v>28</v>
      </c>
      <c r="O7" s="26">
        <f>GET_OK_GROUPS_COUNT(tbStoryEnemy[[#This Row],[Camp]],tbStoryEnemy[[#This Row],[Difficulty]],tbStoryEnemy[[#This Row],[IsBoss]],tbStoryEnemy[[#This Row],[Hero1]:[Soldier3]])</f>
        <v>2</v>
      </c>
      <c r="P7" s="7">
        <v>1</v>
      </c>
      <c r="Q7" s="9"/>
      <c r="R7" s="9"/>
      <c r="S7" s="26" t="str">
        <f>GET_OK_GROUP(tbStoryEnemy[[#This Row],[Camp]],tbStoryEnemy[[#This Row],[Difficulty]],tbStoryEnemy[[#This Row],[IsBoss]],tbStoryEnemy[[#This Row],[Hero1]:[Soldier3]],tbStoryEnemy[[#This Row],[GroupID]])</f>
        <v>黄巾-普通-法兵</v>
      </c>
    </row>
    <row r="8" spans="2:23">
      <c r="B8" s="11" t="s">
        <v>1255</v>
      </c>
      <c r="C8" s="34" t="s">
        <v>1289</v>
      </c>
      <c r="D8" s="9">
        <v>2</v>
      </c>
      <c r="E8" s="9">
        <v>0</v>
      </c>
      <c r="F8" s="9" t="s">
        <v>597</v>
      </c>
      <c r="G8" s="9" t="s">
        <v>1169</v>
      </c>
      <c r="H8" s="9"/>
      <c r="I8" s="23" t="s">
        <v>326</v>
      </c>
      <c r="J8" s="9"/>
      <c r="K8" s="9"/>
      <c r="L8" s="9"/>
      <c r="M8" s="9"/>
      <c r="N8" s="9"/>
      <c r="O8" s="26">
        <f>GET_OK_GROUPS_COUNT(tbStoryEnemy[[#This Row],[Camp]],tbStoryEnemy[[#This Row],[Difficulty]],tbStoryEnemy[[#This Row],[IsBoss]],tbStoryEnemy[[#This Row],[Hero1]:[Soldier3]])</f>
        <v>3</v>
      </c>
      <c r="P8" s="7">
        <v>2</v>
      </c>
      <c r="Q8" s="9" t="s">
        <v>912</v>
      </c>
      <c r="R8" s="10"/>
      <c r="S8" s="26" t="str">
        <f>GET_OK_GROUP(tbStoryEnemy[[#This Row],[Camp]],tbStoryEnemy[[#This Row],[Difficulty]],tbStoryEnemy[[#This Row],[IsBoss]],tbStoryEnemy[[#This Row],[Hero1]:[Soldier3]],tbStoryEnemy[[#This Row],[GroupID]])</f>
        <v>黄巾-困难-法英1</v>
      </c>
    </row>
    <row r="9" spans="2:23">
      <c r="B9" s="24" t="s">
        <v>603</v>
      </c>
      <c r="C9" s="34" t="s">
        <v>1289</v>
      </c>
      <c r="D9" s="24">
        <v>1</v>
      </c>
      <c r="E9" s="24">
        <v>0</v>
      </c>
      <c r="F9" s="24" t="s">
        <v>597</v>
      </c>
      <c r="G9" s="24" t="s">
        <v>1338</v>
      </c>
      <c r="H9" s="24"/>
      <c r="I9" s="24"/>
      <c r="J9" s="24"/>
      <c r="K9" s="24"/>
      <c r="L9" s="24" t="s">
        <v>49</v>
      </c>
      <c r="M9" s="24"/>
      <c r="N9" s="24"/>
      <c r="O9" s="26">
        <f>GET_OK_GROUPS_COUNT(tbStoryEnemy[[#This Row],[Camp]],tbStoryEnemy[[#This Row],[Difficulty]],tbStoryEnemy[[#This Row],[IsBoss]],tbStoryEnemy[[#This Row],[Hero1]:[Soldier3]])</f>
        <v>2</v>
      </c>
      <c r="P9" s="24">
        <v>2</v>
      </c>
      <c r="Q9" s="25" t="s">
        <v>912</v>
      </c>
      <c r="R9" s="24"/>
      <c r="S9" s="26" t="str">
        <f>GET_OK_GROUP(tbStoryEnemy[[#This Row],[Camp]],tbStoryEnemy[[#This Row],[Difficulty]],tbStoryEnemy[[#This Row],[IsBoss]],tbStoryEnemy[[#This Row],[Hero1]:[Soldier3]],tbStoryEnemy[[#This Row],[GroupID]])</f>
        <v>黄巾-普通-教徒1</v>
      </c>
      <c r="V9" s="32" t="s">
        <v>1273</v>
      </c>
      <c r="W9" s="32" t="s">
        <v>1274</v>
      </c>
    </row>
    <row r="10" spans="2:23">
      <c r="B10" s="24" t="s">
        <v>603</v>
      </c>
      <c r="C10" s="34" t="s">
        <v>1289</v>
      </c>
      <c r="D10" s="24">
        <v>2</v>
      </c>
      <c r="E10" s="24">
        <v>0</v>
      </c>
      <c r="F10" s="24" t="s">
        <v>597</v>
      </c>
      <c r="G10" s="24" t="s">
        <v>1169</v>
      </c>
      <c r="H10" s="24"/>
      <c r="I10" s="24" t="s">
        <v>327</v>
      </c>
      <c r="J10" s="24"/>
      <c r="K10" s="24"/>
      <c r="L10" s="24" t="s">
        <v>49</v>
      </c>
      <c r="M10" s="24"/>
      <c r="N10" s="24"/>
      <c r="O10" s="26">
        <f>GET_OK_GROUPS_COUNT(tbStoryEnemy[[#This Row],[Camp]],tbStoryEnemy[[#This Row],[Difficulty]],tbStoryEnemy[[#This Row],[IsBoss]],tbStoryEnemy[[#This Row],[Hero1]:[Soldier3]])</f>
        <v>1</v>
      </c>
      <c r="P10" s="24">
        <v>1</v>
      </c>
      <c r="Q10" s="25"/>
      <c r="R10" s="24"/>
      <c r="S10" s="26" t="str">
        <f>GET_OK_GROUP(tbStoryEnemy[[#This Row],[Camp]],tbStoryEnemy[[#This Row],[Difficulty]],tbStoryEnemy[[#This Row],[IsBoss]],tbStoryEnemy[[#This Row],[Hero1]:[Soldier3]],tbStoryEnemy[[#This Row],[GroupID]])</f>
        <v>黄巾-困难-法英+教徒</v>
      </c>
      <c r="V10" s="32" t="s">
        <v>1275</v>
      </c>
      <c r="W10" s="7" t="str">
        <f>VLOOKUP(表13[name],tbUnitNameToType[],3,FALSE)</f>
        <v>法英</v>
      </c>
    </row>
    <row r="11" spans="2:23">
      <c r="B11" s="24" t="s">
        <v>1256</v>
      </c>
      <c r="C11" s="34" t="s">
        <v>1289</v>
      </c>
      <c r="D11" s="24">
        <v>1</v>
      </c>
      <c r="E11" s="24">
        <v>0</v>
      </c>
      <c r="F11" s="24" t="s">
        <v>597</v>
      </c>
      <c r="G11" s="24" t="s">
        <v>1169</v>
      </c>
      <c r="H11" s="24"/>
      <c r="I11" s="24"/>
      <c r="J11" s="24"/>
      <c r="K11" s="24"/>
      <c r="L11" s="24" t="s">
        <v>49</v>
      </c>
      <c r="M11" s="24"/>
      <c r="N11" s="24"/>
      <c r="O11" s="26">
        <f>GET_OK_GROUPS_COUNT(tbStoryEnemy[[#This Row],[Camp]],tbStoryEnemy[[#This Row],[Difficulty]],tbStoryEnemy[[#This Row],[IsBoss]],tbStoryEnemy[[#This Row],[Hero1]:[Soldier3]])</f>
        <v>1</v>
      </c>
      <c r="P11" s="24">
        <v>1</v>
      </c>
      <c r="Q11" s="25" t="s">
        <v>912</v>
      </c>
      <c r="R11" s="24"/>
      <c r="S11" s="26" t="str">
        <f>GET_OK_GROUP(tbStoryEnemy[[#This Row],[Camp]],tbStoryEnemy[[#This Row],[Difficulty]],tbStoryEnemy[[#This Row],[IsBoss]],tbStoryEnemy[[#This Row],[Hero1]:[Soldier3]],tbStoryEnemy[[#This Row],[GroupID]])</f>
        <v>黄巾-困难-教徒</v>
      </c>
      <c r="V11" s="32" t="s">
        <v>1276</v>
      </c>
      <c r="W11" s="32" t="str">
        <f>VLOOKUP(表13[name],tbUnitNameToType[],3,FALSE)</f>
        <v>法英</v>
      </c>
    </row>
    <row r="12" spans="2:23">
      <c r="B12" s="24" t="s">
        <v>1256</v>
      </c>
      <c r="C12" s="34" t="s">
        <v>1289</v>
      </c>
      <c r="D12" s="24">
        <v>2</v>
      </c>
      <c r="E12" s="24">
        <v>0</v>
      </c>
      <c r="F12" s="24" t="s">
        <v>597</v>
      </c>
      <c r="G12" s="24" t="s">
        <v>1169</v>
      </c>
      <c r="H12" s="24" t="b">
        <v>1</v>
      </c>
      <c r="I12" s="24" t="s">
        <v>425</v>
      </c>
      <c r="J12" s="24"/>
      <c r="K12" s="24"/>
      <c r="L12" s="24"/>
      <c r="M12" s="24"/>
      <c r="N12" s="24"/>
      <c r="O12" s="26">
        <f>GET_OK_GROUPS_COUNT(tbStoryEnemy[[#This Row],[Camp]],tbStoryEnemy[[#This Row],[Difficulty]],tbStoryEnemy[[#This Row],[IsBoss]],tbStoryEnemy[[#This Row],[Hero1]:[Soldier3]])</f>
        <v>2</v>
      </c>
      <c r="P12" s="24">
        <v>2</v>
      </c>
      <c r="Q12" s="25" t="s">
        <v>912</v>
      </c>
      <c r="R12" s="24"/>
      <c r="S12" s="26" t="str">
        <f>GET_OK_GROUP(tbStoryEnemy[[#This Row],[Camp]],tbStoryEnemy[[#This Row],[Difficulty]],tbStoryEnemy[[#This Row],[IsBoss]],tbStoryEnemy[[#This Row],[Hero1]:[Soldier3]],tbStoryEnemy[[#This Row],[GroupID]])</f>
        <v>黄巾-困难-[B]法英</v>
      </c>
      <c r="V12" s="34" t="s">
        <v>1183</v>
      </c>
      <c r="W12" s="34" t="str">
        <f>VLOOKUP(表13[name],tbUnitNameToType[],3,FALSE)</f>
        <v>盾英</v>
      </c>
    </row>
    <row r="13" spans="2:23">
      <c r="B13" s="24" t="s">
        <v>604</v>
      </c>
      <c r="C13" s="34" t="s">
        <v>1289</v>
      </c>
      <c r="D13" s="24">
        <v>1</v>
      </c>
      <c r="E13" s="24">
        <v>0</v>
      </c>
      <c r="F13" s="24" t="s">
        <v>151</v>
      </c>
      <c r="G13" s="24" t="s">
        <v>1338</v>
      </c>
      <c r="H13" s="24"/>
      <c r="I13" s="24"/>
      <c r="J13" s="24"/>
      <c r="K13" s="24"/>
      <c r="L13" s="24" t="s">
        <v>49</v>
      </c>
      <c r="M13" s="24"/>
      <c r="N13" s="24"/>
      <c r="O13" s="26">
        <f>GET_OK_GROUPS_COUNT(tbStoryEnemy[[#This Row],[Camp]],tbStoryEnemy[[#This Row],[Difficulty]],tbStoryEnemy[[#This Row],[IsBoss]],tbStoryEnemy[[#This Row],[Hero1]:[Soldier3]])</f>
        <v>1</v>
      </c>
      <c r="P13" s="24">
        <v>1</v>
      </c>
      <c r="Q13" s="25" t="s">
        <v>912</v>
      </c>
      <c r="R13" s="24"/>
      <c r="S13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  <c r="V13" s="35" t="s">
        <v>1298</v>
      </c>
      <c r="W13" s="35" t="str">
        <f>VLOOKUP(表13[name],tbUnitNameToType[],3,FALSE)</f>
        <v>法英</v>
      </c>
    </row>
    <row r="14" spans="2:23">
      <c r="B14" s="24" t="s">
        <v>604</v>
      </c>
      <c r="C14" s="34" t="s">
        <v>1289</v>
      </c>
      <c r="D14" s="24">
        <v>2</v>
      </c>
      <c r="E14" s="24">
        <v>0</v>
      </c>
      <c r="F14" s="24" t="s">
        <v>151</v>
      </c>
      <c r="G14" s="24" t="s">
        <v>1169</v>
      </c>
      <c r="H14" s="24" t="b">
        <v>1</v>
      </c>
      <c r="I14" s="24" t="s">
        <v>328</v>
      </c>
      <c r="J14" s="24"/>
      <c r="K14" s="24"/>
      <c r="L14" s="24"/>
      <c r="M14" s="24"/>
      <c r="N14" s="24"/>
      <c r="O14" s="26">
        <f>GET_OK_GROUPS_COUNT(tbStoryEnemy[[#This Row],[Camp]],tbStoryEnemy[[#This Row],[Difficulty]],tbStoryEnemy[[#This Row],[IsBoss]],tbStoryEnemy[[#This Row],[Hero1]:[Soldier3]])</f>
        <v>4</v>
      </c>
      <c r="P14" s="24">
        <v>1</v>
      </c>
      <c r="Q14" s="25" t="s">
        <v>912</v>
      </c>
      <c r="R14" s="24"/>
      <c r="S14" s="26" t="str">
        <f>GET_OK_GROUP(tbStoryEnemy[[#This Row],[Camp]],tbStoryEnemy[[#This Row],[Difficulty]],tbStoryEnemy[[#This Row],[IsBoss]],tbStoryEnemy[[#This Row],[Hero1]:[Soldier3]],tbStoryEnemy[[#This Row],[GroupID]])</f>
        <v>三国-困难-[B]盾英+强兵</v>
      </c>
    </row>
    <row r="15" spans="2:23">
      <c r="B15" s="24" t="s">
        <v>605</v>
      </c>
      <c r="C15" s="34" t="s">
        <v>1289</v>
      </c>
      <c r="D15" s="24">
        <v>1</v>
      </c>
      <c r="E15" s="24">
        <v>0</v>
      </c>
      <c r="F15" s="24" t="s">
        <v>151</v>
      </c>
      <c r="G15" s="24" t="s">
        <v>1169</v>
      </c>
      <c r="H15" s="24"/>
      <c r="I15" s="34" t="s">
        <v>1166</v>
      </c>
      <c r="J15" s="24"/>
      <c r="K15" s="24"/>
      <c r="L15" s="24" t="s">
        <v>49</v>
      </c>
      <c r="M15" s="24"/>
      <c r="N15" s="24"/>
      <c r="O15" s="26">
        <f>GET_OK_GROUPS_COUNT(tbStoryEnemy[[#This Row],[Camp]],tbStoryEnemy[[#This Row],[Difficulty]],tbStoryEnemy[[#This Row],[IsBoss]],tbStoryEnemy[[#This Row],[Hero1]:[Soldier3]])</f>
        <v>1</v>
      </c>
      <c r="P15" s="24">
        <v>1</v>
      </c>
      <c r="Q15" s="25" t="s">
        <v>912</v>
      </c>
      <c r="R15" s="24"/>
      <c r="S15" s="26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16" spans="2:23">
      <c r="B16" s="24" t="s">
        <v>605</v>
      </c>
      <c r="C16" s="34" t="s">
        <v>1289</v>
      </c>
      <c r="D16" s="24">
        <v>2</v>
      </c>
      <c r="E16" s="24">
        <v>0</v>
      </c>
      <c r="F16" s="24" t="s">
        <v>151</v>
      </c>
      <c r="G16" s="24" t="s">
        <v>1169</v>
      </c>
      <c r="H16" s="24" t="b">
        <v>1</v>
      </c>
      <c r="I16" s="24" t="s">
        <v>333</v>
      </c>
      <c r="J16" s="24"/>
      <c r="K16" s="24"/>
      <c r="L16" s="24"/>
      <c r="M16" s="24"/>
      <c r="N16" s="24"/>
      <c r="O16" s="26">
        <f>GET_OK_GROUPS_COUNT(tbStoryEnemy[[#This Row],[Camp]],tbStoryEnemy[[#This Row],[Difficulty]],tbStoryEnemy[[#This Row],[IsBoss]],tbStoryEnemy[[#This Row],[Hero1]:[Soldier3]])</f>
        <v>3</v>
      </c>
      <c r="P16" s="24">
        <v>1</v>
      </c>
      <c r="Q16" s="25" t="s">
        <v>912</v>
      </c>
      <c r="R16" s="24"/>
      <c r="S16" s="26" t="str">
        <f>GET_OK_GROUP(tbStoryEnemy[[#This Row],[Camp]],tbStoryEnemy[[#This Row],[Difficulty]],tbStoryEnemy[[#This Row],[IsBoss]],tbStoryEnemy[[#This Row],[Hero1]:[Soldier3]],tbStoryEnemy[[#This Row],[GroupID]])</f>
        <v>三国-困难-[B]强英+铁兵</v>
      </c>
    </row>
    <row r="17" spans="2:19">
      <c r="B17" s="24" t="s">
        <v>606</v>
      </c>
      <c r="C17" s="34" t="s">
        <v>1289</v>
      </c>
      <c r="D17" s="24">
        <v>1</v>
      </c>
      <c r="E17" s="24">
        <v>0</v>
      </c>
      <c r="F17" s="24" t="s">
        <v>151</v>
      </c>
      <c r="G17" s="24" t="s">
        <v>1338</v>
      </c>
      <c r="H17" s="24"/>
      <c r="I17" s="24"/>
      <c r="J17" s="24"/>
      <c r="K17" s="24"/>
      <c r="L17" s="24" t="s">
        <v>25</v>
      </c>
      <c r="M17" s="24"/>
      <c r="N17" s="24"/>
      <c r="O17" s="26">
        <f>GET_OK_GROUPS_COUNT(tbStoryEnemy[[#This Row],[Camp]],tbStoryEnemy[[#This Row],[Difficulty]],tbStoryEnemy[[#This Row],[IsBoss]],tbStoryEnemy[[#This Row],[Hero1]:[Soldier3]])</f>
        <v>5</v>
      </c>
      <c r="P17" s="24">
        <v>1</v>
      </c>
      <c r="Q17" s="25" t="s">
        <v>912</v>
      </c>
      <c r="R17" s="24"/>
      <c r="S17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18" spans="2:19">
      <c r="B18" s="24" t="s">
        <v>606</v>
      </c>
      <c r="C18" s="34" t="s">
        <v>1289</v>
      </c>
      <c r="D18" s="24">
        <v>2</v>
      </c>
      <c r="E18" s="24">
        <v>0</v>
      </c>
      <c r="F18" s="24" t="s">
        <v>151</v>
      </c>
      <c r="G18" s="24" t="s">
        <v>1169</v>
      </c>
      <c r="H18" s="24"/>
      <c r="I18" s="32" t="s">
        <v>1272</v>
      </c>
      <c r="J18" s="24"/>
      <c r="K18" s="24"/>
      <c r="L18" s="24"/>
      <c r="M18" s="24"/>
      <c r="N18" s="24"/>
      <c r="O18" s="26">
        <f>GET_OK_GROUPS_COUNT(tbStoryEnemy[[#This Row],[Camp]],tbStoryEnemy[[#This Row],[Difficulty]],tbStoryEnemy[[#This Row],[IsBoss]],tbStoryEnemy[[#This Row],[Hero1]:[Soldier3]])</f>
        <v>4</v>
      </c>
      <c r="P18" s="24">
        <v>1</v>
      </c>
      <c r="Q18" s="25"/>
      <c r="R18" s="24"/>
      <c r="S18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9" spans="2:19">
      <c r="B19" s="24" t="s">
        <v>607</v>
      </c>
      <c r="C19" s="34" t="s">
        <v>1289</v>
      </c>
      <c r="D19" s="24">
        <v>1</v>
      </c>
      <c r="E19" s="24">
        <v>0</v>
      </c>
      <c r="F19" s="24" t="s">
        <v>151</v>
      </c>
      <c r="G19" s="24" t="s">
        <v>1169</v>
      </c>
      <c r="H19" s="24"/>
      <c r="I19" s="24" t="s">
        <v>382</v>
      </c>
      <c r="J19" s="24"/>
      <c r="K19" s="24"/>
      <c r="L19" s="24"/>
      <c r="M19" s="24"/>
      <c r="N19" s="24"/>
      <c r="O19" s="26">
        <f>GET_OK_GROUPS_COUNT(tbStoryEnemy[[#This Row],[Camp]],tbStoryEnemy[[#This Row],[Difficulty]],tbStoryEnemy[[#This Row],[IsBoss]],tbStoryEnemy[[#This Row],[Hero1]:[Soldier3]])</f>
        <v>4</v>
      </c>
      <c r="P19" s="24">
        <v>1</v>
      </c>
      <c r="Q19" s="25" t="s">
        <v>912</v>
      </c>
      <c r="R19" s="24"/>
      <c r="S19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0" spans="2:19">
      <c r="B20" s="24" t="s">
        <v>607</v>
      </c>
      <c r="C20" s="34" t="s">
        <v>1289</v>
      </c>
      <c r="D20" s="24">
        <v>2</v>
      </c>
      <c r="E20" s="24">
        <v>0</v>
      </c>
      <c r="F20" s="24" t="s">
        <v>151</v>
      </c>
      <c r="G20" s="24" t="s">
        <v>1169</v>
      </c>
      <c r="H20" s="24" t="b">
        <v>1</v>
      </c>
      <c r="I20" s="24" t="s">
        <v>405</v>
      </c>
      <c r="J20" s="24"/>
      <c r="K20" s="24"/>
      <c r="L20" s="24"/>
      <c r="M20" s="24"/>
      <c r="N20" s="24"/>
      <c r="O20" s="26">
        <f>GET_OK_GROUPS_COUNT(tbStoryEnemy[[#This Row],[Camp]],tbStoryEnemy[[#This Row],[Difficulty]],tbStoryEnemy[[#This Row],[IsBoss]],tbStoryEnemy[[#This Row],[Hero1]:[Soldier3]])</f>
        <v>4</v>
      </c>
      <c r="P20" s="24">
        <v>1</v>
      </c>
      <c r="Q20" s="25" t="s">
        <v>912</v>
      </c>
      <c r="R20" s="24"/>
      <c r="S20" s="26" t="str">
        <f>GET_OK_GROUP(tbStoryEnemy[[#This Row],[Camp]],tbStoryEnemy[[#This Row],[Difficulty]],tbStoryEnemy[[#This Row],[IsBoss]],tbStoryEnemy[[#This Row],[Hero1]:[Soldier3]],tbStoryEnemy[[#This Row],[GroupID]])</f>
        <v>三国-困难-[B]盾英+强兵</v>
      </c>
    </row>
    <row r="21" spans="2:19">
      <c r="B21" s="24" t="s">
        <v>622</v>
      </c>
      <c r="C21" s="34" t="s">
        <v>1289</v>
      </c>
      <c r="D21" s="24">
        <v>1</v>
      </c>
      <c r="E21" s="24">
        <v>0</v>
      </c>
      <c r="F21" s="24" t="s">
        <v>151</v>
      </c>
      <c r="G21" s="24" t="s">
        <v>1338</v>
      </c>
      <c r="H21" s="24"/>
      <c r="I21" s="24"/>
      <c r="J21" s="24"/>
      <c r="K21" s="24"/>
      <c r="L21" s="24" t="s">
        <v>49</v>
      </c>
      <c r="M21" s="24"/>
      <c r="N21" s="24"/>
      <c r="O21" s="26">
        <f>GET_OK_GROUPS_COUNT(tbStoryEnemy[[#This Row],[Camp]],tbStoryEnemy[[#This Row],[Difficulty]],tbStoryEnemy[[#This Row],[IsBoss]],tbStoryEnemy[[#This Row],[Hero1]:[Soldier3]])</f>
        <v>1</v>
      </c>
      <c r="P21" s="24">
        <v>1</v>
      </c>
      <c r="Q21" s="25" t="s">
        <v>912</v>
      </c>
      <c r="R21" s="24"/>
      <c r="S21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22" spans="2:19">
      <c r="B22" s="24" t="s">
        <v>622</v>
      </c>
      <c r="C22" s="34" t="s">
        <v>1289</v>
      </c>
      <c r="D22" s="24">
        <v>2</v>
      </c>
      <c r="E22" s="24">
        <v>0</v>
      </c>
      <c r="F22" s="24" t="s">
        <v>151</v>
      </c>
      <c r="G22" s="24" t="s">
        <v>1169</v>
      </c>
      <c r="H22" s="24"/>
      <c r="I22" s="24" t="s">
        <v>380</v>
      </c>
      <c r="J22" s="24"/>
      <c r="K22" s="24"/>
      <c r="L22" s="24"/>
      <c r="M22" s="24"/>
      <c r="N22" s="24"/>
      <c r="O22" s="26">
        <f>GET_OK_GROUPS_COUNT(tbStoryEnemy[[#This Row],[Camp]],tbStoryEnemy[[#This Row],[Difficulty]],tbStoryEnemy[[#This Row],[IsBoss]],tbStoryEnemy[[#This Row],[Hero1]:[Soldier3]])</f>
        <v>4</v>
      </c>
      <c r="P22" s="24">
        <v>3</v>
      </c>
      <c r="Q22" s="25" t="s">
        <v>912</v>
      </c>
      <c r="R22" s="24"/>
      <c r="S22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23" spans="2:19">
      <c r="B23" s="24" t="s">
        <v>623</v>
      </c>
      <c r="C23" s="34" t="s">
        <v>1289</v>
      </c>
      <c r="D23" s="24">
        <v>1</v>
      </c>
      <c r="E23" s="24">
        <v>0</v>
      </c>
      <c r="F23" s="24" t="s">
        <v>151</v>
      </c>
      <c r="G23" s="24" t="s">
        <v>1338</v>
      </c>
      <c r="H23" s="24"/>
      <c r="I23" s="24"/>
      <c r="J23" s="24"/>
      <c r="K23" s="24"/>
      <c r="L23" s="24" t="s">
        <v>49</v>
      </c>
      <c r="M23" s="24"/>
      <c r="N23" s="24"/>
      <c r="O23" s="26">
        <f>GET_OK_GROUPS_COUNT(tbStoryEnemy[[#This Row],[Camp]],tbStoryEnemy[[#This Row],[Difficulty]],tbStoryEnemy[[#This Row],[IsBoss]],tbStoryEnemy[[#This Row],[Hero1]:[Soldier3]])</f>
        <v>1</v>
      </c>
      <c r="P23" s="24">
        <v>1</v>
      </c>
      <c r="Q23" s="25" t="s">
        <v>912</v>
      </c>
      <c r="R23" s="24"/>
      <c r="S23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24" spans="2:19">
      <c r="B24" s="24" t="s">
        <v>623</v>
      </c>
      <c r="C24" s="34" t="s">
        <v>1289</v>
      </c>
      <c r="D24" s="24">
        <v>2</v>
      </c>
      <c r="E24" s="24">
        <v>0</v>
      </c>
      <c r="F24" s="24" t="s">
        <v>151</v>
      </c>
      <c r="G24" s="24" t="s">
        <v>1169</v>
      </c>
      <c r="H24" s="24"/>
      <c r="I24" s="24" t="s">
        <v>380</v>
      </c>
      <c r="J24" s="24"/>
      <c r="K24" s="24"/>
      <c r="L24" s="24" t="s">
        <v>26</v>
      </c>
      <c r="M24" s="24"/>
      <c r="N24" s="24"/>
      <c r="O24" s="26">
        <f>GET_OK_GROUPS_COUNT(tbStoryEnemy[[#This Row],[Camp]],tbStoryEnemy[[#This Row],[Difficulty]],tbStoryEnemy[[#This Row],[IsBoss]],tbStoryEnemy[[#This Row],[Hero1]:[Soldier3]])</f>
        <v>1</v>
      </c>
      <c r="P24" s="24">
        <v>1</v>
      </c>
      <c r="Q24" s="25" t="s">
        <v>912</v>
      </c>
      <c r="R24" s="24"/>
      <c r="S24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5" spans="2:19">
      <c r="B25" s="24" t="s">
        <v>624</v>
      </c>
      <c r="C25" s="34" t="s">
        <v>1289</v>
      </c>
      <c r="D25" s="24">
        <v>1</v>
      </c>
      <c r="E25" s="24">
        <v>0</v>
      </c>
      <c r="F25" s="24" t="s">
        <v>151</v>
      </c>
      <c r="G25" s="24" t="s">
        <v>1169</v>
      </c>
      <c r="H25" s="24"/>
      <c r="I25" s="24"/>
      <c r="J25" s="24"/>
      <c r="K25" s="24"/>
      <c r="L25" s="24" t="s">
        <v>34</v>
      </c>
      <c r="M25" s="24"/>
      <c r="N25" s="24"/>
      <c r="O25" s="26">
        <f>GET_OK_GROUPS_COUNT(tbStoryEnemy[[#This Row],[Camp]],tbStoryEnemy[[#This Row],[Difficulty]],tbStoryEnemy[[#This Row],[IsBoss]],tbStoryEnemy[[#This Row],[Hero1]:[Soldier3]])</f>
        <v>14</v>
      </c>
      <c r="P25" s="24">
        <v>3</v>
      </c>
      <c r="Q25" s="25" t="s">
        <v>912</v>
      </c>
      <c r="R25" s="24"/>
      <c r="S25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26" spans="2:19">
      <c r="B26" s="24" t="s">
        <v>624</v>
      </c>
      <c r="C26" s="34" t="s">
        <v>1289</v>
      </c>
      <c r="D26" s="24">
        <v>2</v>
      </c>
      <c r="E26" s="24">
        <v>0</v>
      </c>
      <c r="F26" s="24" t="s">
        <v>151</v>
      </c>
      <c r="G26" s="24" t="s">
        <v>1169</v>
      </c>
      <c r="H26" s="24" t="b">
        <v>1</v>
      </c>
      <c r="I26" s="24" t="s">
        <v>332</v>
      </c>
      <c r="J26" s="24"/>
      <c r="K26" s="24"/>
      <c r="L26" s="24" t="s">
        <v>34</v>
      </c>
      <c r="M26" s="24"/>
      <c r="N26" s="24"/>
      <c r="O26" s="26">
        <f>GET_OK_GROUPS_COUNT(tbStoryEnemy[[#This Row],[Camp]],tbStoryEnemy[[#This Row],[Difficulty]],tbStoryEnemy[[#This Row],[IsBoss]],tbStoryEnemy[[#This Row],[Hero1]:[Soldier3]])</f>
        <v>1</v>
      </c>
      <c r="P26" s="24">
        <v>1</v>
      </c>
      <c r="Q26" s="25" t="s">
        <v>332</v>
      </c>
      <c r="R26" s="24"/>
      <c r="S26" s="26" t="str">
        <f>GET_OK_GROUP(tbStoryEnemy[[#This Row],[Camp]],tbStoryEnemy[[#This Row],[Difficulty]],tbStoryEnemy[[#This Row],[IsBoss]],tbStoryEnemy[[#This Row],[Hero1]:[Soldier3]],tbStoryEnemy[[#This Row],[GroupID]])</f>
        <v>三国-困难-[B]强英+盾兵</v>
      </c>
    </row>
    <row r="27" spans="2:19">
      <c r="B27" s="24" t="s">
        <v>625</v>
      </c>
      <c r="C27" s="34" t="s">
        <v>1289</v>
      </c>
      <c r="D27" s="24">
        <v>1</v>
      </c>
      <c r="E27" s="24">
        <v>0</v>
      </c>
      <c r="F27" s="24" t="s">
        <v>151</v>
      </c>
      <c r="G27" s="24" t="s">
        <v>1338</v>
      </c>
      <c r="H27" s="24"/>
      <c r="I27" s="24"/>
      <c r="J27" s="24"/>
      <c r="K27" s="24"/>
      <c r="L27" s="24" t="s">
        <v>49</v>
      </c>
      <c r="M27" s="24"/>
      <c r="N27" s="24"/>
      <c r="O27" s="26">
        <f>GET_OK_GROUPS_COUNT(tbStoryEnemy[[#This Row],[Camp]],tbStoryEnemy[[#This Row],[Difficulty]],tbStoryEnemy[[#This Row],[IsBoss]],tbStoryEnemy[[#This Row],[Hero1]:[Soldier3]])</f>
        <v>1</v>
      </c>
      <c r="P27" s="24">
        <v>1</v>
      </c>
      <c r="Q27" s="25" t="s">
        <v>912</v>
      </c>
      <c r="R27" s="24"/>
      <c r="S27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28" spans="2:19">
      <c r="B28" s="24" t="s">
        <v>625</v>
      </c>
      <c r="C28" s="34" t="s">
        <v>1289</v>
      </c>
      <c r="D28" s="24">
        <v>2</v>
      </c>
      <c r="E28" s="24">
        <v>0</v>
      </c>
      <c r="F28" s="24" t="s">
        <v>151</v>
      </c>
      <c r="G28" s="24" t="s">
        <v>1169</v>
      </c>
      <c r="H28" s="24"/>
      <c r="I28" s="24" t="s">
        <v>380</v>
      </c>
      <c r="J28" s="24"/>
      <c r="K28" s="24"/>
      <c r="L28" s="24" t="s">
        <v>28</v>
      </c>
      <c r="M28" s="24"/>
      <c r="N28" s="24"/>
      <c r="O28" s="26">
        <f>GET_OK_GROUPS_COUNT(tbStoryEnemy[[#This Row],[Camp]],tbStoryEnemy[[#This Row],[Difficulty]],tbStoryEnemy[[#This Row],[IsBoss]],tbStoryEnemy[[#This Row],[Hero1]:[Soldier3]])</f>
        <v>1</v>
      </c>
      <c r="P28" s="24">
        <v>1</v>
      </c>
      <c r="Q28" s="25" t="s">
        <v>912</v>
      </c>
      <c r="R28" s="24"/>
      <c r="S28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29" spans="2:19">
      <c r="B29" s="24" t="s">
        <v>626</v>
      </c>
      <c r="C29" s="34" t="s">
        <v>1289</v>
      </c>
      <c r="D29" s="24">
        <v>1</v>
      </c>
      <c r="E29" s="24">
        <v>0</v>
      </c>
      <c r="F29" s="24" t="s">
        <v>151</v>
      </c>
      <c r="G29" s="24" t="s">
        <v>1169</v>
      </c>
      <c r="H29" s="24"/>
      <c r="I29" s="24"/>
      <c r="J29" s="24"/>
      <c r="K29" s="24"/>
      <c r="L29" s="24" t="s">
        <v>34</v>
      </c>
      <c r="M29" s="24"/>
      <c r="N29" s="24"/>
      <c r="O29" s="26">
        <f>GET_OK_GROUPS_COUNT(tbStoryEnemy[[#This Row],[Camp]],tbStoryEnemy[[#This Row],[Difficulty]],tbStoryEnemy[[#This Row],[IsBoss]],tbStoryEnemy[[#This Row],[Hero1]:[Soldier3]])</f>
        <v>14</v>
      </c>
      <c r="P29" s="24">
        <v>1</v>
      </c>
      <c r="Q29" s="25" t="s">
        <v>912</v>
      </c>
      <c r="R29" s="24"/>
      <c r="S29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30" spans="2:19">
      <c r="B30" s="24" t="s">
        <v>626</v>
      </c>
      <c r="C30" s="34" t="s">
        <v>1289</v>
      </c>
      <c r="D30" s="24">
        <v>2</v>
      </c>
      <c r="E30" s="24">
        <v>0</v>
      </c>
      <c r="F30" s="24" t="s">
        <v>151</v>
      </c>
      <c r="G30" s="24" t="s">
        <v>1169</v>
      </c>
      <c r="H30" s="24"/>
      <c r="I30" s="24" t="s">
        <v>380</v>
      </c>
      <c r="J30" s="24"/>
      <c r="K30" s="24"/>
      <c r="L30" s="24" t="s">
        <v>28</v>
      </c>
      <c r="M30" s="24"/>
      <c r="N30" s="24"/>
      <c r="O30" s="26">
        <f>GET_OK_GROUPS_COUNT(tbStoryEnemy[[#This Row],[Camp]],tbStoryEnemy[[#This Row],[Difficulty]],tbStoryEnemy[[#This Row],[IsBoss]],tbStoryEnemy[[#This Row],[Hero1]:[Soldier3]])</f>
        <v>1</v>
      </c>
      <c r="P30" s="24">
        <v>1</v>
      </c>
      <c r="Q30" s="25" t="s">
        <v>912</v>
      </c>
      <c r="R30" s="24"/>
      <c r="S30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1" spans="2:19">
      <c r="B31" s="24" t="s">
        <v>627</v>
      </c>
      <c r="C31" s="34" t="s">
        <v>1289</v>
      </c>
      <c r="D31" s="24">
        <v>1</v>
      </c>
      <c r="E31" s="24">
        <v>0</v>
      </c>
      <c r="F31" s="24" t="s">
        <v>151</v>
      </c>
      <c r="G31" s="24" t="s">
        <v>1169</v>
      </c>
      <c r="H31" s="24"/>
      <c r="I31" s="24"/>
      <c r="J31" s="24"/>
      <c r="K31" s="24"/>
      <c r="L31" s="24" t="s">
        <v>34</v>
      </c>
      <c r="M31" s="24"/>
      <c r="N31" s="24"/>
      <c r="O31" s="26">
        <f>GET_OK_GROUPS_COUNT(tbStoryEnemy[[#This Row],[Camp]],tbStoryEnemy[[#This Row],[Difficulty]],tbStoryEnemy[[#This Row],[IsBoss]],tbStoryEnemy[[#This Row],[Hero1]:[Soldier3]])</f>
        <v>14</v>
      </c>
      <c r="P31" s="24">
        <v>1</v>
      </c>
      <c r="Q31" s="25" t="s">
        <v>912</v>
      </c>
      <c r="R31" s="24"/>
      <c r="S31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32" spans="2:19">
      <c r="B32" s="24" t="s">
        <v>627</v>
      </c>
      <c r="C32" s="34" t="s">
        <v>1289</v>
      </c>
      <c r="D32" s="24">
        <v>2</v>
      </c>
      <c r="E32" s="24">
        <v>0</v>
      </c>
      <c r="F32" s="24" t="s">
        <v>151</v>
      </c>
      <c r="G32" s="24" t="s">
        <v>1169</v>
      </c>
      <c r="H32" s="24" t="b">
        <v>1</v>
      </c>
      <c r="I32" s="24" t="s">
        <v>330</v>
      </c>
      <c r="J32" s="24" t="s">
        <v>384</v>
      </c>
      <c r="K32" s="24"/>
      <c r="L32" s="24"/>
      <c r="M32" s="24"/>
      <c r="N32" s="24"/>
      <c r="O32" s="26">
        <f>GET_OK_GROUPS_COUNT(tbStoryEnemy[[#This Row],[Camp]],tbStoryEnemy[[#This Row],[Difficulty]],tbStoryEnemy[[#This Row],[IsBoss]],tbStoryEnemy[[#This Row],[Hero1]:[Soldier3]])</f>
        <v>1</v>
      </c>
      <c r="P32" s="24">
        <v>1</v>
      </c>
      <c r="Q32" s="25" t="s">
        <v>330</v>
      </c>
      <c r="R32" s="24"/>
      <c r="S32" s="26" t="str">
        <f>GET_OK_GROUP(tbStoryEnemy[[#This Row],[Camp]],tbStoryEnemy[[#This Row],[Difficulty]],tbStoryEnemy[[#This Row],[IsBoss]],tbStoryEnemy[[#This Row],[Hero1]:[Soldier3]],tbStoryEnemy[[#This Row],[GroupID]])</f>
        <v>三国-困难-[B]铁英+法英</v>
      </c>
    </row>
    <row r="33" spans="2:19">
      <c r="B33" s="24" t="s">
        <v>628</v>
      </c>
      <c r="C33" s="34" t="s">
        <v>1289</v>
      </c>
      <c r="D33" s="24">
        <v>1</v>
      </c>
      <c r="E33" s="24">
        <v>0</v>
      </c>
      <c r="F33" s="24" t="s">
        <v>151</v>
      </c>
      <c r="G33" s="24" t="s">
        <v>1338</v>
      </c>
      <c r="H33" s="24"/>
      <c r="I33" s="24"/>
      <c r="J33" s="24"/>
      <c r="K33" s="24"/>
      <c r="L33" s="24" t="s">
        <v>34</v>
      </c>
      <c r="M33" s="24"/>
      <c r="N33" s="24"/>
      <c r="O33" s="26">
        <f>GET_OK_GROUPS_COUNT(tbStoryEnemy[[#This Row],[Camp]],tbStoryEnemy[[#This Row],[Difficulty]],tbStoryEnemy[[#This Row],[IsBoss]],tbStoryEnemy[[#This Row],[Hero1]:[Soldier3]])</f>
        <v>5</v>
      </c>
      <c r="P33" s="24">
        <v>3</v>
      </c>
      <c r="Q33" s="25" t="s">
        <v>912</v>
      </c>
      <c r="R33" s="24"/>
      <c r="S33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34" spans="2:19">
      <c r="B34" s="24" t="s">
        <v>628</v>
      </c>
      <c r="C34" s="34" t="s">
        <v>1289</v>
      </c>
      <c r="D34" s="24">
        <v>2</v>
      </c>
      <c r="E34" s="24">
        <v>0</v>
      </c>
      <c r="F34" s="24" t="s">
        <v>151</v>
      </c>
      <c r="G34" s="24" t="s">
        <v>1169</v>
      </c>
      <c r="H34" s="24"/>
      <c r="I34" s="24" t="s">
        <v>382</v>
      </c>
      <c r="J34" s="24"/>
      <c r="K34" s="24"/>
      <c r="L34" s="24"/>
      <c r="M34" s="24"/>
      <c r="N34" s="24"/>
      <c r="O34" s="26">
        <f>GET_OK_GROUPS_COUNT(tbStoryEnemy[[#This Row],[Camp]],tbStoryEnemy[[#This Row],[Difficulty]],tbStoryEnemy[[#This Row],[IsBoss]],tbStoryEnemy[[#This Row],[Hero1]:[Soldier3]])</f>
        <v>4</v>
      </c>
      <c r="P34" s="24">
        <v>3</v>
      </c>
      <c r="Q34" s="25" t="s">
        <v>912</v>
      </c>
      <c r="R34" s="24"/>
      <c r="S34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35" spans="2:19">
      <c r="B35" s="24" t="s">
        <v>629</v>
      </c>
      <c r="C35" s="34" t="s">
        <v>1289</v>
      </c>
      <c r="D35" s="24">
        <v>1</v>
      </c>
      <c r="E35" s="24">
        <v>0</v>
      </c>
      <c r="F35" s="24" t="s">
        <v>151</v>
      </c>
      <c r="G35" s="24" t="s">
        <v>1338</v>
      </c>
      <c r="H35" s="24"/>
      <c r="I35" s="24"/>
      <c r="J35" s="24"/>
      <c r="K35" s="24"/>
      <c r="L35" s="24" t="s">
        <v>25</v>
      </c>
      <c r="M35" s="24"/>
      <c r="N35" s="24"/>
      <c r="O35" s="26">
        <f>GET_OK_GROUPS_COUNT(tbStoryEnemy[[#This Row],[Camp]],tbStoryEnemy[[#This Row],[Difficulty]],tbStoryEnemy[[#This Row],[IsBoss]],tbStoryEnemy[[#This Row],[Hero1]:[Soldier3]])</f>
        <v>5</v>
      </c>
      <c r="P35" s="24">
        <v>3</v>
      </c>
      <c r="Q35" s="25" t="s">
        <v>912</v>
      </c>
      <c r="R35" s="24"/>
      <c r="S3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6" spans="2:19">
      <c r="B36" s="24" t="s">
        <v>629</v>
      </c>
      <c r="C36" s="34" t="s">
        <v>1289</v>
      </c>
      <c r="D36" s="24">
        <v>2</v>
      </c>
      <c r="E36" s="24">
        <v>0</v>
      </c>
      <c r="F36" s="24" t="s">
        <v>151</v>
      </c>
      <c r="G36" s="24" t="s">
        <v>1169</v>
      </c>
      <c r="H36" s="24"/>
      <c r="I36" s="24" t="s">
        <v>382</v>
      </c>
      <c r="J36" s="24"/>
      <c r="K36" s="24"/>
      <c r="L36" s="24" t="s">
        <v>28</v>
      </c>
      <c r="M36" s="24"/>
      <c r="N36" s="24"/>
      <c r="O36" s="26">
        <f>GET_OK_GROUPS_COUNT(tbStoryEnemy[[#This Row],[Camp]],tbStoryEnemy[[#This Row],[Difficulty]],tbStoryEnemy[[#This Row],[IsBoss]],tbStoryEnemy[[#This Row],[Hero1]:[Soldier3]])</f>
        <v>1</v>
      </c>
      <c r="P36" s="24">
        <v>1</v>
      </c>
      <c r="Q36" s="25" t="s">
        <v>912</v>
      </c>
      <c r="R36" s="24"/>
      <c r="S36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37" spans="2:19">
      <c r="B37" s="24" t="s">
        <v>630</v>
      </c>
      <c r="C37" s="34" t="s">
        <v>1289</v>
      </c>
      <c r="D37" s="24">
        <v>1</v>
      </c>
      <c r="E37" s="24">
        <v>0</v>
      </c>
      <c r="F37" s="24" t="s">
        <v>151</v>
      </c>
      <c r="G37" s="24" t="s">
        <v>1169</v>
      </c>
      <c r="H37" s="24"/>
      <c r="I37" s="24"/>
      <c r="J37" s="24"/>
      <c r="K37" s="24"/>
      <c r="L37" s="24" t="s">
        <v>25</v>
      </c>
      <c r="M37" s="24"/>
      <c r="N37" s="24"/>
      <c r="O37" s="26">
        <f>GET_OK_GROUPS_COUNT(tbStoryEnemy[[#This Row],[Camp]],tbStoryEnemy[[#This Row],[Difficulty]],tbStoryEnemy[[#This Row],[IsBoss]],tbStoryEnemy[[#This Row],[Hero1]:[Soldier3]])</f>
        <v>14</v>
      </c>
      <c r="P37" s="24">
        <v>1</v>
      </c>
      <c r="Q37" s="25" t="s">
        <v>912</v>
      </c>
      <c r="R37" s="24"/>
      <c r="S37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38" spans="2:19">
      <c r="B38" s="24" t="s">
        <v>630</v>
      </c>
      <c r="C38" s="34" t="s">
        <v>1289</v>
      </c>
      <c r="D38" s="24">
        <v>2</v>
      </c>
      <c r="E38" s="24">
        <v>0</v>
      </c>
      <c r="F38" s="24" t="s">
        <v>151</v>
      </c>
      <c r="G38" s="24" t="s">
        <v>1169</v>
      </c>
      <c r="H38" s="24" t="b">
        <v>1</v>
      </c>
      <c r="I38" s="24" t="s">
        <v>335</v>
      </c>
      <c r="J38" s="24"/>
      <c r="K38" s="24"/>
      <c r="L38" s="24" t="s">
        <v>25</v>
      </c>
      <c r="M38" s="24"/>
      <c r="N38" s="24"/>
      <c r="O38" s="26">
        <f>GET_OK_GROUPS_COUNT(tbStoryEnemy[[#This Row],[Camp]],tbStoryEnemy[[#This Row],[Difficulty]],tbStoryEnemy[[#This Row],[IsBoss]],tbStoryEnemy[[#This Row],[Hero1]:[Soldier3]])</f>
        <v>1</v>
      </c>
      <c r="P38" s="24">
        <v>1</v>
      </c>
      <c r="Q38" s="25" t="s">
        <v>335</v>
      </c>
      <c r="R38" s="24"/>
      <c r="S38" s="26" t="str">
        <f>GET_OK_GROUP(tbStoryEnemy[[#This Row],[Camp]],tbStoryEnemy[[#This Row],[Difficulty]],tbStoryEnemy[[#This Row],[IsBoss]],tbStoryEnemy[[#This Row],[Hero1]:[Soldier3]],tbStoryEnemy[[#This Row],[GroupID]])</f>
        <v>三国-困难-[B]强英+铁兵</v>
      </c>
    </row>
    <row r="39" spans="2:19">
      <c r="B39" s="24" t="s">
        <v>631</v>
      </c>
      <c r="C39" s="34" t="s">
        <v>1289</v>
      </c>
      <c r="D39" s="24">
        <v>1</v>
      </c>
      <c r="E39" s="24">
        <v>0</v>
      </c>
      <c r="F39" s="24" t="s">
        <v>151</v>
      </c>
      <c r="G39" s="24" t="s">
        <v>1338</v>
      </c>
      <c r="H39" s="24"/>
      <c r="I39" s="24"/>
      <c r="J39" s="24"/>
      <c r="K39" s="24"/>
      <c r="L39" s="24" t="s">
        <v>49</v>
      </c>
      <c r="M39" s="24"/>
      <c r="N39" s="24"/>
      <c r="O39" s="26">
        <f>GET_OK_GROUPS_COUNT(tbStoryEnemy[[#This Row],[Camp]],tbStoryEnemy[[#This Row],[Difficulty]],tbStoryEnemy[[#This Row],[IsBoss]],tbStoryEnemy[[#This Row],[Hero1]:[Soldier3]])</f>
        <v>1</v>
      </c>
      <c r="P39" s="24">
        <v>1</v>
      </c>
      <c r="Q39" s="25" t="s">
        <v>912</v>
      </c>
      <c r="R39" s="24"/>
      <c r="S39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40" spans="2:19">
      <c r="B40" s="24" t="s">
        <v>631</v>
      </c>
      <c r="C40" s="34" t="s">
        <v>1289</v>
      </c>
      <c r="D40" s="24">
        <v>2</v>
      </c>
      <c r="E40" s="24">
        <v>0</v>
      </c>
      <c r="F40" s="24" t="s">
        <v>151</v>
      </c>
      <c r="G40" s="24" t="s">
        <v>1169</v>
      </c>
      <c r="H40" s="24"/>
      <c r="I40" s="24"/>
      <c r="J40" s="24"/>
      <c r="K40" s="24"/>
      <c r="L40" s="24" t="s">
        <v>34</v>
      </c>
      <c r="M40" s="24" t="s">
        <v>28</v>
      </c>
      <c r="N40" s="24"/>
      <c r="O40" s="26">
        <f>GET_OK_GROUPS_COUNT(tbStoryEnemy[[#This Row],[Camp]],tbStoryEnemy[[#This Row],[Difficulty]],tbStoryEnemy[[#This Row],[IsBoss]],tbStoryEnemy[[#This Row],[Hero1]:[Soldier3]])</f>
        <v>5</v>
      </c>
      <c r="P40" s="24">
        <v>1</v>
      </c>
      <c r="Q40" s="25" t="s">
        <v>912</v>
      </c>
      <c r="R40" s="24"/>
      <c r="S40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41" spans="2:19">
      <c r="B41" s="24" t="s">
        <v>632</v>
      </c>
      <c r="C41" s="34" t="s">
        <v>1289</v>
      </c>
      <c r="D41" s="24">
        <v>1</v>
      </c>
      <c r="E41" s="24">
        <v>0</v>
      </c>
      <c r="F41" s="24" t="s">
        <v>151</v>
      </c>
      <c r="G41" s="24" t="s">
        <v>1169</v>
      </c>
      <c r="H41" s="24"/>
      <c r="I41" s="24"/>
      <c r="J41" s="24"/>
      <c r="K41" s="24"/>
      <c r="L41" s="24" t="s">
        <v>25</v>
      </c>
      <c r="M41" s="24"/>
      <c r="N41" s="24"/>
      <c r="O41" s="26">
        <f>GET_OK_GROUPS_COUNT(tbStoryEnemy[[#This Row],[Camp]],tbStoryEnemy[[#This Row],[Difficulty]],tbStoryEnemy[[#This Row],[IsBoss]],tbStoryEnemy[[#This Row],[Hero1]:[Soldier3]])</f>
        <v>14</v>
      </c>
      <c r="P41" s="24">
        <v>2</v>
      </c>
      <c r="Q41" s="25" t="s">
        <v>912</v>
      </c>
      <c r="R41" s="24"/>
      <c r="S41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42" spans="2:19">
      <c r="B42" s="24" t="s">
        <v>632</v>
      </c>
      <c r="C42" s="34" t="s">
        <v>1289</v>
      </c>
      <c r="D42" s="24">
        <v>2</v>
      </c>
      <c r="E42" s="24">
        <v>0</v>
      </c>
      <c r="F42" s="24" t="s">
        <v>151</v>
      </c>
      <c r="G42" s="24" t="s">
        <v>1169</v>
      </c>
      <c r="H42" s="24"/>
      <c r="I42" s="24" t="s">
        <v>380</v>
      </c>
      <c r="J42" s="24"/>
      <c r="K42" s="24"/>
      <c r="L42" s="24" t="s">
        <v>28</v>
      </c>
      <c r="M42" s="24"/>
      <c r="N42" s="24"/>
      <c r="O42" s="26">
        <f>GET_OK_GROUPS_COUNT(tbStoryEnemy[[#This Row],[Camp]],tbStoryEnemy[[#This Row],[Difficulty]],tbStoryEnemy[[#This Row],[IsBoss]],tbStoryEnemy[[#This Row],[Hero1]:[Soldier3]])</f>
        <v>1</v>
      </c>
      <c r="P42" s="24">
        <v>1</v>
      </c>
      <c r="Q42" s="25" t="s">
        <v>912</v>
      </c>
      <c r="R42" s="24"/>
      <c r="S42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3" spans="2:19">
      <c r="B43" s="24" t="s">
        <v>633</v>
      </c>
      <c r="C43" s="34" t="s">
        <v>1289</v>
      </c>
      <c r="D43" s="24">
        <v>1</v>
      </c>
      <c r="E43" s="24">
        <v>0</v>
      </c>
      <c r="F43" s="24" t="s">
        <v>151</v>
      </c>
      <c r="G43" s="24" t="s">
        <v>1169</v>
      </c>
      <c r="H43" s="24"/>
      <c r="I43" s="24"/>
      <c r="J43" s="24"/>
      <c r="K43" s="24"/>
      <c r="L43" s="24" t="s">
        <v>34</v>
      </c>
      <c r="M43" s="24" t="s">
        <v>28</v>
      </c>
      <c r="N43" s="24"/>
      <c r="O43" s="26">
        <f>GET_OK_GROUPS_COUNT(tbStoryEnemy[[#This Row],[Camp]],tbStoryEnemy[[#This Row],[Difficulty]],tbStoryEnemy[[#This Row],[IsBoss]],tbStoryEnemy[[#This Row],[Hero1]:[Soldier3]])</f>
        <v>5</v>
      </c>
      <c r="P43" s="24">
        <v>1</v>
      </c>
      <c r="Q43" s="25" t="s">
        <v>912</v>
      </c>
      <c r="R43" s="24"/>
      <c r="S43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44" spans="2:19">
      <c r="B44" s="24" t="s">
        <v>633</v>
      </c>
      <c r="C44" s="34" t="s">
        <v>1289</v>
      </c>
      <c r="D44" s="24">
        <v>2</v>
      </c>
      <c r="E44" s="24">
        <v>0</v>
      </c>
      <c r="F44" s="24" t="s">
        <v>151</v>
      </c>
      <c r="G44" s="24" t="s">
        <v>1169</v>
      </c>
      <c r="H44" s="24" t="b">
        <v>1</v>
      </c>
      <c r="I44" s="24" t="s">
        <v>24</v>
      </c>
      <c r="J44" s="24" t="s">
        <v>382</v>
      </c>
      <c r="K44" s="24"/>
      <c r="L44" s="24"/>
      <c r="M44" s="24"/>
      <c r="N44" s="24"/>
      <c r="O44" s="26">
        <f>GET_OK_GROUPS_COUNT(tbStoryEnemy[[#This Row],[Camp]],tbStoryEnemy[[#This Row],[Difficulty]],tbStoryEnemy[[#This Row],[IsBoss]],tbStoryEnemy[[#This Row],[Hero1]:[Soldier3]])</f>
        <v>1</v>
      </c>
      <c r="P44" s="24">
        <v>1</v>
      </c>
      <c r="Q44" s="25" t="s">
        <v>24</v>
      </c>
      <c r="R44" s="24"/>
      <c r="S44" s="26" t="str">
        <f>GET_OK_GROUP(tbStoryEnemy[[#This Row],[Camp]],tbStoryEnemy[[#This Row],[Difficulty]],tbStoryEnemy[[#This Row],[IsBoss]],tbStoryEnemy[[#This Row],[Hero1]:[Soldier3]],tbStoryEnemy[[#This Row],[GroupID]])</f>
        <v>三国-困难-[B]铁英+铁英</v>
      </c>
    </row>
    <row r="45" spans="2:19">
      <c r="B45" s="24" t="s">
        <v>634</v>
      </c>
      <c r="C45" s="34" t="s">
        <v>1289</v>
      </c>
      <c r="D45" s="24">
        <v>1</v>
      </c>
      <c r="E45" s="24">
        <v>0</v>
      </c>
      <c r="F45" s="24" t="s">
        <v>151</v>
      </c>
      <c r="G45" s="24" t="s">
        <v>1338</v>
      </c>
      <c r="H45" s="24"/>
      <c r="I45" s="24"/>
      <c r="J45" s="24"/>
      <c r="K45" s="24"/>
      <c r="L45" s="24" t="s">
        <v>49</v>
      </c>
      <c r="M45" s="24"/>
      <c r="N45" s="24"/>
      <c r="O45" s="26">
        <f>GET_OK_GROUPS_COUNT(tbStoryEnemy[[#This Row],[Camp]],tbStoryEnemy[[#This Row],[Difficulty]],tbStoryEnemy[[#This Row],[IsBoss]],tbStoryEnemy[[#This Row],[Hero1]:[Soldier3]])</f>
        <v>1</v>
      </c>
      <c r="P45" s="24">
        <v>1</v>
      </c>
      <c r="Q45" s="25" t="s">
        <v>912</v>
      </c>
      <c r="R45" s="24"/>
      <c r="S45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46" spans="2:19">
      <c r="B46" s="24" t="s">
        <v>634</v>
      </c>
      <c r="C46" s="34" t="s">
        <v>1289</v>
      </c>
      <c r="D46" s="24">
        <v>2</v>
      </c>
      <c r="E46" s="24">
        <v>0</v>
      </c>
      <c r="F46" s="24" t="s">
        <v>151</v>
      </c>
      <c r="G46" s="24" t="s">
        <v>1169</v>
      </c>
      <c r="H46" s="24"/>
      <c r="I46" s="24"/>
      <c r="J46" s="24"/>
      <c r="K46" s="24"/>
      <c r="L46" s="24" t="s">
        <v>34</v>
      </c>
      <c r="M46" s="24" t="s">
        <v>28</v>
      </c>
      <c r="N46" s="24"/>
      <c r="O46" s="26">
        <f>GET_OK_GROUPS_COUNT(tbStoryEnemy[[#This Row],[Camp]],tbStoryEnemy[[#This Row],[Difficulty]],tbStoryEnemy[[#This Row],[IsBoss]],tbStoryEnemy[[#This Row],[Hero1]:[Soldier3]])</f>
        <v>5</v>
      </c>
      <c r="P46" s="24">
        <v>2</v>
      </c>
      <c r="Q46" s="25" t="s">
        <v>912</v>
      </c>
      <c r="R46" s="24"/>
      <c r="S46" s="26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47" spans="2:19">
      <c r="B47" s="24" t="s">
        <v>635</v>
      </c>
      <c r="C47" s="34" t="s">
        <v>1289</v>
      </c>
      <c r="D47" s="24">
        <v>1</v>
      </c>
      <c r="E47" s="24">
        <v>0</v>
      </c>
      <c r="F47" s="24" t="s">
        <v>151</v>
      </c>
      <c r="G47" s="24" t="s">
        <v>1338</v>
      </c>
      <c r="H47" s="24"/>
      <c r="I47" s="24"/>
      <c r="J47" s="24"/>
      <c r="K47" s="24"/>
      <c r="L47" s="24" t="s">
        <v>49</v>
      </c>
      <c r="M47" s="24"/>
      <c r="N47" s="24"/>
      <c r="O47" s="26">
        <f>GET_OK_GROUPS_COUNT(tbStoryEnemy[[#This Row],[Camp]],tbStoryEnemy[[#This Row],[Difficulty]],tbStoryEnemy[[#This Row],[IsBoss]],tbStoryEnemy[[#This Row],[Hero1]:[Soldier3]])</f>
        <v>1</v>
      </c>
      <c r="P47" s="24">
        <v>1</v>
      </c>
      <c r="Q47" s="25" t="s">
        <v>912</v>
      </c>
      <c r="R47" s="24"/>
      <c r="S47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48" spans="2:19">
      <c r="B48" s="24" t="s">
        <v>635</v>
      </c>
      <c r="C48" s="34" t="s">
        <v>1289</v>
      </c>
      <c r="D48" s="24">
        <v>2</v>
      </c>
      <c r="E48" s="24">
        <v>0</v>
      </c>
      <c r="F48" s="24" t="s">
        <v>151</v>
      </c>
      <c r="G48" s="24" t="s">
        <v>1169</v>
      </c>
      <c r="H48" s="24"/>
      <c r="I48" s="24" t="s">
        <v>380</v>
      </c>
      <c r="J48" s="24"/>
      <c r="K48" s="24"/>
      <c r="L48" s="24"/>
      <c r="M48" s="24"/>
      <c r="N48" s="24"/>
      <c r="O48" s="26">
        <f>GET_OK_GROUPS_COUNT(tbStoryEnemy[[#This Row],[Camp]],tbStoryEnemy[[#This Row],[Difficulty]],tbStoryEnemy[[#This Row],[IsBoss]],tbStoryEnemy[[#This Row],[Hero1]:[Soldier3]])</f>
        <v>4</v>
      </c>
      <c r="P48" s="24">
        <v>2</v>
      </c>
      <c r="Q48" s="25" t="s">
        <v>912</v>
      </c>
      <c r="R48" s="24"/>
      <c r="S48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9" spans="2:19">
      <c r="B49" s="24" t="s">
        <v>636</v>
      </c>
      <c r="C49" s="34" t="s">
        <v>1289</v>
      </c>
      <c r="D49" s="24">
        <v>1</v>
      </c>
      <c r="E49" s="24">
        <v>0</v>
      </c>
      <c r="F49" s="24" t="s">
        <v>151</v>
      </c>
      <c r="G49" s="24" t="s">
        <v>1169</v>
      </c>
      <c r="H49" s="24"/>
      <c r="I49" s="34" t="s">
        <v>1167</v>
      </c>
      <c r="J49" s="24"/>
      <c r="K49" s="24"/>
      <c r="L49" s="24" t="s">
        <v>49</v>
      </c>
      <c r="M49" s="24"/>
      <c r="N49" s="24"/>
      <c r="O49" s="26">
        <f>GET_OK_GROUPS_COUNT(tbStoryEnemy[[#This Row],[Camp]],tbStoryEnemy[[#This Row],[Difficulty]],tbStoryEnemy[[#This Row],[IsBoss]],tbStoryEnemy[[#This Row],[Hero1]:[Soldier3]])</f>
        <v>1</v>
      </c>
      <c r="P49" s="24">
        <v>1</v>
      </c>
      <c r="Q49" s="25" t="s">
        <v>912</v>
      </c>
      <c r="R49" s="24"/>
      <c r="S49" s="26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50" spans="2:19">
      <c r="B50" s="24" t="s">
        <v>636</v>
      </c>
      <c r="C50" s="34" t="s">
        <v>1289</v>
      </c>
      <c r="D50" s="24">
        <v>2</v>
      </c>
      <c r="E50" s="24">
        <v>0</v>
      </c>
      <c r="F50" s="24" t="s">
        <v>151</v>
      </c>
      <c r="G50" s="24" t="s">
        <v>1169</v>
      </c>
      <c r="H50" s="24" t="b">
        <v>1</v>
      </c>
      <c r="I50" s="24" t="s">
        <v>331</v>
      </c>
      <c r="J50" s="24"/>
      <c r="K50" s="24"/>
      <c r="L50" s="24" t="s">
        <v>28</v>
      </c>
      <c r="M50" s="24"/>
      <c r="N50" s="24"/>
      <c r="O50" s="26">
        <f>GET_OK_GROUPS_COUNT(tbStoryEnemy[[#This Row],[Camp]],tbStoryEnemy[[#This Row],[Difficulty]],tbStoryEnemy[[#This Row],[IsBoss]],tbStoryEnemy[[#This Row],[Hero1]:[Soldier3]])</f>
        <v>1</v>
      </c>
      <c r="P50" s="24">
        <v>1</v>
      </c>
      <c r="Q50" s="25" t="s">
        <v>331</v>
      </c>
      <c r="R50" s="24"/>
      <c r="S50" s="26" t="str">
        <f>GET_OK_GROUP(tbStoryEnemy[[#This Row],[Camp]],tbStoryEnemy[[#This Row],[Difficulty]],tbStoryEnemy[[#This Row],[IsBoss]],tbStoryEnemy[[#This Row],[Hero1]:[Soldier3]],tbStoryEnemy[[#This Row],[GroupID]])</f>
        <v>三国-困难-[B]铁英+法兵</v>
      </c>
    </row>
    <row r="51" spans="2:19">
      <c r="B51" s="24" t="s">
        <v>637</v>
      </c>
      <c r="C51" s="34" t="s">
        <v>1289</v>
      </c>
      <c r="D51" s="24">
        <v>1</v>
      </c>
      <c r="E51" s="24">
        <v>0</v>
      </c>
      <c r="F51" s="24" t="s">
        <v>151</v>
      </c>
      <c r="G51" s="24" t="s">
        <v>1338</v>
      </c>
      <c r="H51" s="24"/>
      <c r="I51" s="24"/>
      <c r="J51" s="24"/>
      <c r="K51" s="24"/>
      <c r="L51" s="24" t="s">
        <v>25</v>
      </c>
      <c r="M51" s="24"/>
      <c r="N51" s="24"/>
      <c r="O51" s="26">
        <f>GET_OK_GROUPS_COUNT(tbStoryEnemy[[#This Row],[Camp]],tbStoryEnemy[[#This Row],[Difficulty]],tbStoryEnemy[[#This Row],[IsBoss]],tbStoryEnemy[[#This Row],[Hero1]:[Soldier3]])</f>
        <v>5</v>
      </c>
      <c r="P51" s="24">
        <v>3</v>
      </c>
      <c r="Q51" s="25" t="s">
        <v>912</v>
      </c>
      <c r="R51" s="24"/>
      <c r="S51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2" spans="2:19">
      <c r="B52" s="24" t="s">
        <v>637</v>
      </c>
      <c r="C52" s="34" t="s">
        <v>1289</v>
      </c>
      <c r="D52" s="24">
        <v>2</v>
      </c>
      <c r="E52" s="24">
        <v>0</v>
      </c>
      <c r="F52" s="24" t="s">
        <v>151</v>
      </c>
      <c r="G52" s="24" t="s">
        <v>1169</v>
      </c>
      <c r="H52" s="24"/>
      <c r="I52" s="24" t="s">
        <v>384</v>
      </c>
      <c r="J52" s="24"/>
      <c r="K52" s="24"/>
      <c r="L52" s="24" t="s">
        <v>25</v>
      </c>
      <c r="M52" s="24"/>
      <c r="N52" s="24"/>
      <c r="O52" s="26">
        <f>GET_OK_GROUPS_COUNT(tbStoryEnemy[[#This Row],[Camp]],tbStoryEnemy[[#This Row],[Difficulty]],tbStoryEnemy[[#This Row],[IsBoss]],tbStoryEnemy[[#This Row],[Hero1]:[Soldier3]])</f>
        <v>1</v>
      </c>
      <c r="P52" s="24">
        <v>1</v>
      </c>
      <c r="Q52" s="25" t="s">
        <v>912</v>
      </c>
      <c r="R52" s="24"/>
      <c r="S52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3" spans="2:19">
      <c r="B53" s="24" t="s">
        <v>638</v>
      </c>
      <c r="C53" s="34" t="s">
        <v>1289</v>
      </c>
      <c r="D53" s="24">
        <v>1</v>
      </c>
      <c r="E53" s="24">
        <v>0</v>
      </c>
      <c r="F53" s="24" t="s">
        <v>151</v>
      </c>
      <c r="G53" s="24" t="s">
        <v>1169</v>
      </c>
      <c r="H53" s="24"/>
      <c r="I53" s="24"/>
      <c r="J53" s="24"/>
      <c r="K53" s="24"/>
      <c r="L53" s="24" t="s">
        <v>25</v>
      </c>
      <c r="M53" s="24"/>
      <c r="N53" s="24"/>
      <c r="O53" s="26">
        <f>GET_OK_GROUPS_COUNT(tbStoryEnemy[[#This Row],[Camp]],tbStoryEnemy[[#This Row],[Difficulty]],tbStoryEnemy[[#This Row],[IsBoss]],tbStoryEnemy[[#This Row],[Hero1]:[Soldier3]])</f>
        <v>14</v>
      </c>
      <c r="P53" s="24">
        <v>3</v>
      </c>
      <c r="Q53" s="25" t="s">
        <v>912</v>
      </c>
      <c r="R53" s="24"/>
      <c r="S53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54" spans="2:19">
      <c r="B54" s="24" t="s">
        <v>638</v>
      </c>
      <c r="C54" s="34" t="s">
        <v>1289</v>
      </c>
      <c r="D54" s="24">
        <v>2</v>
      </c>
      <c r="E54" s="24">
        <v>0</v>
      </c>
      <c r="F54" s="24" t="s">
        <v>151</v>
      </c>
      <c r="G54" s="24" t="s">
        <v>1169</v>
      </c>
      <c r="H54" s="24"/>
      <c r="I54" s="24" t="s">
        <v>382</v>
      </c>
      <c r="J54" s="24"/>
      <c r="K54" s="24"/>
      <c r="L54" s="24" t="s">
        <v>26</v>
      </c>
      <c r="M54" s="24"/>
      <c r="N54" s="24"/>
      <c r="O54" s="26">
        <f>GET_OK_GROUPS_COUNT(tbStoryEnemy[[#This Row],[Camp]],tbStoryEnemy[[#This Row],[Difficulty]],tbStoryEnemy[[#This Row],[IsBoss]],tbStoryEnemy[[#This Row],[Hero1]:[Soldier3]])</f>
        <v>1</v>
      </c>
      <c r="P54" s="24">
        <v>1</v>
      </c>
      <c r="Q54" s="25" t="s">
        <v>912</v>
      </c>
      <c r="R54" s="24"/>
      <c r="S5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5" spans="2:19">
      <c r="B55" s="24" t="s">
        <v>639</v>
      </c>
      <c r="C55" s="34" t="s">
        <v>1289</v>
      </c>
      <c r="D55" s="24">
        <v>1</v>
      </c>
      <c r="E55" s="24">
        <v>0</v>
      </c>
      <c r="F55" s="24" t="s">
        <v>151</v>
      </c>
      <c r="G55" s="24" t="s">
        <v>1169</v>
      </c>
      <c r="H55" s="24"/>
      <c r="I55" s="24"/>
      <c r="J55" s="24"/>
      <c r="K55" s="24"/>
      <c r="L55" s="24" t="s">
        <v>25</v>
      </c>
      <c r="M55" s="24" t="s">
        <v>26</v>
      </c>
      <c r="N55" s="24"/>
      <c r="O55" s="26">
        <f>GET_OK_GROUPS_COUNT(tbStoryEnemy[[#This Row],[Camp]],tbStoryEnemy[[#This Row],[Difficulty]],tbStoryEnemy[[#This Row],[IsBoss]],tbStoryEnemy[[#This Row],[Hero1]:[Soldier3]])</f>
        <v>5</v>
      </c>
      <c r="P55" s="24">
        <v>1</v>
      </c>
      <c r="Q55" s="25" t="s">
        <v>912</v>
      </c>
      <c r="R55" s="24"/>
      <c r="S55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56" spans="2:19">
      <c r="B56" s="24" t="s">
        <v>639</v>
      </c>
      <c r="C56" s="34" t="s">
        <v>1289</v>
      </c>
      <c r="D56" s="24">
        <v>2</v>
      </c>
      <c r="E56" s="24">
        <v>0</v>
      </c>
      <c r="F56" s="24" t="s">
        <v>151</v>
      </c>
      <c r="G56" s="24" t="s">
        <v>1126</v>
      </c>
      <c r="H56" s="24" t="b">
        <v>1</v>
      </c>
      <c r="I56" s="24" t="s">
        <v>329</v>
      </c>
      <c r="J56" s="24" t="s">
        <v>384</v>
      </c>
      <c r="K56" s="24"/>
      <c r="L56" s="24"/>
      <c r="M56" s="24"/>
      <c r="N56" s="24"/>
      <c r="O56" s="26">
        <f>GET_OK_GROUPS_COUNT(tbStoryEnemy[[#This Row],[Camp]],tbStoryEnemy[[#This Row],[Difficulty]],tbStoryEnemy[[#This Row],[IsBoss]],tbStoryEnemy[[#This Row],[Hero1]:[Soldier3]])</f>
        <v>1</v>
      </c>
      <c r="P56" s="24">
        <v>1</v>
      </c>
      <c r="Q56" s="25" t="s">
        <v>329</v>
      </c>
      <c r="R56" s="24"/>
      <c r="S56" s="26" t="str">
        <f>GET_OK_GROUP(tbStoryEnemy[[#This Row],[Camp]],tbStoryEnemy[[#This Row],[Difficulty]],tbStoryEnemy[[#This Row],[IsBoss]],tbStoryEnemy[[#This Row],[Hero1]:[Soldier3]],tbStoryEnemy[[#This Row],[GroupID]])</f>
        <v>三国-超难-[B]盾英+法英</v>
      </c>
    </row>
    <row r="57" spans="2:19">
      <c r="B57" s="24" t="s">
        <v>640</v>
      </c>
      <c r="C57" s="34" t="s">
        <v>1289</v>
      </c>
      <c r="D57" s="24">
        <v>1</v>
      </c>
      <c r="E57" s="24">
        <v>0</v>
      </c>
      <c r="F57" s="24" t="s">
        <v>151</v>
      </c>
      <c r="G57" s="24" t="s">
        <v>1338</v>
      </c>
      <c r="H57" s="24"/>
      <c r="I57" s="24"/>
      <c r="J57" s="24"/>
      <c r="K57" s="24"/>
      <c r="L57" s="24" t="s">
        <v>49</v>
      </c>
      <c r="M57" s="24"/>
      <c r="N57" s="24"/>
      <c r="O57" s="26">
        <f>GET_OK_GROUPS_COUNT(tbStoryEnemy[[#This Row],[Camp]],tbStoryEnemy[[#This Row],[Difficulty]],tbStoryEnemy[[#This Row],[IsBoss]],tbStoryEnemy[[#This Row],[Hero1]:[Soldier3]])</f>
        <v>1</v>
      </c>
      <c r="P57" s="24">
        <v>1</v>
      </c>
      <c r="Q57" s="25" t="s">
        <v>912</v>
      </c>
      <c r="R57" s="24"/>
      <c r="S57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8" spans="2:19">
      <c r="B58" s="24" t="s">
        <v>640</v>
      </c>
      <c r="C58" s="34" t="s">
        <v>1289</v>
      </c>
      <c r="D58" s="24">
        <v>2</v>
      </c>
      <c r="E58" s="24">
        <v>0</v>
      </c>
      <c r="F58" s="24" t="s">
        <v>151</v>
      </c>
      <c r="G58" s="24" t="s">
        <v>1169</v>
      </c>
      <c r="H58" s="24"/>
      <c r="I58" s="24" t="s">
        <v>384</v>
      </c>
      <c r="J58" s="24"/>
      <c r="K58" s="24"/>
      <c r="L58" s="24" t="s">
        <v>25</v>
      </c>
      <c r="M58" s="24"/>
      <c r="N58" s="24"/>
      <c r="O58" s="26">
        <f>GET_OK_GROUPS_COUNT(tbStoryEnemy[[#This Row],[Camp]],tbStoryEnemy[[#This Row],[Difficulty]],tbStoryEnemy[[#This Row],[IsBoss]],tbStoryEnemy[[#This Row],[Hero1]:[Soldier3]])</f>
        <v>1</v>
      </c>
      <c r="P58" s="24">
        <v>1</v>
      </c>
      <c r="Q58" s="25" t="s">
        <v>912</v>
      </c>
      <c r="R58" s="24"/>
      <c r="S58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9" spans="2:19">
      <c r="B59" s="24" t="s">
        <v>641</v>
      </c>
      <c r="C59" s="34" t="s">
        <v>1289</v>
      </c>
      <c r="D59" s="24">
        <v>1</v>
      </c>
      <c r="E59" s="24">
        <v>0</v>
      </c>
      <c r="F59" s="24" t="s">
        <v>151</v>
      </c>
      <c r="G59" s="24" t="s">
        <v>1338</v>
      </c>
      <c r="H59" s="24"/>
      <c r="I59" s="24"/>
      <c r="J59" s="24"/>
      <c r="K59" s="24"/>
      <c r="L59" s="24" t="s">
        <v>49</v>
      </c>
      <c r="M59" s="24"/>
      <c r="N59" s="24"/>
      <c r="O59" s="26">
        <f>GET_OK_GROUPS_COUNT(tbStoryEnemy[[#This Row],[Camp]],tbStoryEnemy[[#This Row],[Difficulty]],tbStoryEnemy[[#This Row],[IsBoss]],tbStoryEnemy[[#This Row],[Hero1]:[Soldier3]])</f>
        <v>1</v>
      </c>
      <c r="P59" s="24">
        <v>1</v>
      </c>
      <c r="Q59" s="25" t="s">
        <v>912</v>
      </c>
      <c r="R59" s="24"/>
      <c r="S59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60" spans="2:19">
      <c r="B60" s="24" t="s">
        <v>641</v>
      </c>
      <c r="C60" s="34" t="s">
        <v>1289</v>
      </c>
      <c r="D60" s="24">
        <v>2</v>
      </c>
      <c r="E60" s="24">
        <v>0</v>
      </c>
      <c r="F60" s="24" t="s">
        <v>151</v>
      </c>
      <c r="G60" s="24" t="s">
        <v>1169</v>
      </c>
      <c r="H60" s="24"/>
      <c r="I60" s="24" t="s">
        <v>382</v>
      </c>
      <c r="J60" s="24"/>
      <c r="K60" s="24"/>
      <c r="L60" s="24" t="s">
        <v>26</v>
      </c>
      <c r="M60" s="24"/>
      <c r="N60" s="24"/>
      <c r="O60" s="26">
        <f>GET_OK_GROUPS_COUNT(tbStoryEnemy[[#This Row],[Camp]],tbStoryEnemy[[#This Row],[Difficulty]],tbStoryEnemy[[#This Row],[IsBoss]],tbStoryEnemy[[#This Row],[Hero1]:[Soldier3]])</f>
        <v>1</v>
      </c>
      <c r="P60" s="24">
        <v>1</v>
      </c>
      <c r="Q60" s="25" t="s">
        <v>912</v>
      </c>
      <c r="R60" s="24"/>
      <c r="S60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61" spans="2:19">
      <c r="B61" s="24" t="s">
        <v>642</v>
      </c>
      <c r="C61" s="34" t="s">
        <v>1289</v>
      </c>
      <c r="D61" s="24">
        <v>1</v>
      </c>
      <c r="E61" s="24">
        <v>0</v>
      </c>
      <c r="F61" s="24" t="s">
        <v>151</v>
      </c>
      <c r="G61" s="24" t="s">
        <v>1169</v>
      </c>
      <c r="H61" s="24"/>
      <c r="I61" s="24" t="s">
        <v>384</v>
      </c>
      <c r="J61" s="24"/>
      <c r="K61" s="24"/>
      <c r="L61" s="24"/>
      <c r="M61" s="24"/>
      <c r="N61" s="24"/>
      <c r="O61" s="26">
        <f>GET_OK_GROUPS_COUNT(tbStoryEnemy[[#This Row],[Camp]],tbStoryEnemy[[#This Row],[Difficulty]],tbStoryEnemy[[#This Row],[IsBoss]],tbStoryEnemy[[#This Row],[Hero1]:[Soldier3]])</f>
        <v>3</v>
      </c>
      <c r="P61" s="24">
        <v>2</v>
      </c>
      <c r="Q61" s="25" t="s">
        <v>912</v>
      </c>
      <c r="R61" s="24"/>
      <c r="S61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62" spans="2:19">
      <c r="B62" s="24" t="s">
        <v>642</v>
      </c>
      <c r="C62" s="34" t="s">
        <v>1289</v>
      </c>
      <c r="D62" s="24">
        <v>2</v>
      </c>
      <c r="E62" s="24">
        <v>0</v>
      </c>
      <c r="F62" s="24" t="s">
        <v>151</v>
      </c>
      <c r="G62" s="24" t="s">
        <v>1169</v>
      </c>
      <c r="H62" s="24" t="b">
        <v>1</v>
      </c>
      <c r="I62" s="24" t="s">
        <v>313</v>
      </c>
      <c r="J62" s="24" t="s">
        <v>384</v>
      </c>
      <c r="K62" s="24"/>
      <c r="L62" s="24"/>
      <c r="M62" s="24"/>
      <c r="N62" s="24"/>
      <c r="O62" s="26">
        <f>GET_OK_GROUPS_COUNT(tbStoryEnemy[[#This Row],[Camp]],tbStoryEnemy[[#This Row],[Difficulty]],tbStoryEnemy[[#This Row],[IsBoss]],tbStoryEnemy[[#This Row],[Hero1]:[Soldier3]])</f>
        <v>1</v>
      </c>
      <c r="P62" s="24">
        <v>1</v>
      </c>
      <c r="Q62" s="25" t="s">
        <v>313</v>
      </c>
      <c r="R62" s="24"/>
      <c r="S62" s="26" t="str">
        <f>GET_OK_GROUP(tbStoryEnemy[[#This Row],[Camp]],tbStoryEnemy[[#This Row],[Difficulty]],tbStoryEnemy[[#This Row],[IsBoss]],tbStoryEnemy[[#This Row],[Hero1]:[Soldier3]],tbStoryEnemy[[#This Row],[GroupID]])</f>
        <v>三国-困难-[B]盾英+法英</v>
      </c>
    </row>
    <row r="63" spans="2:19">
      <c r="B63" s="24" t="s">
        <v>643</v>
      </c>
      <c r="C63" s="34" t="s">
        <v>1289</v>
      </c>
      <c r="D63" s="24">
        <v>1</v>
      </c>
      <c r="E63" s="24">
        <v>0</v>
      </c>
      <c r="F63" s="24" t="s">
        <v>151</v>
      </c>
      <c r="G63" s="24" t="s">
        <v>1338</v>
      </c>
      <c r="H63" s="24"/>
      <c r="I63" s="24"/>
      <c r="J63" s="24"/>
      <c r="K63" s="24"/>
      <c r="L63" s="24" t="s">
        <v>49</v>
      </c>
      <c r="M63" s="24"/>
      <c r="N63" s="24"/>
      <c r="O63" s="26">
        <f>GET_OK_GROUPS_COUNT(tbStoryEnemy[[#This Row],[Camp]],tbStoryEnemy[[#This Row],[Difficulty]],tbStoryEnemy[[#This Row],[IsBoss]],tbStoryEnemy[[#This Row],[Hero1]:[Soldier3]])</f>
        <v>1</v>
      </c>
      <c r="P63" s="24">
        <v>1</v>
      </c>
      <c r="Q63" s="25" t="s">
        <v>912</v>
      </c>
      <c r="R63" s="24"/>
      <c r="S63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64" spans="2:19">
      <c r="B64" s="24" t="s">
        <v>643</v>
      </c>
      <c r="C64" s="34" t="s">
        <v>1289</v>
      </c>
      <c r="D64" s="24">
        <v>2</v>
      </c>
      <c r="E64" s="24">
        <v>0</v>
      </c>
      <c r="F64" s="24" t="s">
        <v>151</v>
      </c>
      <c r="G64" s="24" t="s">
        <v>1169</v>
      </c>
      <c r="H64" s="24"/>
      <c r="I64" s="24" t="s">
        <v>382</v>
      </c>
      <c r="J64" s="24"/>
      <c r="K64" s="24"/>
      <c r="L64" s="24" t="s">
        <v>28</v>
      </c>
      <c r="M64" s="24"/>
      <c r="N64" s="24"/>
      <c r="O64" s="26">
        <f>GET_OK_GROUPS_COUNT(tbStoryEnemy[[#This Row],[Camp]],tbStoryEnemy[[#This Row],[Difficulty]],tbStoryEnemy[[#This Row],[IsBoss]],tbStoryEnemy[[#This Row],[Hero1]:[Soldier3]])</f>
        <v>1</v>
      </c>
      <c r="P64" s="24">
        <v>1</v>
      </c>
      <c r="Q64" s="25" t="s">
        <v>912</v>
      </c>
      <c r="R64" s="24"/>
      <c r="S64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65" spans="2:19">
      <c r="B65" s="24" t="s">
        <v>644</v>
      </c>
      <c r="C65" s="34" t="s">
        <v>1289</v>
      </c>
      <c r="D65" s="24">
        <v>1</v>
      </c>
      <c r="E65" s="24">
        <v>0</v>
      </c>
      <c r="F65" s="24" t="s">
        <v>151</v>
      </c>
      <c r="G65" s="24" t="s">
        <v>1169</v>
      </c>
      <c r="H65" s="24"/>
      <c r="I65" s="24"/>
      <c r="J65" s="24"/>
      <c r="K65" s="24"/>
      <c r="L65" s="24" t="s">
        <v>49</v>
      </c>
      <c r="M65" s="24"/>
      <c r="N65" s="24"/>
      <c r="O65" s="26">
        <f>GET_OK_GROUPS_COUNT(tbStoryEnemy[[#This Row],[Camp]],tbStoryEnemy[[#This Row],[Difficulty]],tbStoryEnemy[[#This Row],[IsBoss]],tbStoryEnemy[[#This Row],[Hero1]:[Soldier3]])</f>
        <v>1</v>
      </c>
      <c r="P65" s="24">
        <v>1</v>
      </c>
      <c r="Q65" s="25" t="s">
        <v>912</v>
      </c>
      <c r="R65" s="24"/>
      <c r="S65" s="26" t="str">
        <f>GET_OK_GROUP(tbStoryEnemy[[#This Row],[Camp]],tbStoryEnemy[[#This Row],[Difficulty]],tbStoryEnemy[[#This Row],[IsBoss]],tbStoryEnemy[[#This Row],[Hero1]:[Soldier3]],tbStoryEnemy[[#This Row],[GroupID]])</f>
        <v>三国-困难-教徒</v>
      </c>
    </row>
    <row r="66" spans="2:19">
      <c r="B66" s="24" t="s">
        <v>644</v>
      </c>
      <c r="C66" s="34" t="s">
        <v>1289</v>
      </c>
      <c r="D66" s="24">
        <v>2</v>
      </c>
      <c r="E66" s="24">
        <v>0</v>
      </c>
      <c r="F66" s="24" t="s">
        <v>151</v>
      </c>
      <c r="G66" s="24" t="s">
        <v>1169</v>
      </c>
      <c r="H66" s="24"/>
      <c r="I66" s="24" t="s">
        <v>382</v>
      </c>
      <c r="J66" s="24"/>
      <c r="K66" s="24"/>
      <c r="L66" s="24" t="s">
        <v>26</v>
      </c>
      <c r="M66" s="24"/>
      <c r="N66" s="24"/>
      <c r="O66" s="26">
        <f>GET_OK_GROUPS_COUNT(tbStoryEnemy[[#This Row],[Camp]],tbStoryEnemy[[#This Row],[Difficulty]],tbStoryEnemy[[#This Row],[IsBoss]],tbStoryEnemy[[#This Row],[Hero1]:[Soldier3]])</f>
        <v>1</v>
      </c>
      <c r="P66" s="24">
        <v>1</v>
      </c>
      <c r="Q66" s="25" t="s">
        <v>912</v>
      </c>
      <c r="R66" s="24"/>
      <c r="S66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67" spans="2:19">
      <c r="B67" s="24" t="s">
        <v>645</v>
      </c>
      <c r="C67" s="34" t="s">
        <v>1289</v>
      </c>
      <c r="D67" s="24">
        <v>1</v>
      </c>
      <c r="E67" s="24">
        <v>0</v>
      </c>
      <c r="F67" s="24" t="s">
        <v>151</v>
      </c>
      <c r="G67" s="24" t="s">
        <v>1169</v>
      </c>
      <c r="H67" s="24"/>
      <c r="I67" s="24" t="s">
        <v>382</v>
      </c>
      <c r="J67" s="24"/>
      <c r="K67" s="24"/>
      <c r="L67" s="24"/>
      <c r="M67" s="24"/>
      <c r="N67" s="24"/>
      <c r="O67" s="26">
        <f>GET_OK_GROUPS_COUNT(tbStoryEnemy[[#This Row],[Camp]],tbStoryEnemy[[#This Row],[Difficulty]],tbStoryEnemy[[#This Row],[IsBoss]],tbStoryEnemy[[#This Row],[Hero1]:[Soldier3]])</f>
        <v>4</v>
      </c>
      <c r="P67" s="24">
        <v>3</v>
      </c>
      <c r="Q67" s="25" t="s">
        <v>912</v>
      </c>
      <c r="R67" s="24"/>
      <c r="S67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68" spans="2:19">
      <c r="B68" s="24" t="s">
        <v>645</v>
      </c>
      <c r="C68" s="34" t="s">
        <v>1289</v>
      </c>
      <c r="D68" s="24">
        <v>2</v>
      </c>
      <c r="E68" s="24">
        <v>0</v>
      </c>
      <c r="F68" s="24" t="s">
        <v>151</v>
      </c>
      <c r="G68" s="24" t="s">
        <v>1126</v>
      </c>
      <c r="H68" s="24" t="b">
        <v>1</v>
      </c>
      <c r="I68" s="24" t="s">
        <v>412</v>
      </c>
      <c r="J68" s="24" t="s">
        <v>382</v>
      </c>
      <c r="K68" s="24"/>
      <c r="L68" s="24"/>
      <c r="M68" s="24"/>
      <c r="N68" s="24"/>
      <c r="O68" s="26">
        <f>GET_OK_GROUPS_COUNT(tbStoryEnemy[[#This Row],[Camp]],tbStoryEnemy[[#This Row],[Difficulty]],tbStoryEnemy[[#This Row],[IsBoss]],tbStoryEnemy[[#This Row],[Hero1]:[Soldier3]])</f>
        <v>1</v>
      </c>
      <c r="P68" s="24">
        <v>1</v>
      </c>
      <c r="Q68" s="25" t="s">
        <v>412</v>
      </c>
      <c r="R68" s="24"/>
      <c r="S68" s="26" t="str">
        <f>GET_OK_GROUP(tbStoryEnemy[[#This Row],[Camp]],tbStoryEnemy[[#This Row],[Difficulty]],tbStoryEnemy[[#This Row],[IsBoss]],tbStoryEnemy[[#This Row],[Hero1]:[Soldier3]],tbStoryEnemy[[#This Row],[GroupID]])</f>
        <v>三国-超难-[B]铁英+铁英</v>
      </c>
    </row>
    <row r="69" spans="2:19">
      <c r="B69" s="24" t="s">
        <v>646</v>
      </c>
      <c r="C69" s="34" t="s">
        <v>1289</v>
      </c>
      <c r="D69" s="24">
        <v>1</v>
      </c>
      <c r="E69" s="24">
        <v>0</v>
      </c>
      <c r="F69" s="24" t="s">
        <v>151</v>
      </c>
      <c r="G69" s="24" t="s">
        <v>1338</v>
      </c>
      <c r="H69" s="24"/>
      <c r="I69" s="24"/>
      <c r="J69" s="24"/>
      <c r="K69" s="24"/>
      <c r="L69" s="24" t="s">
        <v>26</v>
      </c>
      <c r="M69" s="24"/>
      <c r="N69" s="24"/>
      <c r="O69" s="26">
        <f>GET_OK_GROUPS_COUNT(tbStoryEnemy[[#This Row],[Camp]],tbStoryEnemy[[#This Row],[Difficulty]],tbStoryEnemy[[#This Row],[IsBoss]],tbStoryEnemy[[#This Row],[Hero1]:[Soldier3]])</f>
        <v>3</v>
      </c>
      <c r="P69" s="24">
        <v>2</v>
      </c>
      <c r="Q69" s="25" t="s">
        <v>912</v>
      </c>
      <c r="R69" s="24"/>
      <c r="S69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70" spans="2:19">
      <c r="B70" s="24" t="s">
        <v>646</v>
      </c>
      <c r="C70" s="34" t="s">
        <v>1289</v>
      </c>
      <c r="D70" s="24">
        <v>2</v>
      </c>
      <c r="E70" s="24">
        <v>0</v>
      </c>
      <c r="F70" s="24" t="s">
        <v>151</v>
      </c>
      <c r="G70" s="24" t="s">
        <v>1169</v>
      </c>
      <c r="H70" s="24"/>
      <c r="I70" s="24" t="s">
        <v>381</v>
      </c>
      <c r="J70" s="24"/>
      <c r="K70" s="24"/>
      <c r="L70" s="24"/>
      <c r="M70" s="24"/>
      <c r="N70" s="24"/>
      <c r="O70" s="26">
        <f>GET_OK_GROUPS_COUNT(tbStoryEnemy[[#This Row],[Camp]],tbStoryEnemy[[#This Row],[Difficulty]],tbStoryEnemy[[#This Row],[IsBoss]],tbStoryEnemy[[#This Row],[Hero1]:[Soldier3]])</f>
        <v>3</v>
      </c>
      <c r="P70" s="24">
        <v>1</v>
      </c>
      <c r="Q70" s="25" t="s">
        <v>912</v>
      </c>
      <c r="R70" s="24"/>
      <c r="S70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71" spans="2:19">
      <c r="B71" s="24" t="s">
        <v>647</v>
      </c>
      <c r="C71" s="34" t="s">
        <v>1289</v>
      </c>
      <c r="D71" s="24">
        <v>1</v>
      </c>
      <c r="E71" s="24">
        <v>0</v>
      </c>
      <c r="F71" s="24" t="s">
        <v>151</v>
      </c>
      <c r="G71" s="24" t="s">
        <v>1169</v>
      </c>
      <c r="H71" s="24"/>
      <c r="I71" s="24"/>
      <c r="J71" s="24"/>
      <c r="K71" s="24"/>
      <c r="L71" s="24" t="s">
        <v>34</v>
      </c>
      <c r="M71" s="24"/>
      <c r="N71" s="24"/>
      <c r="O71" s="26">
        <f>GET_OK_GROUPS_COUNT(tbStoryEnemy[[#This Row],[Camp]],tbStoryEnemy[[#This Row],[Difficulty]],tbStoryEnemy[[#This Row],[IsBoss]],tbStoryEnemy[[#This Row],[Hero1]:[Soldier3]])</f>
        <v>14</v>
      </c>
      <c r="P71" s="24">
        <v>4</v>
      </c>
      <c r="Q71" s="25" t="s">
        <v>912</v>
      </c>
      <c r="R71" s="24"/>
      <c r="S71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72" spans="2:19">
      <c r="B72" s="24" t="s">
        <v>647</v>
      </c>
      <c r="C72" s="34" t="s">
        <v>1289</v>
      </c>
      <c r="D72" s="24">
        <v>2</v>
      </c>
      <c r="E72" s="24">
        <v>0</v>
      </c>
      <c r="F72" s="24" t="s">
        <v>151</v>
      </c>
      <c r="G72" s="24" t="s">
        <v>1169</v>
      </c>
      <c r="H72" s="24"/>
      <c r="I72" s="24" t="s">
        <v>381</v>
      </c>
      <c r="J72" s="24"/>
      <c r="K72" s="24"/>
      <c r="L72" s="24" t="s">
        <v>34</v>
      </c>
      <c r="M72" s="24"/>
      <c r="N72" s="24"/>
      <c r="O72" s="26">
        <f>GET_OK_GROUPS_COUNT(tbStoryEnemy[[#This Row],[Camp]],tbStoryEnemy[[#This Row],[Difficulty]],tbStoryEnemy[[#This Row],[IsBoss]],tbStoryEnemy[[#This Row],[Hero1]:[Soldier3]])</f>
        <v>1</v>
      </c>
      <c r="P72" s="24">
        <v>1</v>
      </c>
      <c r="Q72" s="25" t="s">
        <v>912</v>
      </c>
      <c r="R72" s="24"/>
      <c r="S72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73" spans="2:19">
      <c r="B73" s="24" t="s">
        <v>648</v>
      </c>
      <c r="C73" s="34" t="s">
        <v>1289</v>
      </c>
      <c r="D73" s="24">
        <v>1</v>
      </c>
      <c r="E73" s="24">
        <v>0</v>
      </c>
      <c r="F73" s="24" t="s">
        <v>151</v>
      </c>
      <c r="G73" s="24" t="s">
        <v>1169</v>
      </c>
      <c r="H73" s="24"/>
      <c r="I73" s="24"/>
      <c r="J73" s="24"/>
      <c r="K73" s="24"/>
      <c r="L73" s="24" t="s">
        <v>26</v>
      </c>
      <c r="M73" s="24"/>
      <c r="N73" s="24"/>
      <c r="O73" s="26">
        <f>GET_OK_GROUPS_COUNT(tbStoryEnemy[[#This Row],[Camp]],tbStoryEnemy[[#This Row],[Difficulty]],tbStoryEnemy[[#This Row],[IsBoss]],tbStoryEnemy[[#This Row],[Hero1]:[Soldier3]])</f>
        <v>9</v>
      </c>
      <c r="P73" s="24">
        <v>2</v>
      </c>
      <c r="Q73" s="25" t="s">
        <v>912</v>
      </c>
      <c r="R73" s="24"/>
      <c r="S73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74" spans="2:19">
      <c r="B74" s="24" t="s">
        <v>648</v>
      </c>
      <c r="C74" s="34" t="s">
        <v>1289</v>
      </c>
      <c r="D74" s="24">
        <v>2</v>
      </c>
      <c r="E74" s="24">
        <v>0</v>
      </c>
      <c r="F74" s="24" t="s">
        <v>151</v>
      </c>
      <c r="G74" s="24" t="s">
        <v>1169</v>
      </c>
      <c r="H74" s="24" t="b">
        <v>1</v>
      </c>
      <c r="I74" s="24" t="s">
        <v>334</v>
      </c>
      <c r="J74" s="24"/>
      <c r="K74" s="24"/>
      <c r="L74" s="24" t="s">
        <v>34</v>
      </c>
      <c r="M74" s="24"/>
      <c r="N74" s="24"/>
      <c r="O74" s="26">
        <f>GET_OK_GROUPS_COUNT(tbStoryEnemy[[#This Row],[Camp]],tbStoryEnemy[[#This Row],[Difficulty]],tbStoryEnemy[[#This Row],[IsBoss]],tbStoryEnemy[[#This Row],[Hero1]:[Soldier3]])</f>
        <v>1</v>
      </c>
      <c r="P74" s="24">
        <v>1</v>
      </c>
      <c r="Q74" s="25" t="s">
        <v>334</v>
      </c>
      <c r="R74" s="24"/>
      <c r="S74" s="26" t="str">
        <f>GET_OK_GROUP(tbStoryEnemy[[#This Row],[Camp]],tbStoryEnemy[[#This Row],[Difficulty]],tbStoryEnemy[[#This Row],[IsBoss]],tbStoryEnemy[[#This Row],[Hero1]:[Soldier3]],tbStoryEnemy[[#This Row],[GroupID]])</f>
        <v>三国-困难-[B]法英+盾兵</v>
      </c>
    </row>
    <row r="75" spans="2:19">
      <c r="B75" s="24" t="s">
        <v>649</v>
      </c>
      <c r="C75" s="34" t="s">
        <v>1289</v>
      </c>
      <c r="D75" s="24">
        <v>1</v>
      </c>
      <c r="E75" s="24">
        <v>0</v>
      </c>
      <c r="F75" s="24" t="s">
        <v>151</v>
      </c>
      <c r="G75" s="24" t="s">
        <v>1338</v>
      </c>
      <c r="H75" s="24"/>
      <c r="I75" s="24"/>
      <c r="J75" s="24"/>
      <c r="K75" s="24"/>
      <c r="L75" s="24" t="s">
        <v>49</v>
      </c>
      <c r="M75" s="24"/>
      <c r="N75" s="24"/>
      <c r="O75" s="26">
        <f>GET_OK_GROUPS_COUNT(tbStoryEnemy[[#This Row],[Camp]],tbStoryEnemy[[#This Row],[Difficulty]],tbStoryEnemy[[#This Row],[IsBoss]],tbStoryEnemy[[#This Row],[Hero1]:[Soldier3]])</f>
        <v>1</v>
      </c>
      <c r="P75" s="24">
        <v>1</v>
      </c>
      <c r="Q75" s="25" t="s">
        <v>912</v>
      </c>
      <c r="R75" s="24"/>
      <c r="S75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76" spans="2:19">
      <c r="B76" s="24" t="s">
        <v>649</v>
      </c>
      <c r="C76" s="34" t="s">
        <v>1289</v>
      </c>
      <c r="D76" s="24">
        <v>2</v>
      </c>
      <c r="E76" s="24">
        <v>0</v>
      </c>
      <c r="F76" s="24" t="s">
        <v>151</v>
      </c>
      <c r="G76" s="24" t="s">
        <v>1169</v>
      </c>
      <c r="H76" s="24"/>
      <c r="I76" s="24" t="s">
        <v>381</v>
      </c>
      <c r="J76" s="24"/>
      <c r="K76" s="24"/>
      <c r="L76" s="24" t="s">
        <v>34</v>
      </c>
      <c r="M76" s="24"/>
      <c r="N76" s="24"/>
      <c r="O76" s="26">
        <f>GET_OK_GROUPS_COUNT(tbStoryEnemy[[#This Row],[Camp]],tbStoryEnemy[[#This Row],[Difficulty]],tbStoryEnemy[[#This Row],[IsBoss]],tbStoryEnemy[[#This Row],[Hero1]:[Soldier3]])</f>
        <v>1</v>
      </c>
      <c r="P76" s="24">
        <v>1</v>
      </c>
      <c r="Q76" s="25" t="s">
        <v>912</v>
      </c>
      <c r="R76" s="24"/>
      <c r="S76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77" spans="2:19">
      <c r="B77" s="24" t="s">
        <v>650</v>
      </c>
      <c r="C77" s="34" t="s">
        <v>1289</v>
      </c>
      <c r="D77" s="24">
        <v>1</v>
      </c>
      <c r="E77" s="24">
        <v>0</v>
      </c>
      <c r="F77" s="24" t="s">
        <v>151</v>
      </c>
      <c r="G77" s="24" t="s">
        <v>1169</v>
      </c>
      <c r="H77" s="24"/>
      <c r="I77" s="24"/>
      <c r="J77" s="24"/>
      <c r="K77" s="24"/>
      <c r="L77" s="24" t="s">
        <v>25</v>
      </c>
      <c r="M77" s="24" t="s">
        <v>26</v>
      </c>
      <c r="N77" s="24"/>
      <c r="O77" s="26">
        <f>GET_OK_GROUPS_COUNT(tbStoryEnemy[[#This Row],[Camp]],tbStoryEnemy[[#This Row],[Difficulty]],tbStoryEnemy[[#This Row],[IsBoss]],tbStoryEnemy[[#This Row],[Hero1]:[Soldier3]])</f>
        <v>5</v>
      </c>
      <c r="P77" s="24">
        <v>1</v>
      </c>
      <c r="Q77" s="25" t="s">
        <v>912</v>
      </c>
      <c r="R77" s="24"/>
      <c r="S77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78" spans="2:19">
      <c r="B78" s="24" t="s">
        <v>650</v>
      </c>
      <c r="C78" s="34" t="s">
        <v>1289</v>
      </c>
      <c r="D78" s="24">
        <v>2</v>
      </c>
      <c r="E78" s="24">
        <v>0</v>
      </c>
      <c r="F78" s="24" t="s">
        <v>151</v>
      </c>
      <c r="G78" s="24" t="s">
        <v>1169</v>
      </c>
      <c r="H78" s="24"/>
      <c r="I78" s="24" t="s">
        <v>381</v>
      </c>
      <c r="J78" s="24"/>
      <c r="K78" s="24"/>
      <c r="L78" s="24" t="s">
        <v>25</v>
      </c>
      <c r="M78" s="24"/>
      <c r="N78" s="24"/>
      <c r="O78" s="26">
        <f>GET_OK_GROUPS_COUNT(tbStoryEnemy[[#This Row],[Camp]],tbStoryEnemy[[#This Row],[Difficulty]],tbStoryEnemy[[#This Row],[IsBoss]],tbStoryEnemy[[#This Row],[Hero1]:[Soldier3]])</f>
        <v>1</v>
      </c>
      <c r="P78" s="24">
        <v>1</v>
      </c>
      <c r="Q78" s="25" t="s">
        <v>912</v>
      </c>
      <c r="R78" s="24"/>
      <c r="S78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79" spans="2:19">
      <c r="B79" s="24" t="s">
        <v>651</v>
      </c>
      <c r="C79" s="34" t="s">
        <v>1289</v>
      </c>
      <c r="D79" s="24">
        <v>1</v>
      </c>
      <c r="E79" s="24">
        <v>0</v>
      </c>
      <c r="F79" s="24" t="s">
        <v>151</v>
      </c>
      <c r="G79" s="24" t="s">
        <v>1169</v>
      </c>
      <c r="H79" s="24"/>
      <c r="I79" s="24" t="s">
        <v>382</v>
      </c>
      <c r="J79" s="24"/>
      <c r="K79" s="24"/>
      <c r="L79" s="24"/>
      <c r="M79" s="24"/>
      <c r="N79" s="24"/>
      <c r="O79" s="26">
        <f>GET_OK_GROUPS_COUNT(tbStoryEnemy[[#This Row],[Camp]],tbStoryEnemy[[#This Row],[Difficulty]],tbStoryEnemy[[#This Row],[IsBoss]],tbStoryEnemy[[#This Row],[Hero1]:[Soldier3]])</f>
        <v>4</v>
      </c>
      <c r="P79" s="24">
        <v>1</v>
      </c>
      <c r="Q79" s="25" t="s">
        <v>912</v>
      </c>
      <c r="R79" s="24"/>
      <c r="S79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80" spans="2:19">
      <c r="B80" s="24" t="s">
        <v>651</v>
      </c>
      <c r="C80" s="34" t="s">
        <v>1289</v>
      </c>
      <c r="D80" s="24">
        <v>2</v>
      </c>
      <c r="E80" s="24">
        <v>0</v>
      </c>
      <c r="F80" s="24" t="s">
        <v>151</v>
      </c>
      <c r="G80" s="24" t="s">
        <v>1126</v>
      </c>
      <c r="H80" s="24" t="b">
        <v>1</v>
      </c>
      <c r="I80" s="24" t="s">
        <v>405</v>
      </c>
      <c r="J80" s="24" t="s">
        <v>381</v>
      </c>
      <c r="K80" s="24"/>
      <c r="L80" s="24"/>
      <c r="M80" s="24"/>
      <c r="N80" s="24"/>
      <c r="O80" s="26">
        <f>GET_OK_GROUPS_COUNT(tbStoryEnemy[[#This Row],[Camp]],tbStoryEnemy[[#This Row],[Difficulty]],tbStoryEnemy[[#This Row],[IsBoss]],tbStoryEnemy[[#This Row],[Hero1]:[Soldier3]])</f>
        <v>1</v>
      </c>
      <c r="P80" s="24">
        <v>1</v>
      </c>
      <c r="Q80" s="25" t="s">
        <v>405</v>
      </c>
      <c r="R80" s="24"/>
      <c r="S80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81" spans="2:19">
      <c r="B81" s="24" t="s">
        <v>652</v>
      </c>
      <c r="C81" s="34" t="s">
        <v>1289</v>
      </c>
      <c r="D81" s="24">
        <v>1</v>
      </c>
      <c r="E81" s="24">
        <v>0</v>
      </c>
      <c r="F81" s="24" t="s">
        <v>151</v>
      </c>
      <c r="G81" s="24" t="s">
        <v>1338</v>
      </c>
      <c r="H81" s="24"/>
      <c r="I81" s="24"/>
      <c r="J81" s="24"/>
      <c r="K81" s="24"/>
      <c r="L81" s="24" t="s">
        <v>28</v>
      </c>
      <c r="M81" s="24"/>
      <c r="N81" s="24"/>
      <c r="O81" s="26">
        <f>GET_OK_GROUPS_COUNT(tbStoryEnemy[[#This Row],[Camp]],tbStoryEnemy[[#This Row],[Difficulty]],tbStoryEnemy[[#This Row],[IsBoss]],tbStoryEnemy[[#This Row],[Hero1]:[Soldier3]])</f>
        <v>3</v>
      </c>
      <c r="P81" s="24">
        <v>1</v>
      </c>
      <c r="Q81" s="25" t="s">
        <v>912</v>
      </c>
      <c r="R81" s="24"/>
      <c r="S81" s="26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82" spans="2:19">
      <c r="B82" s="24" t="s">
        <v>652</v>
      </c>
      <c r="C82" s="34" t="s">
        <v>1289</v>
      </c>
      <c r="D82" s="24">
        <v>2</v>
      </c>
      <c r="E82" s="24">
        <v>0</v>
      </c>
      <c r="F82" s="24" t="s">
        <v>151</v>
      </c>
      <c r="G82" s="24" t="s">
        <v>1169</v>
      </c>
      <c r="H82" s="24"/>
      <c r="I82" s="24" t="s">
        <v>384</v>
      </c>
      <c r="J82" s="24"/>
      <c r="K82" s="24"/>
      <c r="L82" s="24"/>
      <c r="M82" s="24"/>
      <c r="N82" s="24"/>
      <c r="O82" s="26">
        <f>GET_OK_GROUPS_COUNT(tbStoryEnemy[[#This Row],[Camp]],tbStoryEnemy[[#This Row],[Difficulty]],tbStoryEnemy[[#This Row],[IsBoss]],tbStoryEnemy[[#This Row],[Hero1]:[Soldier3]])</f>
        <v>3</v>
      </c>
      <c r="P82" s="24">
        <v>2</v>
      </c>
      <c r="Q82" s="25" t="s">
        <v>912</v>
      </c>
      <c r="R82" s="24"/>
      <c r="S82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83" spans="2:19">
      <c r="B83" s="24" t="s">
        <v>653</v>
      </c>
      <c r="C83" s="34" t="s">
        <v>1289</v>
      </c>
      <c r="D83" s="24">
        <v>1</v>
      </c>
      <c r="E83" s="24">
        <v>0</v>
      </c>
      <c r="F83" s="24" t="s">
        <v>151</v>
      </c>
      <c r="G83" s="24" t="s">
        <v>1338</v>
      </c>
      <c r="H83" s="24"/>
      <c r="I83" s="24"/>
      <c r="J83" s="24"/>
      <c r="K83" s="24"/>
      <c r="L83" s="24" t="s">
        <v>28</v>
      </c>
      <c r="M83" s="24"/>
      <c r="N83" s="24"/>
      <c r="O83" s="26">
        <f>GET_OK_GROUPS_COUNT(tbStoryEnemy[[#This Row],[Camp]],tbStoryEnemy[[#This Row],[Difficulty]],tbStoryEnemy[[#This Row],[IsBoss]],tbStoryEnemy[[#This Row],[Hero1]:[Soldier3]])</f>
        <v>3</v>
      </c>
      <c r="P83" s="24">
        <v>2</v>
      </c>
      <c r="Q83" s="25" t="s">
        <v>912</v>
      </c>
      <c r="R83" s="24"/>
      <c r="S83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84" spans="2:19">
      <c r="B84" s="24" t="s">
        <v>653</v>
      </c>
      <c r="C84" s="34" t="s">
        <v>1289</v>
      </c>
      <c r="D84" s="24">
        <v>2</v>
      </c>
      <c r="E84" s="24">
        <v>0</v>
      </c>
      <c r="F84" s="24" t="s">
        <v>151</v>
      </c>
      <c r="G84" s="24" t="s">
        <v>1169</v>
      </c>
      <c r="H84" s="24"/>
      <c r="I84" s="24" t="s">
        <v>384</v>
      </c>
      <c r="J84" s="24"/>
      <c r="K84" s="24"/>
      <c r="L84" s="24" t="s">
        <v>25</v>
      </c>
      <c r="M84" s="24"/>
      <c r="N84" s="24"/>
      <c r="O84" s="26">
        <f>GET_OK_GROUPS_COUNT(tbStoryEnemy[[#This Row],[Camp]],tbStoryEnemy[[#This Row],[Difficulty]],tbStoryEnemy[[#This Row],[IsBoss]],tbStoryEnemy[[#This Row],[Hero1]:[Soldier3]])</f>
        <v>1</v>
      </c>
      <c r="P84" s="24">
        <v>1</v>
      </c>
      <c r="Q84" s="25" t="s">
        <v>912</v>
      </c>
      <c r="R84" s="24"/>
      <c r="S84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85" spans="2:19">
      <c r="B85" s="24" t="s">
        <v>654</v>
      </c>
      <c r="C85" s="34" t="s">
        <v>1289</v>
      </c>
      <c r="D85" s="24">
        <v>1</v>
      </c>
      <c r="E85" s="24">
        <v>0</v>
      </c>
      <c r="F85" s="24" t="s">
        <v>151</v>
      </c>
      <c r="G85" s="24" t="s">
        <v>1169</v>
      </c>
      <c r="H85" s="24"/>
      <c r="I85" s="24"/>
      <c r="J85" s="24"/>
      <c r="K85" s="24"/>
      <c r="L85" s="24" t="s">
        <v>49</v>
      </c>
      <c r="M85" s="24"/>
      <c r="N85" s="24"/>
      <c r="O85" s="26">
        <f>GET_OK_GROUPS_COUNT(tbStoryEnemy[[#This Row],[Camp]],tbStoryEnemy[[#This Row],[Difficulty]],tbStoryEnemy[[#This Row],[IsBoss]],tbStoryEnemy[[#This Row],[Hero1]:[Soldier3]])</f>
        <v>1</v>
      </c>
      <c r="P85" s="24">
        <v>1</v>
      </c>
      <c r="Q85" s="25" t="s">
        <v>912</v>
      </c>
      <c r="R85" s="24"/>
      <c r="S85" s="26" t="str">
        <f>GET_OK_GROUP(tbStoryEnemy[[#This Row],[Camp]],tbStoryEnemy[[#This Row],[Difficulty]],tbStoryEnemy[[#This Row],[IsBoss]],tbStoryEnemy[[#This Row],[Hero1]:[Soldier3]],tbStoryEnemy[[#This Row],[GroupID]])</f>
        <v>三国-困难-教徒</v>
      </c>
    </row>
    <row r="86" spans="2:19">
      <c r="B86" s="24" t="s">
        <v>654</v>
      </c>
      <c r="C86" s="34" t="s">
        <v>1289</v>
      </c>
      <c r="D86" s="24">
        <v>2</v>
      </c>
      <c r="E86" s="24">
        <v>0</v>
      </c>
      <c r="F86" s="24" t="s">
        <v>151</v>
      </c>
      <c r="G86" s="24" t="s">
        <v>1169</v>
      </c>
      <c r="H86" s="24" t="b">
        <v>1</v>
      </c>
      <c r="I86" s="24" t="s">
        <v>24</v>
      </c>
      <c r="J86" s="24"/>
      <c r="K86" s="24"/>
      <c r="L86" s="24" t="s">
        <v>28</v>
      </c>
      <c r="M86" s="24"/>
      <c r="N86" s="24"/>
      <c r="O86" s="26">
        <f>GET_OK_GROUPS_COUNT(tbStoryEnemy[[#This Row],[Camp]],tbStoryEnemy[[#This Row],[Difficulty]],tbStoryEnemy[[#This Row],[IsBoss]],tbStoryEnemy[[#This Row],[Hero1]:[Soldier3]])</f>
        <v>1</v>
      </c>
      <c r="P86" s="24">
        <v>1</v>
      </c>
      <c r="Q86" s="25" t="s">
        <v>24</v>
      </c>
      <c r="R86" s="24"/>
      <c r="S86" s="26" t="str">
        <f>GET_OK_GROUP(tbStoryEnemy[[#This Row],[Camp]],tbStoryEnemy[[#This Row],[Difficulty]],tbStoryEnemy[[#This Row],[IsBoss]],tbStoryEnemy[[#This Row],[Hero1]:[Soldier3]],tbStoryEnemy[[#This Row],[GroupID]])</f>
        <v>三国-困难-[B]铁英+法兵</v>
      </c>
    </row>
    <row r="87" spans="2:19">
      <c r="B87" s="24" t="s">
        <v>655</v>
      </c>
      <c r="C87" s="34" t="s">
        <v>1289</v>
      </c>
      <c r="D87" s="24">
        <v>1</v>
      </c>
      <c r="E87" s="24">
        <v>0</v>
      </c>
      <c r="F87" s="24" t="s">
        <v>151</v>
      </c>
      <c r="G87" s="24" t="s">
        <v>1338</v>
      </c>
      <c r="H87" s="24"/>
      <c r="I87" s="24"/>
      <c r="J87" s="24"/>
      <c r="K87" s="24"/>
      <c r="L87" s="24" t="s">
        <v>28</v>
      </c>
      <c r="M87" s="24"/>
      <c r="N87" s="24"/>
      <c r="O87" s="26">
        <f>GET_OK_GROUPS_COUNT(tbStoryEnemy[[#This Row],[Camp]],tbStoryEnemy[[#This Row],[Difficulty]],tbStoryEnemy[[#This Row],[IsBoss]],tbStoryEnemy[[#This Row],[Hero1]:[Soldier3]])</f>
        <v>3</v>
      </c>
      <c r="P87" s="24">
        <v>1</v>
      </c>
      <c r="Q87" s="25" t="s">
        <v>912</v>
      </c>
      <c r="R87" s="24"/>
      <c r="S87" s="26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88" spans="2:19">
      <c r="B88" s="24" t="s">
        <v>655</v>
      </c>
      <c r="C88" s="34" t="s">
        <v>1289</v>
      </c>
      <c r="D88" s="24">
        <v>2</v>
      </c>
      <c r="E88" s="24">
        <v>0</v>
      </c>
      <c r="F88" s="24" t="s">
        <v>151</v>
      </c>
      <c r="G88" s="24" t="s">
        <v>1169</v>
      </c>
      <c r="H88" s="24"/>
      <c r="I88" s="24" t="s">
        <v>384</v>
      </c>
      <c r="J88" s="24"/>
      <c r="K88" s="24"/>
      <c r="L88" s="24" t="s">
        <v>34</v>
      </c>
      <c r="M88" s="24"/>
      <c r="N88" s="24"/>
      <c r="O88" s="26">
        <f>GET_OK_GROUPS_COUNT(tbStoryEnemy[[#This Row],[Camp]],tbStoryEnemy[[#This Row],[Difficulty]],tbStoryEnemy[[#This Row],[IsBoss]],tbStoryEnemy[[#This Row],[Hero1]:[Soldier3]])</f>
        <v>1</v>
      </c>
      <c r="P88" s="24">
        <v>1</v>
      </c>
      <c r="Q88" s="25" t="s">
        <v>912</v>
      </c>
      <c r="R88" s="24"/>
      <c r="S88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89" spans="2:19">
      <c r="B89" s="24" t="s">
        <v>656</v>
      </c>
      <c r="C89" s="34" t="s">
        <v>1289</v>
      </c>
      <c r="D89" s="24">
        <v>1</v>
      </c>
      <c r="E89" s="24">
        <v>0</v>
      </c>
      <c r="F89" s="24" t="s">
        <v>151</v>
      </c>
      <c r="G89" s="24" t="s">
        <v>1169</v>
      </c>
      <c r="H89" s="24"/>
      <c r="I89" s="24"/>
      <c r="J89" s="24"/>
      <c r="K89" s="24"/>
      <c r="L89" s="24" t="s">
        <v>26</v>
      </c>
      <c r="M89" s="24"/>
      <c r="N89" s="24"/>
      <c r="O89" s="26">
        <f>GET_OK_GROUPS_COUNT(tbStoryEnemy[[#This Row],[Camp]],tbStoryEnemy[[#This Row],[Difficulty]],tbStoryEnemy[[#This Row],[IsBoss]],tbStoryEnemy[[#This Row],[Hero1]:[Soldier3]])</f>
        <v>9</v>
      </c>
      <c r="P89" s="24">
        <v>1</v>
      </c>
      <c r="Q89" s="25" t="s">
        <v>912</v>
      </c>
      <c r="R89" s="24"/>
      <c r="S89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90" spans="2:19">
      <c r="B90" s="24" t="s">
        <v>656</v>
      </c>
      <c r="C90" s="34" t="s">
        <v>1289</v>
      </c>
      <c r="D90" s="24">
        <v>2</v>
      </c>
      <c r="E90" s="24">
        <v>0</v>
      </c>
      <c r="F90" s="24" t="s">
        <v>151</v>
      </c>
      <c r="G90" s="24" t="s">
        <v>1169</v>
      </c>
      <c r="H90" s="24"/>
      <c r="I90" s="24" t="s">
        <v>384</v>
      </c>
      <c r="J90" s="24"/>
      <c r="K90" s="24"/>
      <c r="L90" s="24" t="s">
        <v>25</v>
      </c>
      <c r="M90" s="24"/>
      <c r="N90" s="24"/>
      <c r="O90" s="26">
        <f>GET_OK_GROUPS_COUNT(tbStoryEnemy[[#This Row],[Camp]],tbStoryEnemy[[#This Row],[Difficulty]],tbStoryEnemy[[#This Row],[IsBoss]],tbStoryEnemy[[#This Row],[Hero1]:[Soldier3]])</f>
        <v>1</v>
      </c>
      <c r="P90" s="24">
        <v>1</v>
      </c>
      <c r="Q90" s="25" t="s">
        <v>912</v>
      </c>
      <c r="R90" s="24"/>
      <c r="S90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91" spans="2:19">
      <c r="B91" s="24" t="s">
        <v>657</v>
      </c>
      <c r="C91" s="34" t="s">
        <v>1289</v>
      </c>
      <c r="D91" s="24">
        <v>1</v>
      </c>
      <c r="E91" s="24">
        <v>0</v>
      </c>
      <c r="F91" s="24" t="s">
        <v>151</v>
      </c>
      <c r="G91" s="24" t="s">
        <v>1169</v>
      </c>
      <c r="H91" s="24"/>
      <c r="I91" s="24" t="s">
        <v>381</v>
      </c>
      <c r="J91" s="24"/>
      <c r="K91" s="24"/>
      <c r="L91" s="24"/>
      <c r="M91" s="24"/>
      <c r="N91" s="24"/>
      <c r="O91" s="26">
        <f>GET_OK_GROUPS_COUNT(tbStoryEnemy[[#This Row],[Camp]],tbStoryEnemy[[#This Row],[Difficulty]],tbStoryEnemy[[#This Row],[IsBoss]],tbStoryEnemy[[#This Row],[Hero1]:[Soldier3]])</f>
        <v>3</v>
      </c>
      <c r="P91" s="24">
        <v>2</v>
      </c>
      <c r="Q91" s="25" t="s">
        <v>912</v>
      </c>
      <c r="R91" s="24"/>
      <c r="S91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92" spans="2:19">
      <c r="B92" s="24" t="s">
        <v>657</v>
      </c>
      <c r="C92" s="34" t="s">
        <v>1289</v>
      </c>
      <c r="D92" s="24">
        <v>2</v>
      </c>
      <c r="E92" s="24">
        <v>0</v>
      </c>
      <c r="F92" s="24" t="s">
        <v>151</v>
      </c>
      <c r="G92" s="24" t="s">
        <v>1126</v>
      </c>
      <c r="H92" s="24" t="b">
        <v>1</v>
      </c>
      <c r="I92" s="24" t="s">
        <v>336</v>
      </c>
      <c r="J92" s="24" t="s">
        <v>384</v>
      </c>
      <c r="K92" s="24"/>
      <c r="L92" s="24"/>
      <c r="M92" s="24"/>
      <c r="N92" s="24"/>
      <c r="O92" s="26">
        <f>GET_OK_GROUPS_COUNT(tbStoryEnemy[[#This Row],[Camp]],tbStoryEnemy[[#This Row],[Difficulty]],tbStoryEnemy[[#This Row],[IsBoss]],tbStoryEnemy[[#This Row],[Hero1]:[Soldier3]])</f>
        <v>1</v>
      </c>
      <c r="P92" s="24">
        <v>1</v>
      </c>
      <c r="Q92" s="25" t="s">
        <v>336</v>
      </c>
      <c r="R92" s="24"/>
      <c r="S92" s="26" t="str">
        <f>GET_OK_GROUP(tbStoryEnemy[[#This Row],[Camp]],tbStoryEnemy[[#This Row],[Difficulty]],tbStoryEnemy[[#This Row],[IsBoss]],tbStoryEnemy[[#This Row],[Hero1]:[Soldier3]],tbStoryEnemy[[#This Row],[GroupID]])</f>
        <v>三国-超难-[B]炼英+法英</v>
      </c>
    </row>
    <row r="93" spans="2:19">
      <c r="B93" s="24" t="s">
        <v>658</v>
      </c>
      <c r="C93" s="34" t="s">
        <v>1289</v>
      </c>
      <c r="D93" s="24">
        <v>1</v>
      </c>
      <c r="E93" s="24">
        <v>0</v>
      </c>
      <c r="F93" s="24" t="s">
        <v>151</v>
      </c>
      <c r="G93" s="24" t="s">
        <v>1338</v>
      </c>
      <c r="H93" s="24"/>
      <c r="I93" s="24"/>
      <c r="J93" s="24"/>
      <c r="K93" s="24"/>
      <c r="L93" s="24" t="s">
        <v>49</v>
      </c>
      <c r="M93" s="24"/>
      <c r="N93" s="24"/>
      <c r="O93" s="26">
        <f>GET_OK_GROUPS_COUNT(tbStoryEnemy[[#This Row],[Camp]],tbStoryEnemy[[#This Row],[Difficulty]],tbStoryEnemy[[#This Row],[IsBoss]],tbStoryEnemy[[#This Row],[Hero1]:[Soldier3]])</f>
        <v>1</v>
      </c>
      <c r="P93" s="24">
        <v>1</v>
      </c>
      <c r="Q93" s="25" t="s">
        <v>912</v>
      </c>
      <c r="R93" s="24"/>
      <c r="S93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94" spans="2:19">
      <c r="B94" s="24" t="s">
        <v>658</v>
      </c>
      <c r="C94" s="34" t="s">
        <v>1289</v>
      </c>
      <c r="D94" s="24">
        <v>2</v>
      </c>
      <c r="E94" s="24">
        <v>0</v>
      </c>
      <c r="F94" s="24" t="s">
        <v>151</v>
      </c>
      <c r="G94" s="24" t="s">
        <v>1169</v>
      </c>
      <c r="H94" s="24"/>
      <c r="I94" s="24"/>
      <c r="J94" s="24"/>
      <c r="K94" s="24"/>
      <c r="L94" s="24" t="s">
        <v>34</v>
      </c>
      <c r="M94" s="24" t="s">
        <v>26</v>
      </c>
      <c r="N94" s="24"/>
      <c r="O94" s="26">
        <f>GET_OK_GROUPS_COUNT(tbStoryEnemy[[#This Row],[Camp]],tbStoryEnemy[[#This Row],[Difficulty]],tbStoryEnemy[[#This Row],[IsBoss]],tbStoryEnemy[[#This Row],[Hero1]:[Soldier3]])</f>
        <v>5</v>
      </c>
      <c r="P94" s="24">
        <v>2</v>
      </c>
      <c r="Q94" s="25" t="s">
        <v>912</v>
      </c>
      <c r="R94" s="24"/>
      <c r="S94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95" spans="2:19">
      <c r="B95" s="24" t="s">
        <v>659</v>
      </c>
      <c r="C95" s="34" t="s">
        <v>1289</v>
      </c>
      <c r="D95" s="24">
        <v>1</v>
      </c>
      <c r="E95" s="24">
        <v>0</v>
      </c>
      <c r="F95" s="24" t="s">
        <v>151</v>
      </c>
      <c r="G95" s="24" t="s">
        <v>1338</v>
      </c>
      <c r="H95" s="24"/>
      <c r="I95" s="24"/>
      <c r="J95" s="24"/>
      <c r="K95" s="24"/>
      <c r="L95" s="24" t="s">
        <v>34</v>
      </c>
      <c r="M95" s="24"/>
      <c r="N95" s="24"/>
      <c r="O95" s="26">
        <f>GET_OK_GROUPS_COUNT(tbStoryEnemy[[#This Row],[Camp]],tbStoryEnemy[[#This Row],[Difficulty]],tbStoryEnemy[[#This Row],[IsBoss]],tbStoryEnemy[[#This Row],[Hero1]:[Soldier3]])</f>
        <v>5</v>
      </c>
      <c r="P95" s="24">
        <v>2</v>
      </c>
      <c r="Q95" s="25" t="s">
        <v>912</v>
      </c>
      <c r="R95" s="24"/>
      <c r="S95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96" spans="2:19">
      <c r="B96" s="24" t="s">
        <v>659</v>
      </c>
      <c r="C96" s="34" t="s">
        <v>1289</v>
      </c>
      <c r="D96" s="24">
        <v>2</v>
      </c>
      <c r="E96" s="24">
        <v>0</v>
      </c>
      <c r="F96" s="24" t="s">
        <v>151</v>
      </c>
      <c r="G96" s="24" t="s">
        <v>1169</v>
      </c>
      <c r="H96" s="24"/>
      <c r="I96" s="24" t="s">
        <v>380</v>
      </c>
      <c r="J96" s="24"/>
      <c r="K96" s="24"/>
      <c r="L96" s="24" t="s">
        <v>28</v>
      </c>
      <c r="M96" s="24"/>
      <c r="N96" s="24"/>
      <c r="O96" s="26">
        <f>GET_OK_GROUPS_COUNT(tbStoryEnemy[[#This Row],[Camp]],tbStoryEnemy[[#This Row],[Difficulty]],tbStoryEnemy[[#This Row],[IsBoss]],tbStoryEnemy[[#This Row],[Hero1]:[Soldier3]])</f>
        <v>1</v>
      </c>
      <c r="P96" s="24">
        <v>1</v>
      </c>
      <c r="Q96" s="25" t="s">
        <v>912</v>
      </c>
      <c r="R96" s="24"/>
      <c r="S96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97" spans="2:19">
      <c r="B97" s="24" t="s">
        <v>660</v>
      </c>
      <c r="C97" s="34" t="s">
        <v>1289</v>
      </c>
      <c r="D97" s="24">
        <v>1</v>
      </c>
      <c r="E97" s="24">
        <v>0</v>
      </c>
      <c r="F97" s="24" t="s">
        <v>151</v>
      </c>
      <c r="G97" s="24" t="s">
        <v>1169</v>
      </c>
      <c r="H97" s="24"/>
      <c r="I97" s="24"/>
      <c r="J97" s="24"/>
      <c r="K97" s="24"/>
      <c r="L97" s="24" t="s">
        <v>34</v>
      </c>
      <c r="M97" s="24"/>
      <c r="N97" s="24"/>
      <c r="O97" s="26">
        <f>GET_OK_GROUPS_COUNT(tbStoryEnemy[[#This Row],[Camp]],tbStoryEnemy[[#This Row],[Difficulty]],tbStoryEnemy[[#This Row],[IsBoss]],tbStoryEnemy[[#This Row],[Hero1]:[Soldier3]])</f>
        <v>14</v>
      </c>
      <c r="P97" s="24">
        <v>4</v>
      </c>
      <c r="Q97" s="25" t="s">
        <v>912</v>
      </c>
      <c r="R97" s="24"/>
      <c r="S97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98" spans="2:19">
      <c r="B98" s="24" t="s">
        <v>660</v>
      </c>
      <c r="C98" s="34" t="s">
        <v>1289</v>
      </c>
      <c r="D98" s="24">
        <v>2</v>
      </c>
      <c r="E98" s="24">
        <v>0</v>
      </c>
      <c r="F98" s="24" t="s">
        <v>151</v>
      </c>
      <c r="G98" s="24" t="s">
        <v>1169</v>
      </c>
      <c r="H98" s="24" t="b">
        <v>1</v>
      </c>
      <c r="I98" s="24" t="s">
        <v>334</v>
      </c>
      <c r="J98" s="24"/>
      <c r="K98" s="24"/>
      <c r="L98" s="24" t="s">
        <v>34</v>
      </c>
      <c r="M98" s="24"/>
      <c r="N98" s="24"/>
      <c r="O98" s="26">
        <f>GET_OK_GROUPS_COUNT(tbStoryEnemy[[#This Row],[Camp]],tbStoryEnemy[[#This Row],[Difficulty]],tbStoryEnemy[[#This Row],[IsBoss]],tbStoryEnemy[[#This Row],[Hero1]:[Soldier3]])</f>
        <v>1</v>
      </c>
      <c r="P98" s="24">
        <v>1</v>
      </c>
      <c r="Q98" s="25" t="s">
        <v>334</v>
      </c>
      <c r="R98" s="24"/>
      <c r="S98" s="26" t="str">
        <f>GET_OK_GROUP(tbStoryEnemy[[#This Row],[Camp]],tbStoryEnemy[[#This Row],[Difficulty]],tbStoryEnemy[[#This Row],[IsBoss]],tbStoryEnemy[[#This Row],[Hero1]:[Soldier3]],tbStoryEnemy[[#This Row],[GroupID]])</f>
        <v>三国-困难-[B]法英+盾兵</v>
      </c>
    </row>
    <row r="99" spans="2:19">
      <c r="B99" s="24" t="s">
        <v>661</v>
      </c>
      <c r="C99" s="34" t="s">
        <v>1289</v>
      </c>
      <c r="D99" s="24">
        <v>1</v>
      </c>
      <c r="E99" s="24">
        <v>0</v>
      </c>
      <c r="F99" s="24" t="s">
        <v>151</v>
      </c>
      <c r="G99" s="24" t="s">
        <v>1338</v>
      </c>
      <c r="H99" s="24"/>
      <c r="I99" s="24"/>
      <c r="J99" s="24"/>
      <c r="K99" s="24"/>
      <c r="L99" s="24" t="s">
        <v>49</v>
      </c>
      <c r="M99" s="24"/>
      <c r="N99" s="24"/>
      <c r="O99" s="26">
        <f>GET_OK_GROUPS_COUNT(tbStoryEnemy[[#This Row],[Camp]],tbStoryEnemy[[#This Row],[Difficulty]],tbStoryEnemy[[#This Row],[IsBoss]],tbStoryEnemy[[#This Row],[Hero1]:[Soldier3]])</f>
        <v>1</v>
      </c>
      <c r="P99" s="24">
        <v>1</v>
      </c>
      <c r="Q99" s="25" t="s">
        <v>912</v>
      </c>
      <c r="R99" s="24"/>
      <c r="S99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00" spans="2:19">
      <c r="B100" s="24" t="s">
        <v>661</v>
      </c>
      <c r="C100" s="34" t="s">
        <v>1289</v>
      </c>
      <c r="D100" s="24">
        <v>2</v>
      </c>
      <c r="E100" s="24">
        <v>0</v>
      </c>
      <c r="F100" s="24" t="s">
        <v>151</v>
      </c>
      <c r="G100" s="24" t="s">
        <v>1169</v>
      </c>
      <c r="H100" s="24"/>
      <c r="I100" s="24"/>
      <c r="J100" s="24"/>
      <c r="K100" s="24"/>
      <c r="L100" s="24" t="s">
        <v>25</v>
      </c>
      <c r="M100" s="24" t="s">
        <v>28</v>
      </c>
      <c r="N100" s="24"/>
      <c r="O100" s="26">
        <f>GET_OK_GROUPS_COUNT(tbStoryEnemy[[#This Row],[Camp]],tbStoryEnemy[[#This Row],[Difficulty]],tbStoryEnemy[[#This Row],[IsBoss]],tbStoryEnemy[[#This Row],[Hero1]:[Soldier3]])</f>
        <v>5</v>
      </c>
      <c r="P100" s="24">
        <v>2</v>
      </c>
      <c r="Q100" s="25" t="s">
        <v>912</v>
      </c>
      <c r="R100" s="24"/>
      <c r="S100" s="26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101" spans="2:19">
      <c r="B101" s="24" t="s">
        <v>662</v>
      </c>
      <c r="C101" s="34" t="s">
        <v>1289</v>
      </c>
      <c r="D101" s="24">
        <v>1</v>
      </c>
      <c r="E101" s="24">
        <v>0</v>
      </c>
      <c r="F101" s="24" t="s">
        <v>151</v>
      </c>
      <c r="G101" s="24" t="s">
        <v>1169</v>
      </c>
      <c r="H101" s="24"/>
      <c r="I101" s="24"/>
      <c r="J101" s="24"/>
      <c r="K101" s="24"/>
      <c r="L101" s="24" t="s">
        <v>25</v>
      </c>
      <c r="M101" s="24"/>
      <c r="N101" s="24"/>
      <c r="O101" s="26">
        <f>GET_OK_GROUPS_COUNT(tbStoryEnemy[[#This Row],[Camp]],tbStoryEnemy[[#This Row],[Difficulty]],tbStoryEnemy[[#This Row],[IsBoss]],tbStoryEnemy[[#This Row],[Hero1]:[Soldier3]])</f>
        <v>14</v>
      </c>
      <c r="P101" s="24">
        <v>1</v>
      </c>
      <c r="Q101" s="25" t="s">
        <v>912</v>
      </c>
      <c r="R101" s="24"/>
      <c r="S101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102" spans="2:19">
      <c r="B102" s="24" t="s">
        <v>662</v>
      </c>
      <c r="C102" s="34" t="s">
        <v>1289</v>
      </c>
      <c r="D102" s="24">
        <v>2</v>
      </c>
      <c r="E102" s="24">
        <v>0</v>
      </c>
      <c r="F102" s="24" t="s">
        <v>151</v>
      </c>
      <c r="G102" s="24" t="s">
        <v>1169</v>
      </c>
      <c r="H102" s="24"/>
      <c r="I102" s="24" t="s">
        <v>384</v>
      </c>
      <c r="J102" s="24"/>
      <c r="K102" s="24"/>
      <c r="L102" s="24" t="s">
        <v>25</v>
      </c>
      <c r="M102" s="24"/>
      <c r="N102" s="24"/>
      <c r="O102" s="26">
        <f>GET_OK_GROUPS_COUNT(tbStoryEnemy[[#This Row],[Camp]],tbStoryEnemy[[#This Row],[Difficulty]],tbStoryEnemy[[#This Row],[IsBoss]],tbStoryEnemy[[#This Row],[Hero1]:[Soldier3]])</f>
        <v>1</v>
      </c>
      <c r="P102" s="24">
        <v>1</v>
      </c>
      <c r="Q102" s="25" t="s">
        <v>912</v>
      </c>
      <c r="R102" s="24"/>
      <c r="S102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03" spans="2:19">
      <c r="B103" s="24" t="s">
        <v>663</v>
      </c>
      <c r="C103" s="34" t="s">
        <v>1289</v>
      </c>
      <c r="D103" s="24">
        <v>1</v>
      </c>
      <c r="E103" s="24">
        <v>0</v>
      </c>
      <c r="F103" s="24" t="s">
        <v>151</v>
      </c>
      <c r="G103" s="24" t="s">
        <v>1169</v>
      </c>
      <c r="H103" s="24"/>
      <c r="I103" s="24"/>
      <c r="J103" s="24"/>
      <c r="K103" s="24"/>
      <c r="L103" s="24" t="s">
        <v>34</v>
      </c>
      <c r="M103" s="24"/>
      <c r="N103" s="24"/>
      <c r="O103" s="26">
        <f>GET_OK_GROUPS_COUNT(tbStoryEnemy[[#This Row],[Camp]],tbStoryEnemy[[#This Row],[Difficulty]],tbStoryEnemy[[#This Row],[IsBoss]],tbStoryEnemy[[#This Row],[Hero1]:[Soldier3]])</f>
        <v>14</v>
      </c>
      <c r="P103" s="24">
        <v>3</v>
      </c>
      <c r="Q103" s="25" t="s">
        <v>912</v>
      </c>
      <c r="R103" s="24"/>
      <c r="S103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104" spans="2:19">
      <c r="B104" s="24" t="s">
        <v>663</v>
      </c>
      <c r="C104" s="34" t="s">
        <v>1289</v>
      </c>
      <c r="D104" s="24">
        <v>2</v>
      </c>
      <c r="E104" s="24">
        <v>0</v>
      </c>
      <c r="F104" s="24" t="s">
        <v>151</v>
      </c>
      <c r="G104" s="24" t="s">
        <v>1126</v>
      </c>
      <c r="H104" s="24" t="b">
        <v>1</v>
      </c>
      <c r="I104" s="24" t="s">
        <v>405</v>
      </c>
      <c r="J104" s="24" t="s">
        <v>384</v>
      </c>
      <c r="K104" s="24" t="s">
        <v>383</v>
      </c>
      <c r="L104" s="24"/>
      <c r="M104" s="24"/>
      <c r="N104" s="24"/>
      <c r="O104" s="26">
        <f>GET_OK_GROUPS_COUNT(tbStoryEnemy[[#This Row],[Camp]],tbStoryEnemy[[#This Row],[Difficulty]],tbStoryEnemy[[#This Row],[IsBoss]],tbStoryEnemy[[#This Row],[Hero1]:[Soldier3]])</f>
        <v>1</v>
      </c>
      <c r="P104" s="24">
        <v>1</v>
      </c>
      <c r="Q104" s="25" t="s">
        <v>405</v>
      </c>
      <c r="R104" s="24"/>
      <c r="S104" s="26" t="str">
        <f>GET_OK_GROUP(tbStoryEnemy[[#This Row],[Camp]],tbStoryEnemy[[#This Row],[Difficulty]],tbStoryEnemy[[#This Row],[IsBoss]],tbStoryEnemy[[#This Row],[Hero1]:[Soldier3]],tbStoryEnemy[[#This Row],[GroupID]])</f>
        <v>三国-超难-[B]盾英+炼英+法英</v>
      </c>
    </row>
    <row r="105" spans="2:19">
      <c r="B105" s="24" t="s">
        <v>1232</v>
      </c>
      <c r="C105" s="34" t="s">
        <v>1289</v>
      </c>
      <c r="D105" s="24">
        <v>1</v>
      </c>
      <c r="E105" s="24">
        <v>0</v>
      </c>
      <c r="F105" s="24" t="s">
        <v>151</v>
      </c>
      <c r="G105" s="24" t="s">
        <v>1338</v>
      </c>
      <c r="H105" s="24"/>
      <c r="I105" s="24"/>
      <c r="J105" s="24"/>
      <c r="K105" s="24"/>
      <c r="L105" s="24" t="s">
        <v>447</v>
      </c>
      <c r="M105" s="24"/>
      <c r="N105" s="24"/>
      <c r="O105" s="26">
        <f>GET_OK_GROUPS_COUNT(tbStoryEnemy[[#This Row],[Camp]],tbStoryEnemy[[#This Row],[Difficulty]],tbStoryEnemy[[#This Row],[IsBoss]],tbStoryEnemy[[#This Row],[Hero1]:[Soldier3]])</f>
        <v>3</v>
      </c>
      <c r="P105" s="24">
        <v>1</v>
      </c>
      <c r="Q105" s="25" t="s">
        <v>912</v>
      </c>
      <c r="R105" s="24"/>
      <c r="S105" s="26" t="str">
        <f>GET_OK_GROUP(tbStoryEnemy[[#This Row],[Camp]],tbStoryEnemy[[#This Row],[Difficulty]],tbStoryEnemy[[#This Row],[IsBoss]],tbStoryEnemy[[#This Row],[Hero1]:[Soldier3]],tbStoryEnemy[[#This Row],[GroupID]])</f>
        <v>三国-普通-炼兵</v>
      </c>
    </row>
    <row r="106" spans="2:19">
      <c r="B106" s="24" t="s">
        <v>1232</v>
      </c>
      <c r="C106" s="34" t="s">
        <v>1289</v>
      </c>
      <c r="D106" s="24">
        <v>2</v>
      </c>
      <c r="E106" s="24">
        <v>0</v>
      </c>
      <c r="F106" s="24" t="s">
        <v>151</v>
      </c>
      <c r="G106" s="24" t="s">
        <v>1169</v>
      </c>
      <c r="H106" s="24"/>
      <c r="I106" s="24" t="s">
        <v>383</v>
      </c>
      <c r="J106" s="24"/>
      <c r="K106" s="24"/>
      <c r="L106" s="24"/>
      <c r="M106" s="24"/>
      <c r="N106" s="24"/>
      <c r="O106" s="26">
        <f>GET_OK_GROUPS_COUNT(tbStoryEnemy[[#This Row],[Camp]],tbStoryEnemy[[#This Row],[Difficulty]],tbStoryEnemy[[#This Row],[IsBoss]],tbStoryEnemy[[#This Row],[Hero1]:[Soldier3]])</f>
        <v>3</v>
      </c>
      <c r="P106" s="24">
        <v>1</v>
      </c>
      <c r="Q106" s="25" t="s">
        <v>912</v>
      </c>
      <c r="R106" s="24"/>
      <c r="S106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07" spans="2:19">
      <c r="B107" s="24" t="s">
        <v>1233</v>
      </c>
      <c r="C107" s="34" t="s">
        <v>1289</v>
      </c>
      <c r="D107" s="24">
        <v>1</v>
      </c>
      <c r="E107" s="24">
        <v>0</v>
      </c>
      <c r="F107" s="24" t="s">
        <v>151</v>
      </c>
      <c r="G107" s="24" t="s">
        <v>1169</v>
      </c>
      <c r="H107" s="24"/>
      <c r="I107" s="24"/>
      <c r="J107" s="24"/>
      <c r="K107" s="24"/>
      <c r="L107" s="24" t="s">
        <v>447</v>
      </c>
      <c r="M107" s="24"/>
      <c r="N107" s="24"/>
      <c r="O107" s="26">
        <f>GET_OK_GROUPS_COUNT(tbStoryEnemy[[#This Row],[Camp]],tbStoryEnemy[[#This Row],[Difficulty]],tbStoryEnemy[[#This Row],[IsBoss]],tbStoryEnemy[[#This Row],[Hero1]:[Soldier3]])</f>
        <v>9</v>
      </c>
      <c r="P107" s="24">
        <v>3</v>
      </c>
      <c r="Q107" s="25" t="s">
        <v>912</v>
      </c>
      <c r="R107" s="24"/>
      <c r="S107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108" spans="2:19">
      <c r="B108" s="24" t="s">
        <v>1233</v>
      </c>
      <c r="C108" s="34" t="s">
        <v>1289</v>
      </c>
      <c r="D108" s="24">
        <v>2</v>
      </c>
      <c r="E108" s="24">
        <v>0</v>
      </c>
      <c r="F108" s="24" t="s">
        <v>151</v>
      </c>
      <c r="G108" s="24" t="s">
        <v>1169</v>
      </c>
      <c r="H108" s="24"/>
      <c r="I108" s="24" t="s">
        <v>383</v>
      </c>
      <c r="J108" s="24"/>
      <c r="K108" s="24"/>
      <c r="L108" s="24" t="s">
        <v>25</v>
      </c>
      <c r="M108" s="24"/>
      <c r="N108" s="24"/>
      <c r="O108" s="26">
        <f>GET_OK_GROUPS_COUNT(tbStoryEnemy[[#This Row],[Camp]],tbStoryEnemy[[#This Row],[Difficulty]],tbStoryEnemy[[#This Row],[IsBoss]],tbStoryEnemy[[#This Row],[Hero1]:[Soldier3]])</f>
        <v>1</v>
      </c>
      <c r="P108" s="24">
        <v>1</v>
      </c>
      <c r="Q108" s="25" t="s">
        <v>912</v>
      </c>
      <c r="R108" s="24"/>
      <c r="S108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09" spans="2:19">
      <c r="B109" s="24" t="s">
        <v>1234</v>
      </c>
      <c r="C109" s="34" t="s">
        <v>1289</v>
      </c>
      <c r="D109" s="24">
        <v>1</v>
      </c>
      <c r="E109" s="24">
        <v>0</v>
      </c>
      <c r="F109" s="24" t="s">
        <v>151</v>
      </c>
      <c r="G109" s="24" t="s">
        <v>1169</v>
      </c>
      <c r="H109" s="24"/>
      <c r="I109" s="24" t="s">
        <v>382</v>
      </c>
      <c r="J109" s="24"/>
      <c r="K109" s="24"/>
      <c r="L109" s="24"/>
      <c r="M109" s="24"/>
      <c r="N109" s="24"/>
      <c r="O109" s="26">
        <f>GET_OK_GROUPS_COUNT(tbStoryEnemy[[#This Row],[Camp]],tbStoryEnemy[[#This Row],[Difficulty]],tbStoryEnemy[[#This Row],[IsBoss]],tbStoryEnemy[[#This Row],[Hero1]:[Soldier3]])</f>
        <v>4</v>
      </c>
      <c r="P109" s="24">
        <v>3</v>
      </c>
      <c r="Q109" s="25" t="s">
        <v>912</v>
      </c>
      <c r="R109" s="24"/>
      <c r="S109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110" spans="2:19">
      <c r="B110" s="24" t="s">
        <v>1234</v>
      </c>
      <c r="C110" s="34" t="s">
        <v>1289</v>
      </c>
      <c r="D110" s="24">
        <v>2</v>
      </c>
      <c r="E110" s="24">
        <v>0</v>
      </c>
      <c r="F110" s="24" t="s">
        <v>151</v>
      </c>
      <c r="G110" s="24" t="s">
        <v>1126</v>
      </c>
      <c r="H110" s="24" t="b">
        <v>1</v>
      </c>
      <c r="I110" s="24" t="s">
        <v>335</v>
      </c>
      <c r="J110" s="24" t="s">
        <v>383</v>
      </c>
      <c r="K110" s="24"/>
      <c r="L110" s="24"/>
      <c r="M110" s="24"/>
      <c r="N110" s="24"/>
      <c r="O110" s="26">
        <f>GET_OK_GROUPS_COUNT(tbStoryEnemy[[#This Row],[Camp]],tbStoryEnemy[[#This Row],[Difficulty]],tbStoryEnemy[[#This Row],[IsBoss]],tbStoryEnemy[[#This Row],[Hero1]:[Soldier3]])</f>
        <v>1</v>
      </c>
      <c r="P110" s="24">
        <v>1</v>
      </c>
      <c r="Q110" s="25" t="s">
        <v>335</v>
      </c>
      <c r="R110" s="24"/>
      <c r="S110" s="26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111" spans="2:19">
      <c r="B111" s="24" t="s">
        <v>1235</v>
      </c>
      <c r="C111" s="34" t="s">
        <v>1289</v>
      </c>
      <c r="D111" s="24">
        <v>1</v>
      </c>
      <c r="E111" s="24">
        <v>0</v>
      </c>
      <c r="F111" s="24" t="s">
        <v>151</v>
      </c>
      <c r="G111" s="24" t="s">
        <v>1169</v>
      </c>
      <c r="H111" s="24"/>
      <c r="I111" s="24"/>
      <c r="J111" s="24"/>
      <c r="K111" s="24"/>
      <c r="L111" s="24" t="s">
        <v>34</v>
      </c>
      <c r="M111" s="24"/>
      <c r="N111" s="24"/>
      <c r="O111" s="26">
        <f>GET_OK_GROUPS_COUNT(tbStoryEnemy[[#This Row],[Camp]],tbStoryEnemy[[#This Row],[Difficulty]],tbStoryEnemy[[#This Row],[IsBoss]],tbStoryEnemy[[#This Row],[Hero1]:[Soldier3]])</f>
        <v>14</v>
      </c>
      <c r="P111" s="24">
        <v>4</v>
      </c>
      <c r="Q111" s="25" t="s">
        <v>912</v>
      </c>
      <c r="R111" s="24"/>
      <c r="S111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112" spans="2:19">
      <c r="B112" s="24" t="s">
        <v>1235</v>
      </c>
      <c r="C112" s="34" t="s">
        <v>1289</v>
      </c>
      <c r="D112" s="24">
        <v>2</v>
      </c>
      <c r="E112" s="24">
        <v>0</v>
      </c>
      <c r="F112" s="24" t="s">
        <v>151</v>
      </c>
      <c r="G112" s="24" t="s">
        <v>1169</v>
      </c>
      <c r="H112" s="24"/>
      <c r="I112" s="24" t="s">
        <v>383</v>
      </c>
      <c r="J112" s="24"/>
      <c r="K112" s="24"/>
      <c r="L112" s="24" t="s">
        <v>34</v>
      </c>
      <c r="M112" s="24"/>
      <c r="N112" s="24"/>
      <c r="O112" s="26">
        <f>GET_OK_GROUPS_COUNT(tbStoryEnemy[[#This Row],[Camp]],tbStoryEnemy[[#This Row],[Difficulty]],tbStoryEnemy[[#This Row],[IsBoss]],tbStoryEnemy[[#This Row],[Hero1]:[Soldier3]])</f>
        <v>1</v>
      </c>
      <c r="P112" s="24">
        <v>1</v>
      </c>
      <c r="Q112" s="25" t="s">
        <v>912</v>
      </c>
      <c r="R112" s="24"/>
      <c r="S112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113" spans="2:19">
      <c r="B113" s="24" t="s">
        <v>1236</v>
      </c>
      <c r="C113" s="34" t="s">
        <v>1289</v>
      </c>
      <c r="D113" s="24">
        <v>1</v>
      </c>
      <c r="E113" s="24">
        <v>0</v>
      </c>
      <c r="F113" s="24" t="s">
        <v>151</v>
      </c>
      <c r="G113" s="24" t="s">
        <v>1169</v>
      </c>
      <c r="H113" s="24"/>
      <c r="I113" s="24"/>
      <c r="J113" s="24"/>
      <c r="K113" s="24"/>
      <c r="L113" s="24" t="s">
        <v>28</v>
      </c>
      <c r="M113" s="24"/>
      <c r="N113" s="24"/>
      <c r="O113" s="26">
        <f>GET_OK_GROUPS_COUNT(tbStoryEnemy[[#This Row],[Camp]],tbStoryEnemy[[#This Row],[Difficulty]],tbStoryEnemy[[#This Row],[IsBoss]],tbStoryEnemy[[#This Row],[Hero1]:[Soldier3]])</f>
        <v>9</v>
      </c>
      <c r="P113" s="24">
        <v>2</v>
      </c>
      <c r="Q113" s="25" t="s">
        <v>912</v>
      </c>
      <c r="R113" s="24"/>
      <c r="S113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114" spans="2:19">
      <c r="B114" s="24" t="s">
        <v>1236</v>
      </c>
      <c r="C114" s="34" t="s">
        <v>1289</v>
      </c>
      <c r="D114" s="24">
        <v>2</v>
      </c>
      <c r="E114" s="24">
        <v>0</v>
      </c>
      <c r="F114" s="24" t="s">
        <v>151</v>
      </c>
      <c r="G114" s="24" t="s">
        <v>1126</v>
      </c>
      <c r="H114" s="24"/>
      <c r="I114" s="24" t="s">
        <v>383</v>
      </c>
      <c r="J114" s="24" t="s">
        <v>383</v>
      </c>
      <c r="K114" s="24"/>
      <c r="L114" s="24"/>
      <c r="M114" s="24"/>
      <c r="N114" s="24"/>
      <c r="O114" s="26">
        <f>GET_OK_GROUPS_COUNT(tbStoryEnemy[[#This Row],[Camp]],tbStoryEnemy[[#This Row],[Difficulty]],tbStoryEnemy[[#This Row],[IsBoss]],tbStoryEnemy[[#This Row],[Hero1]:[Soldier3]])</f>
        <v>1</v>
      </c>
      <c r="P114" s="24">
        <v>1</v>
      </c>
      <c r="Q114" s="25" t="s">
        <v>912</v>
      </c>
      <c r="R114" s="24"/>
      <c r="S114" s="26" t="str">
        <f>GET_OK_GROUP(tbStoryEnemy[[#This Row],[Camp]],tbStoryEnemy[[#This Row],[Difficulty]],tbStoryEnemy[[#This Row],[IsBoss]],tbStoryEnemy[[#This Row],[Hero1]:[Soldier3]],tbStoryEnemy[[#This Row],[GroupID]])</f>
        <v>三国-超难-炼英+炼英</v>
      </c>
    </row>
    <row r="115" spans="2:19">
      <c r="B115" s="24" t="s">
        <v>1237</v>
      </c>
      <c r="C115" s="34" t="s">
        <v>1289</v>
      </c>
      <c r="D115" s="24">
        <v>1</v>
      </c>
      <c r="E115" s="24">
        <v>0</v>
      </c>
      <c r="F115" s="24" t="s">
        <v>151</v>
      </c>
      <c r="G115" s="24" t="s">
        <v>1126</v>
      </c>
      <c r="H115" s="24"/>
      <c r="I115" s="24" t="s">
        <v>380</v>
      </c>
      <c r="J115" s="34" t="s">
        <v>1179</v>
      </c>
      <c r="K115" s="34" t="s">
        <v>1179</v>
      </c>
      <c r="L115" s="24"/>
      <c r="M115" s="24"/>
      <c r="N115" s="24"/>
      <c r="O115" s="26">
        <f>GET_OK_GROUPS_COUNT(tbStoryEnemy[[#This Row],[Camp]],tbStoryEnemy[[#This Row],[Difficulty]],tbStoryEnemy[[#This Row],[IsBoss]],tbStoryEnemy[[#This Row],[Hero1]:[Soldier3]])</f>
        <v>1</v>
      </c>
      <c r="P115" s="24">
        <v>1</v>
      </c>
      <c r="Q115" s="25" t="s">
        <v>912</v>
      </c>
      <c r="R115" s="24"/>
      <c r="S115" s="26" t="str">
        <f>GET_OK_GROUP(tbStoryEnemy[[#This Row],[Camp]],tbStoryEnemy[[#This Row],[Difficulty]],tbStoryEnemy[[#This Row],[IsBoss]],tbStoryEnemy[[#This Row],[Hero1]:[Soldier3]],tbStoryEnemy[[#This Row],[GroupID]])</f>
        <v>三国-超难-盾英+炼英+炼英</v>
      </c>
    </row>
    <row r="116" spans="2:19">
      <c r="B116" s="24" t="s">
        <v>1237</v>
      </c>
      <c r="C116" s="34" t="s">
        <v>1289</v>
      </c>
      <c r="D116" s="24">
        <v>2</v>
      </c>
      <c r="E116" s="24">
        <v>0</v>
      </c>
      <c r="F116" s="24" t="s">
        <v>151</v>
      </c>
      <c r="G116" s="24" t="s">
        <v>1126</v>
      </c>
      <c r="H116" s="24" t="b">
        <v>1</v>
      </c>
      <c r="I116" s="24" t="s">
        <v>314</v>
      </c>
      <c r="J116" s="24" t="s">
        <v>383</v>
      </c>
      <c r="K116" s="24" t="s">
        <v>382</v>
      </c>
      <c r="L116" s="24"/>
      <c r="M116" s="24"/>
      <c r="N116" s="24"/>
      <c r="O116" s="26">
        <f>GET_OK_GROUPS_COUNT(tbStoryEnemy[[#This Row],[Camp]],tbStoryEnemy[[#This Row],[Difficulty]],tbStoryEnemy[[#This Row],[IsBoss]],tbStoryEnemy[[#This Row],[Hero1]:[Soldier3]])</f>
        <v>1</v>
      </c>
      <c r="P116" s="24">
        <v>1</v>
      </c>
      <c r="Q116" s="25" t="s">
        <v>314</v>
      </c>
      <c r="R116" s="24"/>
      <c r="S116" s="26" t="str">
        <f>GET_OK_GROUP(tbStoryEnemy[[#This Row],[Camp]],tbStoryEnemy[[#This Row],[Difficulty]],tbStoryEnemy[[#This Row],[IsBoss]],tbStoryEnemy[[#This Row],[Hero1]:[Soldier3]],tbStoryEnemy[[#This Row],[GroupID]])</f>
        <v>三国-超难-[B]铁英+炼英+炼英</v>
      </c>
    </row>
    <row r="117" spans="2:19">
      <c r="B117" s="24" t="s">
        <v>664</v>
      </c>
      <c r="C117" s="34" t="s">
        <v>1289</v>
      </c>
      <c r="D117" s="24">
        <v>1</v>
      </c>
      <c r="E117" s="24">
        <v>0</v>
      </c>
      <c r="F117" s="24" t="s">
        <v>151</v>
      </c>
      <c r="G117" s="24" t="s">
        <v>1338</v>
      </c>
      <c r="H117" s="24"/>
      <c r="I117" s="24"/>
      <c r="J117" s="24"/>
      <c r="K117" s="24"/>
      <c r="L117" s="24" t="s">
        <v>49</v>
      </c>
      <c r="M117" s="24"/>
      <c r="N117" s="24"/>
      <c r="O117" s="26">
        <f>GET_OK_GROUPS_COUNT(tbStoryEnemy[[#This Row],[Camp]],tbStoryEnemy[[#This Row],[Difficulty]],tbStoryEnemy[[#This Row],[IsBoss]],tbStoryEnemy[[#This Row],[Hero1]:[Soldier3]])</f>
        <v>1</v>
      </c>
      <c r="P117" s="24">
        <v>1</v>
      </c>
      <c r="Q117" s="25" t="s">
        <v>912</v>
      </c>
      <c r="R117" s="24"/>
      <c r="S117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18" spans="2:19">
      <c r="B118" s="24" t="s">
        <v>664</v>
      </c>
      <c r="C118" s="34" t="s">
        <v>1289</v>
      </c>
      <c r="D118" s="24">
        <v>2</v>
      </c>
      <c r="E118" s="24">
        <v>0</v>
      </c>
      <c r="F118" s="24" t="s">
        <v>151</v>
      </c>
      <c r="G118" s="24" t="s">
        <v>1169</v>
      </c>
      <c r="H118" s="24"/>
      <c r="I118" s="24"/>
      <c r="J118" s="24"/>
      <c r="K118" s="24"/>
      <c r="L118" s="24" t="s">
        <v>34</v>
      </c>
      <c r="M118" s="24" t="s">
        <v>447</v>
      </c>
      <c r="N118" s="24"/>
      <c r="O118" s="26">
        <f>GET_OK_GROUPS_COUNT(tbStoryEnemy[[#This Row],[Camp]],tbStoryEnemy[[#This Row],[Difficulty]],tbStoryEnemy[[#This Row],[IsBoss]],tbStoryEnemy[[#This Row],[Hero1]:[Soldier3]])</f>
        <v>5</v>
      </c>
      <c r="P118" s="24">
        <v>2</v>
      </c>
      <c r="Q118" s="25" t="s">
        <v>912</v>
      </c>
      <c r="R118" s="24"/>
      <c r="S118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119" spans="2:19">
      <c r="B119" s="24" t="s">
        <v>665</v>
      </c>
      <c r="C119" s="34" t="s">
        <v>1289</v>
      </c>
      <c r="D119" s="24">
        <v>1</v>
      </c>
      <c r="E119" s="24">
        <v>0</v>
      </c>
      <c r="F119" s="24" t="s">
        <v>151</v>
      </c>
      <c r="G119" s="24" t="s">
        <v>1338</v>
      </c>
      <c r="H119" s="24"/>
      <c r="I119" s="24"/>
      <c r="J119" s="24"/>
      <c r="K119" s="24"/>
      <c r="L119" s="24" t="s">
        <v>26</v>
      </c>
      <c r="M119" s="24"/>
      <c r="N119" s="24"/>
      <c r="O119" s="26">
        <f>GET_OK_GROUPS_COUNT(tbStoryEnemy[[#This Row],[Camp]],tbStoryEnemy[[#This Row],[Difficulty]],tbStoryEnemy[[#This Row],[IsBoss]],tbStoryEnemy[[#This Row],[Hero1]:[Soldier3]])</f>
        <v>3</v>
      </c>
      <c r="P119" s="24">
        <v>2</v>
      </c>
      <c r="Q119" s="25" t="s">
        <v>912</v>
      </c>
      <c r="R119" s="24"/>
      <c r="S119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20" spans="2:19">
      <c r="B120" s="24" t="s">
        <v>665</v>
      </c>
      <c r="C120" s="34" t="s">
        <v>1289</v>
      </c>
      <c r="D120" s="24">
        <v>2</v>
      </c>
      <c r="E120" s="24">
        <v>0</v>
      </c>
      <c r="F120" s="24" t="s">
        <v>151</v>
      </c>
      <c r="G120" s="24" t="s">
        <v>1169</v>
      </c>
      <c r="H120" s="24"/>
      <c r="I120" s="24" t="s">
        <v>384</v>
      </c>
      <c r="J120" s="24"/>
      <c r="K120" s="24"/>
      <c r="L120" s="24" t="s">
        <v>25</v>
      </c>
      <c r="M120" s="24"/>
      <c r="N120" s="24"/>
      <c r="O120" s="26">
        <f>GET_OK_GROUPS_COUNT(tbStoryEnemy[[#This Row],[Camp]],tbStoryEnemy[[#This Row],[Difficulty]],tbStoryEnemy[[#This Row],[IsBoss]],tbStoryEnemy[[#This Row],[Hero1]:[Soldier3]])</f>
        <v>1</v>
      </c>
      <c r="P120" s="24">
        <v>1</v>
      </c>
      <c r="Q120" s="25" t="s">
        <v>912</v>
      </c>
      <c r="R120" s="24"/>
      <c r="S120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21" spans="2:19">
      <c r="B121" s="24" t="s">
        <v>666</v>
      </c>
      <c r="C121" s="34" t="s">
        <v>1289</v>
      </c>
      <c r="D121" s="24">
        <v>1</v>
      </c>
      <c r="E121" s="24">
        <v>0</v>
      </c>
      <c r="F121" s="24" t="s">
        <v>151</v>
      </c>
      <c r="G121" s="24" t="s">
        <v>1169</v>
      </c>
      <c r="H121" s="24"/>
      <c r="I121" s="24"/>
      <c r="J121" s="24"/>
      <c r="K121" s="24"/>
      <c r="L121" s="24" t="s">
        <v>34</v>
      </c>
      <c r="M121" s="24" t="s">
        <v>28</v>
      </c>
      <c r="N121" s="24"/>
      <c r="O121" s="26">
        <f>GET_OK_GROUPS_COUNT(tbStoryEnemy[[#This Row],[Camp]],tbStoryEnemy[[#This Row],[Difficulty]],tbStoryEnemy[[#This Row],[IsBoss]],tbStoryEnemy[[#This Row],[Hero1]:[Soldier3]])</f>
        <v>5</v>
      </c>
      <c r="P121" s="24">
        <v>1</v>
      </c>
      <c r="Q121" s="25" t="s">
        <v>912</v>
      </c>
      <c r="R121" s="24"/>
      <c r="S121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122" spans="2:19">
      <c r="B122" s="24" t="s">
        <v>666</v>
      </c>
      <c r="C122" s="34" t="s">
        <v>1289</v>
      </c>
      <c r="D122" s="24">
        <v>2</v>
      </c>
      <c r="E122" s="24">
        <v>0</v>
      </c>
      <c r="F122" s="24" t="s">
        <v>151</v>
      </c>
      <c r="G122" s="24" t="s">
        <v>1169</v>
      </c>
      <c r="H122" s="24" t="b">
        <v>1</v>
      </c>
      <c r="I122" s="24" t="s">
        <v>1184</v>
      </c>
      <c r="J122" s="24" t="s">
        <v>384</v>
      </c>
      <c r="K122" s="24"/>
      <c r="L122" s="24"/>
      <c r="M122" s="24"/>
      <c r="N122" s="24"/>
      <c r="O122" s="26">
        <f>GET_OK_GROUPS_COUNT(tbStoryEnemy[[#This Row],[Camp]],tbStoryEnemy[[#This Row],[Difficulty]],tbStoryEnemy[[#This Row],[IsBoss]],tbStoryEnemy[[#This Row],[Hero1]:[Soldier3]])</f>
        <v>1</v>
      </c>
      <c r="P122" s="24">
        <v>1</v>
      </c>
      <c r="Q122" s="25" t="s">
        <v>1184</v>
      </c>
      <c r="R122" s="24"/>
      <c r="S122" s="26" t="str">
        <f>GET_OK_GROUP(tbStoryEnemy[[#This Row],[Camp]],tbStoryEnemy[[#This Row],[Difficulty]],tbStoryEnemy[[#This Row],[IsBoss]],tbStoryEnemy[[#This Row],[Hero1]:[Soldier3]],tbStoryEnemy[[#This Row],[GroupID]])</f>
        <v>三国-困难-[B]铁英+法英</v>
      </c>
    </row>
    <row r="123" spans="2:19">
      <c r="B123" s="24" t="s">
        <v>667</v>
      </c>
      <c r="C123" s="34" t="s">
        <v>1289</v>
      </c>
      <c r="D123" s="24">
        <v>1</v>
      </c>
      <c r="E123" s="24">
        <v>0</v>
      </c>
      <c r="F123" s="24" t="s">
        <v>151</v>
      </c>
      <c r="G123" s="24" t="s">
        <v>1338</v>
      </c>
      <c r="H123" s="24"/>
      <c r="I123" s="24"/>
      <c r="J123" s="24"/>
      <c r="K123" s="24"/>
      <c r="L123" s="24" t="s">
        <v>25</v>
      </c>
      <c r="M123" s="24"/>
      <c r="N123" s="24"/>
      <c r="O123" s="26">
        <f>GET_OK_GROUPS_COUNT(tbStoryEnemy[[#This Row],[Camp]],tbStoryEnemy[[#This Row],[Difficulty]],tbStoryEnemy[[#This Row],[IsBoss]],tbStoryEnemy[[#This Row],[Hero1]:[Soldier3]])</f>
        <v>5</v>
      </c>
      <c r="P123" s="24">
        <v>4</v>
      </c>
      <c r="Q123" s="25" t="s">
        <v>912</v>
      </c>
      <c r="R123" s="24"/>
      <c r="S123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124" spans="2:19">
      <c r="B124" s="24" t="s">
        <v>667</v>
      </c>
      <c r="C124" s="34" t="s">
        <v>1289</v>
      </c>
      <c r="D124" s="24">
        <v>2</v>
      </c>
      <c r="E124" s="24">
        <v>0</v>
      </c>
      <c r="F124" s="24" t="s">
        <v>151</v>
      </c>
      <c r="G124" s="24" t="s">
        <v>1169</v>
      </c>
      <c r="H124" s="24"/>
      <c r="I124" s="24" t="s">
        <v>383</v>
      </c>
      <c r="J124" s="24"/>
      <c r="K124" s="24"/>
      <c r="L124" s="24" t="s">
        <v>25</v>
      </c>
      <c r="M124" s="24"/>
      <c r="N124" s="24"/>
      <c r="O124" s="26">
        <f>GET_OK_GROUPS_COUNT(tbStoryEnemy[[#This Row],[Camp]],tbStoryEnemy[[#This Row],[Difficulty]],tbStoryEnemy[[#This Row],[IsBoss]],tbStoryEnemy[[#This Row],[Hero1]:[Soldier3]])</f>
        <v>1</v>
      </c>
      <c r="P124" s="24">
        <v>1</v>
      </c>
      <c r="Q124" s="25" t="s">
        <v>912</v>
      </c>
      <c r="R124" s="24"/>
      <c r="S124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25" spans="2:19">
      <c r="B125" s="24" t="s">
        <v>668</v>
      </c>
      <c r="C125" s="34" t="s">
        <v>1289</v>
      </c>
      <c r="D125" s="24">
        <v>1</v>
      </c>
      <c r="E125" s="24">
        <v>0</v>
      </c>
      <c r="F125" s="24" t="s">
        <v>151</v>
      </c>
      <c r="G125" s="24" t="s">
        <v>1169</v>
      </c>
      <c r="H125" s="24"/>
      <c r="I125" s="24"/>
      <c r="J125" s="24"/>
      <c r="K125" s="24"/>
      <c r="L125" s="24" t="s">
        <v>26</v>
      </c>
      <c r="M125" s="24"/>
      <c r="N125" s="24"/>
      <c r="O125" s="26">
        <f>GET_OK_GROUPS_COUNT(tbStoryEnemy[[#This Row],[Camp]],tbStoryEnemy[[#This Row],[Difficulty]],tbStoryEnemy[[#This Row],[IsBoss]],tbStoryEnemy[[#This Row],[Hero1]:[Soldier3]])</f>
        <v>9</v>
      </c>
      <c r="P125" s="24">
        <v>1</v>
      </c>
      <c r="Q125" s="25" t="s">
        <v>912</v>
      </c>
      <c r="R125" s="24"/>
      <c r="S125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126" spans="2:19">
      <c r="B126" s="24" t="s">
        <v>668</v>
      </c>
      <c r="C126" s="34" t="s">
        <v>1289</v>
      </c>
      <c r="D126" s="24">
        <v>2</v>
      </c>
      <c r="E126" s="24">
        <v>0</v>
      </c>
      <c r="F126" s="24" t="s">
        <v>151</v>
      </c>
      <c r="G126" s="24" t="s">
        <v>1169</v>
      </c>
      <c r="H126" s="24"/>
      <c r="I126" s="24" t="s">
        <v>381</v>
      </c>
      <c r="J126" s="24"/>
      <c r="K126" s="24"/>
      <c r="L126" s="24" t="s">
        <v>25</v>
      </c>
      <c r="M126" s="24"/>
      <c r="N126" s="24"/>
      <c r="O126" s="26">
        <f>GET_OK_GROUPS_COUNT(tbStoryEnemy[[#This Row],[Camp]],tbStoryEnemy[[#This Row],[Difficulty]],tbStoryEnemy[[#This Row],[IsBoss]],tbStoryEnemy[[#This Row],[Hero1]:[Soldier3]])</f>
        <v>1</v>
      </c>
      <c r="P126" s="24">
        <v>1</v>
      </c>
      <c r="Q126" s="25" t="s">
        <v>912</v>
      </c>
      <c r="R126" s="24"/>
      <c r="S126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27" spans="2:19">
      <c r="B127" s="24" t="s">
        <v>669</v>
      </c>
      <c r="C127" s="34" t="s">
        <v>1289</v>
      </c>
      <c r="D127" s="24">
        <v>1</v>
      </c>
      <c r="E127" s="24">
        <v>0</v>
      </c>
      <c r="F127" s="24" t="s">
        <v>151</v>
      </c>
      <c r="G127" s="24" t="s">
        <v>1169</v>
      </c>
      <c r="H127" s="24"/>
      <c r="I127" s="24" t="s">
        <v>380</v>
      </c>
      <c r="J127" s="24"/>
      <c r="K127" s="24"/>
      <c r="L127" s="24"/>
      <c r="M127" s="24"/>
      <c r="N127" s="24"/>
      <c r="O127" s="26">
        <f>GET_OK_GROUPS_COUNT(tbStoryEnemy[[#This Row],[Camp]],tbStoryEnemy[[#This Row],[Difficulty]],tbStoryEnemy[[#This Row],[IsBoss]],tbStoryEnemy[[#This Row],[Hero1]:[Soldier3]])</f>
        <v>4</v>
      </c>
      <c r="P127" s="24">
        <v>3</v>
      </c>
      <c r="Q127" s="25" t="s">
        <v>912</v>
      </c>
      <c r="R127" s="24"/>
      <c r="S127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28" spans="2:19">
      <c r="B128" s="24" t="s">
        <v>669</v>
      </c>
      <c r="C128" s="34" t="s">
        <v>1289</v>
      </c>
      <c r="D128" s="24">
        <v>2</v>
      </c>
      <c r="E128" s="24">
        <v>0</v>
      </c>
      <c r="F128" s="24" t="s">
        <v>151</v>
      </c>
      <c r="G128" s="24" t="s">
        <v>1126</v>
      </c>
      <c r="H128" s="24" t="b">
        <v>1</v>
      </c>
      <c r="I128" s="24" t="s">
        <v>331</v>
      </c>
      <c r="J128" s="24" t="s">
        <v>381</v>
      </c>
      <c r="K128" s="24"/>
      <c r="L128" s="24"/>
      <c r="M128" s="24"/>
      <c r="N128" s="24"/>
      <c r="O128" s="26">
        <f>GET_OK_GROUPS_COUNT(tbStoryEnemy[[#This Row],[Camp]],tbStoryEnemy[[#This Row],[Difficulty]],tbStoryEnemy[[#This Row],[IsBoss]],tbStoryEnemy[[#This Row],[Hero1]:[Soldier3]])</f>
        <v>1</v>
      </c>
      <c r="P128" s="24">
        <v>1</v>
      </c>
      <c r="Q128" s="25" t="s">
        <v>331</v>
      </c>
      <c r="R128" s="24"/>
      <c r="S128" s="26" t="str">
        <f>GET_OK_GROUP(tbStoryEnemy[[#This Row],[Camp]],tbStoryEnemy[[#This Row],[Difficulty]],tbStoryEnemy[[#This Row],[IsBoss]],tbStoryEnemy[[#This Row],[Hero1]:[Soldier3]],tbStoryEnemy[[#This Row],[GroupID]])</f>
        <v>三国-超难-[B]铁英+强英</v>
      </c>
    </row>
    <row r="129" spans="2:19">
      <c r="B129" s="24" t="s">
        <v>670</v>
      </c>
      <c r="C129" s="34" t="s">
        <v>1289</v>
      </c>
      <c r="D129" s="24">
        <v>1</v>
      </c>
      <c r="E129" s="24">
        <v>0</v>
      </c>
      <c r="F129" s="24" t="s">
        <v>151</v>
      </c>
      <c r="G129" s="24" t="s">
        <v>1338</v>
      </c>
      <c r="H129" s="24"/>
      <c r="I129" s="24"/>
      <c r="J129" s="24"/>
      <c r="K129" s="24"/>
      <c r="L129" s="24" t="s">
        <v>34</v>
      </c>
      <c r="M129" s="24"/>
      <c r="N129" s="24"/>
      <c r="O129" s="26">
        <f>GET_OK_GROUPS_COUNT(tbStoryEnemy[[#This Row],[Camp]],tbStoryEnemy[[#This Row],[Difficulty]],tbStoryEnemy[[#This Row],[IsBoss]],tbStoryEnemy[[#This Row],[Hero1]:[Soldier3]])</f>
        <v>5</v>
      </c>
      <c r="P129" s="24">
        <v>3</v>
      </c>
      <c r="Q129" s="25" t="s">
        <v>912</v>
      </c>
      <c r="R129" s="24"/>
      <c r="S129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30" spans="2:19">
      <c r="B130" s="24" t="s">
        <v>670</v>
      </c>
      <c r="C130" s="34" t="s">
        <v>1289</v>
      </c>
      <c r="D130" s="24">
        <v>2</v>
      </c>
      <c r="E130" s="24">
        <v>0</v>
      </c>
      <c r="F130" s="24" t="s">
        <v>151</v>
      </c>
      <c r="G130" s="24" t="s">
        <v>1169</v>
      </c>
      <c r="H130" s="24"/>
      <c r="I130" s="24" t="s">
        <v>381</v>
      </c>
      <c r="J130" s="24"/>
      <c r="K130" s="24"/>
      <c r="L130" s="24" t="s">
        <v>34</v>
      </c>
      <c r="M130" s="24"/>
      <c r="N130" s="24"/>
      <c r="O130" s="26">
        <f>GET_OK_GROUPS_COUNT(tbStoryEnemy[[#This Row],[Camp]],tbStoryEnemy[[#This Row],[Difficulty]],tbStoryEnemy[[#This Row],[IsBoss]],tbStoryEnemy[[#This Row],[Hero1]:[Soldier3]])</f>
        <v>1</v>
      </c>
      <c r="P130" s="24">
        <v>1</v>
      </c>
      <c r="Q130" s="25" t="s">
        <v>912</v>
      </c>
      <c r="R130" s="24"/>
      <c r="S130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31" spans="2:19">
      <c r="B131" s="24" t="s">
        <v>671</v>
      </c>
      <c r="C131" s="34" t="s">
        <v>1289</v>
      </c>
      <c r="D131" s="24">
        <v>1</v>
      </c>
      <c r="E131" s="24">
        <v>0</v>
      </c>
      <c r="F131" s="24" t="s">
        <v>151</v>
      </c>
      <c r="G131" s="24" t="s">
        <v>1338</v>
      </c>
      <c r="H131" s="24"/>
      <c r="I131" s="24"/>
      <c r="J131" s="24"/>
      <c r="K131" s="24"/>
      <c r="L131" s="24" t="s">
        <v>25</v>
      </c>
      <c r="M131" s="24"/>
      <c r="N131" s="24"/>
      <c r="O131" s="26">
        <f>GET_OK_GROUPS_COUNT(tbStoryEnemy[[#This Row],[Camp]],tbStoryEnemy[[#This Row],[Difficulty]],tbStoryEnemy[[#This Row],[IsBoss]],tbStoryEnemy[[#This Row],[Hero1]:[Soldier3]])</f>
        <v>5</v>
      </c>
      <c r="P131" s="24">
        <v>2</v>
      </c>
      <c r="Q131" s="25" t="s">
        <v>912</v>
      </c>
      <c r="R131" s="24"/>
      <c r="S131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132" spans="2:19">
      <c r="B132" s="24" t="s">
        <v>671</v>
      </c>
      <c r="C132" s="34" t="s">
        <v>1289</v>
      </c>
      <c r="D132" s="24">
        <v>2</v>
      </c>
      <c r="E132" s="24">
        <v>0</v>
      </c>
      <c r="F132" s="24" t="s">
        <v>151</v>
      </c>
      <c r="G132" s="24" t="s">
        <v>1169</v>
      </c>
      <c r="H132" s="24"/>
      <c r="I132" s="24" t="s">
        <v>381</v>
      </c>
      <c r="J132" s="24"/>
      <c r="K132" s="24"/>
      <c r="L132" s="24" t="s">
        <v>25</v>
      </c>
      <c r="M132" s="24"/>
      <c r="N132" s="24"/>
      <c r="O132" s="26">
        <f>GET_OK_GROUPS_COUNT(tbStoryEnemy[[#This Row],[Camp]],tbStoryEnemy[[#This Row],[Difficulty]],tbStoryEnemy[[#This Row],[IsBoss]],tbStoryEnemy[[#This Row],[Hero1]:[Soldier3]])</f>
        <v>1</v>
      </c>
      <c r="P132" s="24">
        <v>1</v>
      </c>
      <c r="Q132" s="25" t="s">
        <v>912</v>
      </c>
      <c r="R132" s="24"/>
      <c r="S132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33" spans="2:19">
      <c r="B133" s="24" t="s">
        <v>672</v>
      </c>
      <c r="C133" s="34" t="s">
        <v>1289</v>
      </c>
      <c r="D133" s="24">
        <v>1</v>
      </c>
      <c r="E133" s="24">
        <v>0</v>
      </c>
      <c r="F133" s="24" t="s">
        <v>151</v>
      </c>
      <c r="G133" s="24" t="s">
        <v>1169</v>
      </c>
      <c r="H133" s="24"/>
      <c r="I133" s="24" t="s">
        <v>382</v>
      </c>
      <c r="J133" s="24"/>
      <c r="K133" s="24"/>
      <c r="L133" s="24"/>
      <c r="M133" s="24"/>
      <c r="N133" s="24"/>
      <c r="O133" s="26">
        <f>GET_OK_GROUPS_COUNT(tbStoryEnemy[[#This Row],[Camp]],tbStoryEnemy[[#This Row],[Difficulty]],tbStoryEnemy[[#This Row],[IsBoss]],tbStoryEnemy[[#This Row],[Hero1]:[Soldier3]])</f>
        <v>4</v>
      </c>
      <c r="P133" s="24">
        <v>1</v>
      </c>
      <c r="Q133" s="25" t="s">
        <v>912</v>
      </c>
      <c r="R133" s="24"/>
      <c r="S133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34" spans="2:19">
      <c r="B134" s="24" t="s">
        <v>672</v>
      </c>
      <c r="C134" s="34" t="s">
        <v>1289</v>
      </c>
      <c r="D134" s="24">
        <v>2</v>
      </c>
      <c r="E134" s="24">
        <v>0</v>
      </c>
      <c r="F134" s="24" t="s">
        <v>151</v>
      </c>
      <c r="G134" s="24" t="s">
        <v>1169</v>
      </c>
      <c r="H134" s="24" t="b">
        <v>1</v>
      </c>
      <c r="I134" s="24" t="s">
        <v>27</v>
      </c>
      <c r="J134" s="24" t="s">
        <v>381</v>
      </c>
      <c r="K134" s="24"/>
      <c r="L134" s="24"/>
      <c r="M134" s="24"/>
      <c r="N134" s="24"/>
      <c r="O134" s="26">
        <f>GET_OK_GROUPS_COUNT(tbStoryEnemy[[#This Row],[Camp]],tbStoryEnemy[[#This Row],[Difficulty]],tbStoryEnemy[[#This Row],[IsBoss]],tbStoryEnemy[[#This Row],[Hero1]:[Soldier3]])</f>
        <v>1</v>
      </c>
      <c r="P134" s="24">
        <v>1</v>
      </c>
      <c r="Q134" s="25" t="s">
        <v>27</v>
      </c>
      <c r="R134" s="24"/>
      <c r="S134" s="26" t="str">
        <f>GET_OK_GROUP(tbStoryEnemy[[#This Row],[Camp]],tbStoryEnemy[[#This Row],[Difficulty]],tbStoryEnemy[[#This Row],[IsBoss]],tbStoryEnemy[[#This Row],[Hero1]:[Soldier3]],tbStoryEnemy[[#This Row],[GroupID]])</f>
        <v>三国-困难-[B]强英+法英</v>
      </c>
    </row>
    <row r="135" spans="2:19">
      <c r="B135" s="24" t="s">
        <v>673</v>
      </c>
      <c r="C135" s="34" t="s">
        <v>1289</v>
      </c>
      <c r="D135" s="24">
        <v>1</v>
      </c>
      <c r="E135" s="24">
        <v>0</v>
      </c>
      <c r="F135" s="24" t="s">
        <v>151</v>
      </c>
      <c r="G135" s="24" t="s">
        <v>1338</v>
      </c>
      <c r="H135" s="24"/>
      <c r="I135" s="24"/>
      <c r="J135" s="24"/>
      <c r="K135" s="24"/>
      <c r="L135" s="24" t="s">
        <v>49</v>
      </c>
      <c r="M135" s="24"/>
      <c r="N135" s="24"/>
      <c r="O135" s="26">
        <f>GET_OK_GROUPS_COUNT(tbStoryEnemy[[#This Row],[Camp]],tbStoryEnemy[[#This Row],[Difficulty]],tbStoryEnemy[[#This Row],[IsBoss]],tbStoryEnemy[[#This Row],[Hero1]:[Soldier3]])</f>
        <v>1</v>
      </c>
      <c r="P135" s="24">
        <v>1</v>
      </c>
      <c r="Q135" s="25" t="s">
        <v>912</v>
      </c>
      <c r="R135" s="24"/>
      <c r="S135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36" spans="2:19">
      <c r="B136" s="24" t="s">
        <v>673</v>
      </c>
      <c r="C136" s="34" t="s">
        <v>1289</v>
      </c>
      <c r="D136" s="24">
        <v>2</v>
      </c>
      <c r="E136" s="24">
        <v>0</v>
      </c>
      <c r="F136" s="24" t="s">
        <v>151</v>
      </c>
      <c r="G136" s="24" t="s">
        <v>1169</v>
      </c>
      <c r="H136" s="24"/>
      <c r="I136" s="24" t="s">
        <v>381</v>
      </c>
      <c r="J136" s="24"/>
      <c r="K136" s="24"/>
      <c r="L136" s="24" t="s">
        <v>25</v>
      </c>
      <c r="M136" s="24"/>
      <c r="N136" s="24"/>
      <c r="O136" s="26">
        <f>GET_OK_GROUPS_COUNT(tbStoryEnemy[[#This Row],[Camp]],tbStoryEnemy[[#This Row],[Difficulty]],tbStoryEnemy[[#This Row],[IsBoss]],tbStoryEnemy[[#This Row],[Hero1]:[Soldier3]])</f>
        <v>1</v>
      </c>
      <c r="P136" s="24">
        <v>1</v>
      </c>
      <c r="Q136" s="25" t="s">
        <v>912</v>
      </c>
      <c r="R136" s="24"/>
      <c r="S136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37" spans="2:19">
      <c r="B137" s="24" t="s">
        <v>674</v>
      </c>
      <c r="C137" s="34" t="s">
        <v>1289</v>
      </c>
      <c r="D137" s="24">
        <v>1</v>
      </c>
      <c r="E137" s="24">
        <v>0</v>
      </c>
      <c r="F137" s="24" t="s">
        <v>151</v>
      </c>
      <c r="G137" s="24" t="s">
        <v>1169</v>
      </c>
      <c r="H137" s="24"/>
      <c r="I137" s="24"/>
      <c r="J137" s="24"/>
      <c r="K137" s="24"/>
      <c r="L137" s="24" t="s">
        <v>447</v>
      </c>
      <c r="M137" s="24"/>
      <c r="N137" s="24"/>
      <c r="O137" s="26">
        <f>GET_OK_GROUPS_COUNT(tbStoryEnemy[[#This Row],[Camp]],tbStoryEnemy[[#This Row],[Difficulty]],tbStoryEnemy[[#This Row],[IsBoss]],tbStoryEnemy[[#This Row],[Hero1]:[Soldier3]])</f>
        <v>9</v>
      </c>
      <c r="P137" s="24">
        <v>1</v>
      </c>
      <c r="Q137" s="25" t="s">
        <v>912</v>
      </c>
      <c r="R137" s="24"/>
      <c r="S137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138" spans="2:19">
      <c r="B138" s="24" t="s">
        <v>674</v>
      </c>
      <c r="C138" s="34" t="s">
        <v>1289</v>
      </c>
      <c r="D138" s="24">
        <v>2</v>
      </c>
      <c r="E138" s="24">
        <v>0</v>
      </c>
      <c r="F138" s="24" t="s">
        <v>151</v>
      </c>
      <c r="G138" s="24" t="s">
        <v>1169</v>
      </c>
      <c r="H138" s="24"/>
      <c r="I138" s="24" t="s">
        <v>381</v>
      </c>
      <c r="J138" s="24"/>
      <c r="K138" s="24"/>
      <c r="L138" s="24" t="s">
        <v>25</v>
      </c>
      <c r="M138" s="24"/>
      <c r="N138" s="24"/>
      <c r="O138" s="26">
        <f>GET_OK_GROUPS_COUNT(tbStoryEnemy[[#This Row],[Camp]],tbStoryEnemy[[#This Row],[Difficulty]],tbStoryEnemy[[#This Row],[IsBoss]],tbStoryEnemy[[#This Row],[Hero1]:[Soldier3]])</f>
        <v>1</v>
      </c>
      <c r="P138" s="24">
        <v>1</v>
      </c>
      <c r="Q138" s="25" t="s">
        <v>912</v>
      </c>
      <c r="R138" s="24"/>
      <c r="S138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39" spans="2:19">
      <c r="B139" s="24" t="s">
        <v>675</v>
      </c>
      <c r="C139" s="34" t="s">
        <v>1289</v>
      </c>
      <c r="D139" s="24">
        <v>1</v>
      </c>
      <c r="E139" s="24">
        <v>0</v>
      </c>
      <c r="F139" s="24" t="s">
        <v>151</v>
      </c>
      <c r="G139" s="24" t="s">
        <v>1169</v>
      </c>
      <c r="H139" s="24"/>
      <c r="I139" s="24" t="s">
        <v>380</v>
      </c>
      <c r="J139" s="24"/>
      <c r="K139" s="24"/>
      <c r="L139" s="24"/>
      <c r="M139" s="24"/>
      <c r="N139" s="24"/>
      <c r="O139" s="26">
        <f>GET_OK_GROUPS_COUNT(tbStoryEnemy[[#This Row],[Camp]],tbStoryEnemy[[#This Row],[Difficulty]],tbStoryEnemy[[#This Row],[IsBoss]],tbStoryEnemy[[#This Row],[Hero1]:[Soldier3]])</f>
        <v>4</v>
      </c>
      <c r="P139" s="24">
        <v>1</v>
      </c>
      <c r="Q139" s="25" t="s">
        <v>912</v>
      </c>
      <c r="R139" s="24"/>
      <c r="S139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140" spans="2:19">
      <c r="B140" s="24" t="s">
        <v>675</v>
      </c>
      <c r="C140" s="34" t="s">
        <v>1289</v>
      </c>
      <c r="D140" s="24">
        <v>2</v>
      </c>
      <c r="E140" s="24">
        <v>0</v>
      </c>
      <c r="F140" s="24" t="s">
        <v>151</v>
      </c>
      <c r="G140" s="24" t="s">
        <v>1126</v>
      </c>
      <c r="H140" s="24" t="b">
        <v>1</v>
      </c>
      <c r="I140" s="24" t="s">
        <v>413</v>
      </c>
      <c r="J140" s="24" t="s">
        <v>381</v>
      </c>
      <c r="K140" s="24"/>
      <c r="L140" s="24"/>
      <c r="M140" s="24"/>
      <c r="N140" s="24"/>
      <c r="O140" s="26">
        <f>GET_OK_GROUPS_COUNT(tbStoryEnemy[[#This Row],[Camp]],tbStoryEnemy[[#This Row],[Difficulty]],tbStoryEnemy[[#This Row],[IsBoss]],tbStoryEnemy[[#This Row],[Hero1]:[Soldier3]])</f>
        <v>1</v>
      </c>
      <c r="P140" s="24">
        <v>1</v>
      </c>
      <c r="Q140" s="25" t="s">
        <v>413</v>
      </c>
      <c r="R140" s="24"/>
      <c r="S140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141" spans="2:19">
      <c r="B141" s="24" t="s">
        <v>676</v>
      </c>
      <c r="C141" s="34" t="s">
        <v>1289</v>
      </c>
      <c r="D141" s="24">
        <v>1</v>
      </c>
      <c r="E141" s="24">
        <v>0</v>
      </c>
      <c r="F141" s="24" t="s">
        <v>151</v>
      </c>
      <c r="G141" s="24" t="s">
        <v>1338</v>
      </c>
      <c r="H141" s="24"/>
      <c r="I141" s="24"/>
      <c r="J141" s="24"/>
      <c r="K141" s="24"/>
      <c r="L141" s="24" t="s">
        <v>448</v>
      </c>
      <c r="M141" s="24"/>
      <c r="N141" s="24"/>
      <c r="O141" s="26">
        <f>GET_OK_GROUPS_COUNT(tbStoryEnemy[[#This Row],[Camp]],tbStoryEnemy[[#This Row],[Difficulty]],tbStoryEnemy[[#This Row],[IsBoss]],tbStoryEnemy[[#This Row],[Hero1]:[Soldier3]])</f>
        <v>3</v>
      </c>
      <c r="P141" s="24">
        <v>1</v>
      </c>
      <c r="Q141" s="25" t="s">
        <v>912</v>
      </c>
      <c r="R141" s="24"/>
      <c r="S141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142" spans="2:19">
      <c r="B142" s="24" t="s">
        <v>676</v>
      </c>
      <c r="C142" s="34" t="s">
        <v>1289</v>
      </c>
      <c r="D142" s="24">
        <v>2</v>
      </c>
      <c r="E142" s="24">
        <v>0</v>
      </c>
      <c r="F142" s="24" t="s">
        <v>151</v>
      </c>
      <c r="G142" s="24" t="s">
        <v>1169</v>
      </c>
      <c r="H142" s="24"/>
      <c r="I142" s="24" t="s">
        <v>381</v>
      </c>
      <c r="J142" s="24" t="s">
        <v>381</v>
      </c>
      <c r="K142" s="24"/>
      <c r="L142" s="24"/>
      <c r="M142" s="24"/>
      <c r="N142" s="24"/>
      <c r="O142" s="26">
        <f>GET_OK_GROUPS_COUNT(tbStoryEnemy[[#This Row],[Camp]],tbStoryEnemy[[#This Row],[Difficulty]],tbStoryEnemy[[#This Row],[IsBoss]],tbStoryEnemy[[#This Row],[Hero1]:[Soldier3]])</f>
        <v>1</v>
      </c>
      <c r="P142" s="24">
        <v>1</v>
      </c>
      <c r="Q142" s="25" t="s">
        <v>912</v>
      </c>
      <c r="R142" s="24"/>
      <c r="S142" s="26" t="str">
        <f>GET_OK_GROUP(tbStoryEnemy[[#This Row],[Camp]],tbStoryEnemy[[#This Row],[Difficulty]],tbStoryEnemy[[#This Row],[IsBoss]],tbStoryEnemy[[#This Row],[Hero1]:[Soldier3]],tbStoryEnemy[[#This Row],[GroupID]])</f>
        <v>三国-困难-强英+强英</v>
      </c>
    </row>
    <row r="143" spans="2:19">
      <c r="B143" s="24" t="s">
        <v>677</v>
      </c>
      <c r="C143" s="34" t="s">
        <v>1289</v>
      </c>
      <c r="D143" s="24">
        <v>1</v>
      </c>
      <c r="E143" s="24">
        <v>0</v>
      </c>
      <c r="F143" s="24" t="s">
        <v>151</v>
      </c>
      <c r="G143" s="24" t="s">
        <v>1169</v>
      </c>
      <c r="H143" s="24"/>
      <c r="I143" s="24" t="s">
        <v>383</v>
      </c>
      <c r="J143" s="24"/>
      <c r="K143" s="24"/>
      <c r="L143" s="24" t="s">
        <v>25</v>
      </c>
      <c r="M143" s="24"/>
      <c r="N143" s="24"/>
      <c r="O143" s="26">
        <f>GET_OK_GROUPS_COUNT(tbStoryEnemy[[#This Row],[Camp]],tbStoryEnemy[[#This Row],[Difficulty]],tbStoryEnemy[[#This Row],[IsBoss]],tbStoryEnemy[[#This Row],[Hero1]:[Soldier3]])</f>
        <v>1</v>
      </c>
      <c r="P143" s="24">
        <v>1</v>
      </c>
      <c r="Q143" s="25" t="s">
        <v>912</v>
      </c>
      <c r="R143" s="24"/>
      <c r="S143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44" spans="2:19">
      <c r="B144" s="24" t="s">
        <v>677</v>
      </c>
      <c r="C144" s="34" t="s">
        <v>1289</v>
      </c>
      <c r="D144" s="24">
        <v>2</v>
      </c>
      <c r="E144" s="24">
        <v>0</v>
      </c>
      <c r="F144" s="24" t="s">
        <v>151</v>
      </c>
      <c r="G144" s="24" t="s">
        <v>1169</v>
      </c>
      <c r="H144" s="24"/>
      <c r="I144" s="24" t="s">
        <v>380</v>
      </c>
      <c r="J144" s="24" t="s">
        <v>381</v>
      </c>
      <c r="K144" s="24"/>
      <c r="L144" s="24"/>
      <c r="M144" s="24"/>
      <c r="N144" s="24"/>
      <c r="O144" s="26">
        <f>GET_OK_GROUPS_COUNT(tbStoryEnemy[[#This Row],[Camp]],tbStoryEnemy[[#This Row],[Difficulty]],tbStoryEnemy[[#This Row],[IsBoss]],tbStoryEnemy[[#This Row],[Hero1]:[Soldier3]])</f>
        <v>1</v>
      </c>
      <c r="P144" s="24">
        <v>1</v>
      </c>
      <c r="Q144" s="25" t="s">
        <v>912</v>
      </c>
      <c r="R144" s="24"/>
      <c r="S144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145" spans="2:19">
      <c r="B145" s="24" t="s">
        <v>678</v>
      </c>
      <c r="C145" s="34" t="s">
        <v>1289</v>
      </c>
      <c r="D145" s="24">
        <v>1</v>
      </c>
      <c r="E145" s="24">
        <v>0</v>
      </c>
      <c r="F145" s="24" t="s">
        <v>151</v>
      </c>
      <c r="G145" s="24" t="s">
        <v>1169</v>
      </c>
      <c r="H145" s="24"/>
      <c r="I145" s="24"/>
      <c r="J145" s="24"/>
      <c r="K145" s="24"/>
      <c r="L145" s="24" t="s">
        <v>28</v>
      </c>
      <c r="M145" s="24"/>
      <c r="N145" s="24"/>
      <c r="O145" s="26">
        <f>GET_OK_GROUPS_COUNT(tbStoryEnemy[[#This Row],[Camp]],tbStoryEnemy[[#This Row],[Difficulty]],tbStoryEnemy[[#This Row],[IsBoss]],tbStoryEnemy[[#This Row],[Hero1]:[Soldier3]])</f>
        <v>9</v>
      </c>
      <c r="P145" s="24">
        <v>2</v>
      </c>
      <c r="Q145" s="25" t="s">
        <v>912</v>
      </c>
      <c r="R145" s="24"/>
      <c r="S145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146" spans="2:19">
      <c r="B146" s="24" t="s">
        <v>678</v>
      </c>
      <c r="C146" s="34" t="s">
        <v>1289</v>
      </c>
      <c r="D146" s="24">
        <v>2</v>
      </c>
      <c r="E146" s="24">
        <v>0</v>
      </c>
      <c r="F146" s="24" t="s">
        <v>151</v>
      </c>
      <c r="G146" s="24" t="s">
        <v>1126</v>
      </c>
      <c r="H146" s="24" t="b">
        <v>1</v>
      </c>
      <c r="I146" s="24" t="s">
        <v>437</v>
      </c>
      <c r="J146" s="24" t="s">
        <v>383</v>
      </c>
      <c r="K146" s="24"/>
      <c r="L146" s="24"/>
      <c r="M146" s="24"/>
      <c r="N146" s="24"/>
      <c r="O146" s="26">
        <f>GET_OK_GROUPS_COUNT(tbStoryEnemy[[#This Row],[Camp]],tbStoryEnemy[[#This Row],[Difficulty]],tbStoryEnemy[[#This Row],[IsBoss]],tbStoryEnemy[[#This Row],[Hero1]:[Soldier3]])</f>
        <v>1</v>
      </c>
      <c r="P146" s="24">
        <v>1</v>
      </c>
      <c r="Q146" s="25" t="s">
        <v>437</v>
      </c>
      <c r="R146" s="24"/>
      <c r="S146" s="26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147" spans="2:19">
      <c r="B147" s="24" t="s">
        <v>679</v>
      </c>
      <c r="C147" s="34" t="s">
        <v>1289</v>
      </c>
      <c r="D147" s="24">
        <v>1</v>
      </c>
      <c r="E147" s="24">
        <v>0</v>
      </c>
      <c r="F147" s="24" t="s">
        <v>151</v>
      </c>
      <c r="G147" s="24" t="s">
        <v>1169</v>
      </c>
      <c r="H147" s="24"/>
      <c r="I147" s="24"/>
      <c r="J147" s="24"/>
      <c r="K147" s="24"/>
      <c r="L147" s="24" t="s">
        <v>34</v>
      </c>
      <c r="M147" s="24" t="s">
        <v>26</v>
      </c>
      <c r="N147" s="24"/>
      <c r="O147" s="26">
        <f>GET_OK_GROUPS_COUNT(tbStoryEnemy[[#This Row],[Camp]],tbStoryEnemy[[#This Row],[Difficulty]],tbStoryEnemy[[#This Row],[IsBoss]],tbStoryEnemy[[#This Row],[Hero1]:[Soldier3]])</f>
        <v>5</v>
      </c>
      <c r="P147" s="24">
        <v>1</v>
      </c>
      <c r="Q147" s="25" t="s">
        <v>912</v>
      </c>
      <c r="R147" s="24"/>
      <c r="S147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148" spans="2:19">
      <c r="B148" s="24" t="s">
        <v>679</v>
      </c>
      <c r="C148" s="34" t="s">
        <v>1289</v>
      </c>
      <c r="D148" s="24">
        <v>2</v>
      </c>
      <c r="E148" s="24">
        <v>0</v>
      </c>
      <c r="F148" s="24" t="s">
        <v>151</v>
      </c>
      <c r="G148" s="24" t="s">
        <v>1169</v>
      </c>
      <c r="H148" s="24"/>
      <c r="I148" s="24" t="s">
        <v>380</v>
      </c>
      <c r="J148" s="24"/>
      <c r="K148" s="24"/>
      <c r="L148" s="24" t="s">
        <v>28</v>
      </c>
      <c r="M148" s="24"/>
      <c r="N148" s="24"/>
      <c r="O148" s="26">
        <f>GET_OK_GROUPS_COUNT(tbStoryEnemy[[#This Row],[Camp]],tbStoryEnemy[[#This Row],[Difficulty]],tbStoryEnemy[[#This Row],[IsBoss]],tbStoryEnemy[[#This Row],[Hero1]:[Soldier3]])</f>
        <v>1</v>
      </c>
      <c r="P148" s="24">
        <v>1</v>
      </c>
      <c r="Q148" s="25" t="s">
        <v>912</v>
      </c>
      <c r="R148" s="24"/>
      <c r="S148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49" spans="2:19">
      <c r="B149" s="24" t="s">
        <v>680</v>
      </c>
      <c r="C149" s="34" t="s">
        <v>1289</v>
      </c>
      <c r="D149" s="24">
        <v>1</v>
      </c>
      <c r="E149" s="24">
        <v>0</v>
      </c>
      <c r="F149" s="24" t="s">
        <v>151</v>
      </c>
      <c r="G149" s="24" t="s">
        <v>1169</v>
      </c>
      <c r="H149" s="24"/>
      <c r="I149" s="24"/>
      <c r="J149" s="24"/>
      <c r="K149" s="24"/>
      <c r="L149" s="24" t="s">
        <v>26</v>
      </c>
      <c r="M149" s="24"/>
      <c r="N149" s="24"/>
      <c r="O149" s="26">
        <f>GET_OK_GROUPS_COUNT(tbStoryEnemy[[#This Row],[Camp]],tbStoryEnemy[[#This Row],[Difficulty]],tbStoryEnemy[[#This Row],[IsBoss]],tbStoryEnemy[[#This Row],[Hero1]:[Soldier3]])</f>
        <v>9</v>
      </c>
      <c r="P149" s="24">
        <v>2</v>
      </c>
      <c r="Q149" s="25" t="s">
        <v>912</v>
      </c>
      <c r="R149" s="24"/>
      <c r="S149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150" spans="2:19">
      <c r="B150" s="24" t="s">
        <v>680</v>
      </c>
      <c r="C150" s="34" t="s">
        <v>1289</v>
      </c>
      <c r="D150" s="24">
        <v>2</v>
      </c>
      <c r="E150" s="24">
        <v>0</v>
      </c>
      <c r="F150" s="24" t="s">
        <v>151</v>
      </c>
      <c r="G150" s="24" t="s">
        <v>1169</v>
      </c>
      <c r="H150" s="24"/>
      <c r="I150" s="24" t="s">
        <v>380</v>
      </c>
      <c r="J150" s="24" t="s">
        <v>385</v>
      </c>
      <c r="K150" s="24"/>
      <c r="L150" s="24"/>
      <c r="M150" s="24"/>
      <c r="N150" s="24"/>
      <c r="O150" s="26">
        <f>GET_OK_GROUPS_COUNT(tbStoryEnemy[[#This Row],[Camp]],tbStoryEnemy[[#This Row],[Difficulty]],tbStoryEnemy[[#This Row],[IsBoss]],tbStoryEnemy[[#This Row],[Hero1]:[Soldier3]])</f>
        <v>1</v>
      </c>
      <c r="P150" s="24">
        <v>1</v>
      </c>
      <c r="Q150" s="25" t="s">
        <v>912</v>
      </c>
      <c r="R150" s="24"/>
      <c r="S150" s="26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151" spans="2:19">
      <c r="B151" s="24" t="s">
        <v>681</v>
      </c>
      <c r="C151" s="34" t="s">
        <v>1289</v>
      </c>
      <c r="D151" s="24">
        <v>1</v>
      </c>
      <c r="E151" s="24">
        <v>0</v>
      </c>
      <c r="F151" s="24" t="s">
        <v>151</v>
      </c>
      <c r="G151" s="24" t="s">
        <v>1169</v>
      </c>
      <c r="H151" s="24"/>
      <c r="I151" s="24"/>
      <c r="J151" s="24"/>
      <c r="K151" s="24"/>
      <c r="L151" s="24" t="s">
        <v>447</v>
      </c>
      <c r="M151" s="24"/>
      <c r="N151" s="24"/>
      <c r="O151" s="26">
        <f>GET_OK_GROUPS_COUNT(tbStoryEnemy[[#This Row],[Camp]],tbStoryEnemy[[#This Row],[Difficulty]],tbStoryEnemy[[#This Row],[IsBoss]],tbStoryEnemy[[#This Row],[Hero1]:[Soldier3]])</f>
        <v>9</v>
      </c>
      <c r="P151" s="24">
        <v>3</v>
      </c>
      <c r="Q151" s="25" t="s">
        <v>912</v>
      </c>
      <c r="R151" s="24"/>
      <c r="S151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152" spans="2:19">
      <c r="B152" s="24" t="s">
        <v>681</v>
      </c>
      <c r="C152" s="34" t="s">
        <v>1289</v>
      </c>
      <c r="D152" s="24">
        <v>2</v>
      </c>
      <c r="E152" s="24">
        <v>0</v>
      </c>
      <c r="F152" s="24" t="s">
        <v>151</v>
      </c>
      <c r="G152" s="24" t="s">
        <v>1126</v>
      </c>
      <c r="H152" s="24" t="b">
        <v>1</v>
      </c>
      <c r="I152" s="24" t="s">
        <v>1188</v>
      </c>
      <c r="J152" s="24" t="s">
        <v>383</v>
      </c>
      <c r="K152" s="24"/>
      <c r="L152" s="24"/>
      <c r="M152" s="24"/>
      <c r="N152" s="24"/>
      <c r="O152" s="26">
        <f>GET_OK_GROUPS_COUNT(tbStoryEnemy[[#This Row],[Camp]],tbStoryEnemy[[#This Row],[Difficulty]],tbStoryEnemy[[#This Row],[IsBoss]],tbStoryEnemy[[#This Row],[Hero1]:[Soldier3]])</f>
        <v>1</v>
      </c>
      <c r="P152" s="24">
        <v>1</v>
      </c>
      <c r="Q152" s="25" t="s">
        <v>1188</v>
      </c>
      <c r="R152" s="24"/>
      <c r="S152" s="26" t="str">
        <f>GET_OK_GROUP(tbStoryEnemy[[#This Row],[Camp]],tbStoryEnemy[[#This Row],[Difficulty]],tbStoryEnemy[[#This Row],[IsBoss]],tbStoryEnemy[[#This Row],[Hero1]:[Soldier3]],tbStoryEnemy[[#This Row],[GroupID]])</f>
        <v>三国-超难-[B]盾英+炼英</v>
      </c>
    </row>
    <row r="153" spans="2:19">
      <c r="B153" s="24" t="s">
        <v>682</v>
      </c>
      <c r="C153" s="34" t="s">
        <v>1289</v>
      </c>
      <c r="D153" s="24">
        <v>1</v>
      </c>
      <c r="E153" s="24">
        <v>0</v>
      </c>
      <c r="F153" s="24" t="s">
        <v>151</v>
      </c>
      <c r="G153" s="24" t="s">
        <v>1338</v>
      </c>
      <c r="H153" s="24"/>
      <c r="I153" s="24"/>
      <c r="J153" s="24"/>
      <c r="K153" s="24"/>
      <c r="L153" s="24" t="s">
        <v>26</v>
      </c>
      <c r="M153" s="24"/>
      <c r="N153" s="24"/>
      <c r="O153" s="26">
        <f>GET_OK_GROUPS_COUNT(tbStoryEnemy[[#This Row],[Camp]],tbStoryEnemy[[#This Row],[Difficulty]],tbStoryEnemy[[#This Row],[IsBoss]],tbStoryEnemy[[#This Row],[Hero1]:[Soldier3]])</f>
        <v>3</v>
      </c>
      <c r="P153" s="24">
        <v>1</v>
      </c>
      <c r="Q153" s="25" t="s">
        <v>912</v>
      </c>
      <c r="R153" s="24"/>
      <c r="S153" s="26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154" spans="2:19">
      <c r="B154" s="24" t="s">
        <v>682</v>
      </c>
      <c r="C154" s="34" t="s">
        <v>1289</v>
      </c>
      <c r="D154" s="24">
        <v>2</v>
      </c>
      <c r="E154" s="24">
        <v>0</v>
      </c>
      <c r="F154" s="24" t="s">
        <v>151</v>
      </c>
      <c r="G154" s="24" t="s">
        <v>1169</v>
      </c>
      <c r="H154" s="24"/>
      <c r="I154" s="24" t="s">
        <v>380</v>
      </c>
      <c r="J154" s="24" t="s">
        <v>384</v>
      </c>
      <c r="K154" s="24"/>
      <c r="L154" s="24"/>
      <c r="M154" s="24"/>
      <c r="N154" s="24"/>
      <c r="O154" s="26">
        <f>GET_OK_GROUPS_COUNT(tbStoryEnemy[[#This Row],[Camp]],tbStoryEnemy[[#This Row],[Difficulty]],tbStoryEnemy[[#This Row],[IsBoss]],tbStoryEnemy[[#This Row],[Hero1]:[Soldier3]])</f>
        <v>1</v>
      </c>
      <c r="P154" s="24">
        <v>1</v>
      </c>
      <c r="Q154" s="25" t="s">
        <v>912</v>
      </c>
      <c r="R154" s="24"/>
      <c r="S154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155" spans="2:19">
      <c r="B155" s="24" t="s">
        <v>683</v>
      </c>
      <c r="C155" s="34" t="s">
        <v>1289</v>
      </c>
      <c r="D155" s="24">
        <v>1</v>
      </c>
      <c r="E155" s="24">
        <v>0</v>
      </c>
      <c r="F155" s="24" t="s">
        <v>151</v>
      </c>
      <c r="G155" s="24" t="s">
        <v>1338</v>
      </c>
      <c r="H155" s="24"/>
      <c r="I155" s="24"/>
      <c r="J155" s="24"/>
      <c r="K155" s="24"/>
      <c r="L155" s="24" t="s">
        <v>26</v>
      </c>
      <c r="M155" s="24"/>
      <c r="N155" s="24"/>
      <c r="O155" s="26">
        <f>GET_OK_GROUPS_COUNT(tbStoryEnemy[[#This Row],[Camp]],tbStoryEnemy[[#This Row],[Difficulty]],tbStoryEnemy[[#This Row],[IsBoss]],tbStoryEnemy[[#This Row],[Hero1]:[Soldier3]])</f>
        <v>3</v>
      </c>
      <c r="P155" s="24">
        <v>2</v>
      </c>
      <c r="Q155" s="25" t="s">
        <v>912</v>
      </c>
      <c r="R155" s="24"/>
      <c r="S15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56" spans="2:19">
      <c r="B156" s="24" t="s">
        <v>683</v>
      </c>
      <c r="C156" s="34" t="s">
        <v>1289</v>
      </c>
      <c r="D156" s="24">
        <v>2</v>
      </c>
      <c r="E156" s="24">
        <v>0</v>
      </c>
      <c r="F156" s="24" t="s">
        <v>151</v>
      </c>
      <c r="G156" s="24" t="s">
        <v>1169</v>
      </c>
      <c r="H156" s="24"/>
      <c r="I156" s="24" t="s">
        <v>383</v>
      </c>
      <c r="J156" s="24" t="s">
        <v>383</v>
      </c>
      <c r="K156" s="24"/>
      <c r="L156" s="24"/>
      <c r="M156" s="24"/>
      <c r="N156" s="24"/>
      <c r="O156" s="26">
        <f>GET_OK_GROUPS_COUNT(tbStoryEnemy[[#This Row],[Camp]],tbStoryEnemy[[#This Row],[Difficulty]],tbStoryEnemy[[#This Row],[IsBoss]],tbStoryEnemy[[#This Row],[Hero1]:[Soldier3]])</f>
        <v>1</v>
      </c>
      <c r="P156" s="24">
        <v>1</v>
      </c>
      <c r="Q156" s="25" t="s">
        <v>912</v>
      </c>
      <c r="R156" s="24"/>
      <c r="S156" s="26" t="str">
        <f>GET_OK_GROUP(tbStoryEnemy[[#This Row],[Camp]],tbStoryEnemy[[#This Row],[Difficulty]],tbStoryEnemy[[#This Row],[IsBoss]],tbStoryEnemy[[#This Row],[Hero1]:[Soldier3]],tbStoryEnemy[[#This Row],[GroupID]])</f>
        <v>三国-困难-炼英+炼英</v>
      </c>
    </row>
    <row r="157" spans="2:19">
      <c r="B157" s="24" t="s">
        <v>684</v>
      </c>
      <c r="C157" s="34" t="s">
        <v>1289</v>
      </c>
      <c r="D157" s="24">
        <v>1</v>
      </c>
      <c r="E157" s="24">
        <v>0</v>
      </c>
      <c r="F157" s="24" t="s">
        <v>151</v>
      </c>
      <c r="G157" s="24" t="s">
        <v>1169</v>
      </c>
      <c r="H157" s="24"/>
      <c r="I157" s="24"/>
      <c r="J157" s="24"/>
      <c r="K157" s="24"/>
      <c r="L157" s="24" t="s">
        <v>34</v>
      </c>
      <c r="M157" s="24"/>
      <c r="N157" s="24"/>
      <c r="O157" s="26">
        <f>GET_OK_GROUPS_COUNT(tbStoryEnemy[[#This Row],[Camp]],tbStoryEnemy[[#This Row],[Difficulty]],tbStoryEnemy[[#This Row],[IsBoss]],tbStoryEnemy[[#This Row],[Hero1]:[Soldier3]])</f>
        <v>14</v>
      </c>
      <c r="P157" s="24">
        <v>2</v>
      </c>
      <c r="Q157" s="25" t="s">
        <v>912</v>
      </c>
      <c r="R157" s="24"/>
      <c r="S157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158" spans="2:19">
      <c r="B158" s="24" t="s">
        <v>684</v>
      </c>
      <c r="C158" s="34" t="s">
        <v>1289</v>
      </c>
      <c r="D158" s="24">
        <v>2</v>
      </c>
      <c r="E158" s="24">
        <v>0</v>
      </c>
      <c r="F158" s="24" t="s">
        <v>151</v>
      </c>
      <c r="G158" s="24" t="s">
        <v>1169</v>
      </c>
      <c r="H158" s="24" t="b">
        <v>1</v>
      </c>
      <c r="I158" s="24" t="s">
        <v>24</v>
      </c>
      <c r="J158" s="24" t="s">
        <v>383</v>
      </c>
      <c r="K158" s="24"/>
      <c r="L158" s="24"/>
      <c r="M158" s="24"/>
      <c r="N158" s="24"/>
      <c r="O158" s="26">
        <f>GET_OK_GROUPS_COUNT(tbStoryEnemy[[#This Row],[Camp]],tbStoryEnemy[[#This Row],[Difficulty]],tbStoryEnemy[[#This Row],[IsBoss]],tbStoryEnemy[[#This Row],[Hero1]:[Soldier3]])</f>
        <v>1</v>
      </c>
      <c r="P158" s="24">
        <v>1</v>
      </c>
      <c r="Q158" s="25" t="s">
        <v>24</v>
      </c>
      <c r="R158" s="24"/>
      <c r="S158" s="26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159" spans="2:19">
      <c r="B159" s="24" t="s">
        <v>685</v>
      </c>
      <c r="C159" s="34" t="s">
        <v>1289</v>
      </c>
      <c r="D159" s="24">
        <v>1</v>
      </c>
      <c r="E159" s="24">
        <v>0</v>
      </c>
      <c r="F159" s="24" t="s">
        <v>151</v>
      </c>
      <c r="G159" s="24" t="s">
        <v>1338</v>
      </c>
      <c r="H159" s="24"/>
      <c r="I159" s="24"/>
      <c r="J159" s="24"/>
      <c r="K159" s="24"/>
      <c r="L159" s="24" t="s">
        <v>34</v>
      </c>
      <c r="M159" s="24"/>
      <c r="N159" s="24"/>
      <c r="O159" s="26">
        <f>GET_OK_GROUPS_COUNT(tbStoryEnemy[[#This Row],[Camp]],tbStoryEnemy[[#This Row],[Difficulty]],tbStoryEnemy[[#This Row],[IsBoss]],tbStoryEnemy[[#This Row],[Hero1]:[Soldier3]])</f>
        <v>5</v>
      </c>
      <c r="P159" s="24">
        <v>2</v>
      </c>
      <c r="Q159" s="25" t="s">
        <v>912</v>
      </c>
      <c r="R159" s="24"/>
      <c r="S159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60" spans="2:19">
      <c r="B160" s="24" t="s">
        <v>685</v>
      </c>
      <c r="C160" s="34" t="s">
        <v>1289</v>
      </c>
      <c r="D160" s="24">
        <v>2</v>
      </c>
      <c r="E160" s="24">
        <v>0</v>
      </c>
      <c r="F160" s="24" t="s">
        <v>151</v>
      </c>
      <c r="G160" s="24" t="s">
        <v>1169</v>
      </c>
      <c r="H160" s="24"/>
      <c r="I160" s="24" t="s">
        <v>383</v>
      </c>
      <c r="J160" s="24"/>
      <c r="K160" s="24"/>
      <c r="L160" s="24"/>
      <c r="M160" s="24"/>
      <c r="N160" s="24"/>
      <c r="O160" s="26">
        <f>GET_OK_GROUPS_COUNT(tbStoryEnemy[[#This Row],[Camp]],tbStoryEnemy[[#This Row],[Difficulty]],tbStoryEnemy[[#This Row],[IsBoss]],tbStoryEnemy[[#This Row],[Hero1]:[Soldier3]])</f>
        <v>3</v>
      </c>
      <c r="P160" s="24">
        <v>2</v>
      </c>
      <c r="Q160" s="25" t="s">
        <v>912</v>
      </c>
      <c r="R160" s="24"/>
      <c r="S160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161" spans="2:19">
      <c r="B161" s="24" t="s">
        <v>686</v>
      </c>
      <c r="C161" s="34" t="s">
        <v>1289</v>
      </c>
      <c r="D161" s="24">
        <v>1</v>
      </c>
      <c r="E161" s="24">
        <v>0</v>
      </c>
      <c r="F161" s="24" t="s">
        <v>151</v>
      </c>
      <c r="G161" s="24" t="s">
        <v>1169</v>
      </c>
      <c r="H161" s="24"/>
      <c r="I161" s="24" t="s">
        <v>381</v>
      </c>
      <c r="J161" s="24"/>
      <c r="K161" s="24"/>
      <c r="L161" s="24"/>
      <c r="M161" s="24"/>
      <c r="N161" s="24"/>
      <c r="O161" s="26">
        <f>GET_OK_GROUPS_COUNT(tbStoryEnemy[[#This Row],[Camp]],tbStoryEnemy[[#This Row],[Difficulty]],tbStoryEnemy[[#This Row],[IsBoss]],tbStoryEnemy[[#This Row],[Hero1]:[Soldier3]])</f>
        <v>3</v>
      </c>
      <c r="P161" s="24">
        <v>2</v>
      </c>
      <c r="Q161" s="25" t="s">
        <v>912</v>
      </c>
      <c r="R161" s="24"/>
      <c r="S161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62" spans="2:19">
      <c r="B162" s="24" t="s">
        <v>686</v>
      </c>
      <c r="C162" s="34" t="s">
        <v>1289</v>
      </c>
      <c r="D162" s="24">
        <v>2</v>
      </c>
      <c r="E162" s="24">
        <v>0</v>
      </c>
      <c r="F162" s="24" t="s">
        <v>151</v>
      </c>
      <c r="G162" s="24" t="s">
        <v>1169</v>
      </c>
      <c r="H162" s="24"/>
      <c r="I162" s="24" t="s">
        <v>382</v>
      </c>
      <c r="J162" s="24" t="s">
        <v>385</v>
      </c>
      <c r="K162" s="24"/>
      <c r="L162" s="24"/>
      <c r="M162" s="24"/>
      <c r="N162" s="24"/>
      <c r="O162" s="26">
        <f>GET_OK_GROUPS_COUNT(tbStoryEnemy[[#This Row],[Camp]],tbStoryEnemy[[#This Row],[Difficulty]],tbStoryEnemy[[#This Row],[IsBoss]],tbStoryEnemy[[#This Row],[Hero1]:[Soldier3]])</f>
        <v>1</v>
      </c>
      <c r="P162" s="24">
        <v>1</v>
      </c>
      <c r="Q162" s="25" t="s">
        <v>912</v>
      </c>
      <c r="R162" s="24"/>
      <c r="S162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163" spans="2:19">
      <c r="B163" s="24" t="s">
        <v>687</v>
      </c>
      <c r="C163" s="34" t="s">
        <v>1289</v>
      </c>
      <c r="D163" s="24">
        <v>1</v>
      </c>
      <c r="E163" s="24">
        <v>0</v>
      </c>
      <c r="F163" s="24" t="s">
        <v>151</v>
      </c>
      <c r="G163" s="24" t="s">
        <v>1169</v>
      </c>
      <c r="H163" s="24"/>
      <c r="I163" s="24"/>
      <c r="J163" s="24"/>
      <c r="K163" s="24"/>
      <c r="L163" s="24" t="s">
        <v>447</v>
      </c>
      <c r="M163" s="24"/>
      <c r="N163" s="24"/>
      <c r="O163" s="26">
        <f>GET_OK_GROUPS_COUNT(tbStoryEnemy[[#This Row],[Camp]],tbStoryEnemy[[#This Row],[Difficulty]],tbStoryEnemy[[#This Row],[IsBoss]],tbStoryEnemy[[#This Row],[Hero1]:[Soldier3]])</f>
        <v>9</v>
      </c>
      <c r="P163" s="24">
        <v>3</v>
      </c>
      <c r="Q163" s="25" t="s">
        <v>912</v>
      </c>
      <c r="R163" s="24"/>
      <c r="S163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164" spans="2:19">
      <c r="B164" s="24" t="s">
        <v>687</v>
      </c>
      <c r="C164" s="34" t="s">
        <v>1289</v>
      </c>
      <c r="D164" s="24">
        <v>2</v>
      </c>
      <c r="E164" s="24">
        <v>0</v>
      </c>
      <c r="F164" s="24" t="s">
        <v>151</v>
      </c>
      <c r="G164" s="24" t="s">
        <v>1126</v>
      </c>
      <c r="H164" s="24" t="b">
        <v>1</v>
      </c>
      <c r="I164" s="24" t="s">
        <v>340</v>
      </c>
      <c r="J164" s="24" t="s">
        <v>381</v>
      </c>
      <c r="K164" s="24"/>
      <c r="L164" s="24"/>
      <c r="M164" s="24"/>
      <c r="N164" s="24"/>
      <c r="O164" s="26">
        <f>GET_OK_GROUPS_COUNT(tbStoryEnemy[[#This Row],[Camp]],tbStoryEnemy[[#This Row],[Difficulty]],tbStoryEnemy[[#This Row],[IsBoss]],tbStoryEnemy[[#This Row],[Hero1]:[Soldier3]])</f>
        <v>1</v>
      </c>
      <c r="P164" s="24">
        <v>1</v>
      </c>
      <c r="Q164" s="25" t="s">
        <v>340</v>
      </c>
      <c r="R164" s="24"/>
      <c r="S164" s="26" t="str">
        <f>GET_OK_GROUP(tbStoryEnemy[[#This Row],[Camp]],tbStoryEnemy[[#This Row],[Difficulty]],tbStoryEnemy[[#This Row],[IsBoss]],tbStoryEnemy[[#This Row],[Hero1]:[Soldier3]],tbStoryEnemy[[#This Row],[GroupID]])</f>
        <v>三国-超难-[B]强英+法英</v>
      </c>
    </row>
    <row r="165" spans="2:19">
      <c r="B165" s="24" t="s">
        <v>688</v>
      </c>
      <c r="C165" s="34" t="s">
        <v>1289</v>
      </c>
      <c r="D165" s="24">
        <v>1</v>
      </c>
      <c r="E165" s="24">
        <v>0</v>
      </c>
      <c r="F165" s="24" t="s">
        <v>151</v>
      </c>
      <c r="G165" s="24" t="s">
        <v>1338</v>
      </c>
      <c r="H165" s="24"/>
      <c r="I165" s="24"/>
      <c r="J165" s="24"/>
      <c r="K165" s="24"/>
      <c r="L165" s="24" t="s">
        <v>34</v>
      </c>
      <c r="M165" s="24" t="s">
        <v>447</v>
      </c>
      <c r="N165" s="24"/>
      <c r="O165" s="26">
        <f>GET_OK_GROUPS_COUNT(tbStoryEnemy[[#This Row],[Camp]],tbStoryEnemy[[#This Row],[Difficulty]],tbStoryEnemy[[#This Row],[IsBoss]],tbStoryEnemy[[#This Row],[Hero1]:[Soldier3]])</f>
        <v>1</v>
      </c>
      <c r="P165" s="24">
        <v>1</v>
      </c>
      <c r="Q165" s="25" t="s">
        <v>912</v>
      </c>
      <c r="R165" s="24"/>
      <c r="S165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66" spans="2:19">
      <c r="B166" s="24" t="s">
        <v>688</v>
      </c>
      <c r="C166" s="34" t="s">
        <v>1289</v>
      </c>
      <c r="D166" s="24">
        <v>2</v>
      </c>
      <c r="E166" s="24">
        <v>0</v>
      </c>
      <c r="F166" s="24" t="s">
        <v>151</v>
      </c>
      <c r="G166" s="24" t="s">
        <v>1169</v>
      </c>
      <c r="H166" s="24"/>
      <c r="I166" s="24" t="s">
        <v>380</v>
      </c>
      <c r="J166" s="24" t="s">
        <v>384</v>
      </c>
      <c r="K166" s="24"/>
      <c r="L166" s="24"/>
      <c r="M166" s="24"/>
      <c r="N166" s="24"/>
      <c r="O166" s="26">
        <f>GET_OK_GROUPS_COUNT(tbStoryEnemy[[#This Row],[Camp]],tbStoryEnemy[[#This Row],[Difficulty]],tbStoryEnemy[[#This Row],[IsBoss]],tbStoryEnemy[[#This Row],[Hero1]:[Soldier3]])</f>
        <v>1</v>
      </c>
      <c r="P166" s="24">
        <v>1</v>
      </c>
      <c r="Q166" s="25" t="s">
        <v>912</v>
      </c>
      <c r="R166" s="24"/>
      <c r="S166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167" spans="2:19">
      <c r="B167" s="24" t="s">
        <v>689</v>
      </c>
      <c r="C167" s="34" t="s">
        <v>1289</v>
      </c>
      <c r="D167" s="24">
        <v>1</v>
      </c>
      <c r="E167" s="24">
        <v>0</v>
      </c>
      <c r="F167" s="24" t="s">
        <v>151</v>
      </c>
      <c r="G167" s="24" t="s">
        <v>1338</v>
      </c>
      <c r="H167" s="24"/>
      <c r="I167" s="24"/>
      <c r="J167" s="24"/>
      <c r="K167" s="24"/>
      <c r="L167" s="24" t="s">
        <v>26</v>
      </c>
      <c r="M167" s="24"/>
      <c r="N167" s="24"/>
      <c r="O167" s="26">
        <f>GET_OK_GROUPS_COUNT(tbStoryEnemy[[#This Row],[Camp]],tbStoryEnemy[[#This Row],[Difficulty]],tbStoryEnemy[[#This Row],[IsBoss]],tbStoryEnemy[[#This Row],[Hero1]:[Soldier3]])</f>
        <v>3</v>
      </c>
      <c r="P167" s="24">
        <v>2</v>
      </c>
      <c r="Q167" s="25" t="s">
        <v>912</v>
      </c>
      <c r="R167" s="24"/>
      <c r="S167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68" spans="2:19">
      <c r="B168" s="24" t="s">
        <v>689</v>
      </c>
      <c r="C168" s="34" t="s">
        <v>1289</v>
      </c>
      <c r="D168" s="24">
        <v>2</v>
      </c>
      <c r="E168" s="24">
        <v>0</v>
      </c>
      <c r="F168" s="24" t="s">
        <v>151</v>
      </c>
      <c r="G168" s="24" t="s">
        <v>1169</v>
      </c>
      <c r="H168" s="24"/>
      <c r="I168" s="24" t="s">
        <v>382</v>
      </c>
      <c r="J168" s="24" t="s">
        <v>381</v>
      </c>
      <c r="K168" s="24"/>
      <c r="L168" s="24"/>
      <c r="M168" s="24"/>
      <c r="N168" s="24"/>
      <c r="O168" s="26">
        <f>GET_OK_GROUPS_COUNT(tbStoryEnemy[[#This Row],[Camp]],tbStoryEnemy[[#This Row],[Difficulty]],tbStoryEnemy[[#This Row],[IsBoss]],tbStoryEnemy[[#This Row],[Hero1]:[Soldier3]])</f>
        <v>1</v>
      </c>
      <c r="P168" s="24">
        <v>1</v>
      </c>
      <c r="Q168" s="25" t="s">
        <v>912</v>
      </c>
      <c r="R168" s="24"/>
      <c r="S168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169" spans="2:19">
      <c r="B169" s="24" t="s">
        <v>690</v>
      </c>
      <c r="C169" s="34" t="s">
        <v>1289</v>
      </c>
      <c r="D169" s="24">
        <v>1</v>
      </c>
      <c r="E169" s="24">
        <v>0</v>
      </c>
      <c r="F169" s="24" t="s">
        <v>151</v>
      </c>
      <c r="G169" s="24" t="s">
        <v>1169</v>
      </c>
      <c r="H169" s="24"/>
      <c r="I169" s="24"/>
      <c r="J169" s="24"/>
      <c r="K169" s="24"/>
      <c r="L169" s="24" t="s">
        <v>26</v>
      </c>
      <c r="M169" s="24"/>
      <c r="N169" s="24"/>
      <c r="O169" s="26">
        <f>GET_OK_GROUPS_COUNT(tbStoryEnemy[[#This Row],[Camp]],tbStoryEnemy[[#This Row],[Difficulty]],tbStoryEnemy[[#This Row],[IsBoss]],tbStoryEnemy[[#This Row],[Hero1]:[Soldier3]])</f>
        <v>9</v>
      </c>
      <c r="P169" s="24">
        <v>1</v>
      </c>
      <c r="Q169" s="25" t="s">
        <v>912</v>
      </c>
      <c r="R169" s="24"/>
      <c r="S169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170" spans="2:19">
      <c r="B170" s="24" t="s">
        <v>690</v>
      </c>
      <c r="C170" s="34" t="s">
        <v>1289</v>
      </c>
      <c r="D170" s="24">
        <v>2</v>
      </c>
      <c r="E170" s="24">
        <v>0</v>
      </c>
      <c r="F170" s="24" t="s">
        <v>151</v>
      </c>
      <c r="G170" s="24" t="s">
        <v>1169</v>
      </c>
      <c r="H170" s="24" t="b">
        <v>1</v>
      </c>
      <c r="I170" s="24" t="s">
        <v>426</v>
      </c>
      <c r="J170" s="24" t="s">
        <v>381</v>
      </c>
      <c r="K170" s="24"/>
      <c r="L170" s="24"/>
      <c r="M170" s="24"/>
      <c r="N170" s="24"/>
      <c r="O170" s="26">
        <f>GET_OK_GROUPS_COUNT(tbStoryEnemy[[#This Row],[Camp]],tbStoryEnemy[[#This Row],[Difficulty]],tbStoryEnemy[[#This Row],[IsBoss]],tbStoryEnemy[[#This Row],[Hero1]:[Soldier3]])</f>
        <v>1</v>
      </c>
      <c r="P170" s="24">
        <v>1</v>
      </c>
      <c r="Q170" s="25" t="s">
        <v>426</v>
      </c>
      <c r="R170" s="24"/>
      <c r="S170" s="26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171" spans="2:19">
      <c r="B171" s="24" t="s">
        <v>691</v>
      </c>
      <c r="C171" s="34" t="s">
        <v>1289</v>
      </c>
      <c r="D171" s="24">
        <v>1</v>
      </c>
      <c r="E171" s="24">
        <v>0</v>
      </c>
      <c r="F171" s="24" t="s">
        <v>151</v>
      </c>
      <c r="G171" s="24" t="s">
        <v>1338</v>
      </c>
      <c r="H171" s="24"/>
      <c r="I171" s="24"/>
      <c r="J171" s="24"/>
      <c r="K171" s="24"/>
      <c r="L171" s="24" t="s">
        <v>448</v>
      </c>
      <c r="M171" s="24"/>
      <c r="N171" s="24"/>
      <c r="O171" s="26">
        <f>GET_OK_GROUPS_COUNT(tbStoryEnemy[[#This Row],[Camp]],tbStoryEnemy[[#This Row],[Difficulty]],tbStoryEnemy[[#This Row],[IsBoss]],tbStoryEnemy[[#This Row],[Hero1]:[Soldier3]])</f>
        <v>3</v>
      </c>
      <c r="P171" s="24">
        <v>1</v>
      </c>
      <c r="Q171" s="25" t="s">
        <v>912</v>
      </c>
      <c r="R171" s="24"/>
      <c r="S171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172" spans="2:19">
      <c r="B172" s="24" t="s">
        <v>691</v>
      </c>
      <c r="C172" s="34" t="s">
        <v>1289</v>
      </c>
      <c r="D172" s="24">
        <v>2</v>
      </c>
      <c r="E172" s="24">
        <v>0</v>
      </c>
      <c r="F172" s="24" t="s">
        <v>151</v>
      </c>
      <c r="G172" s="24" t="s">
        <v>1169</v>
      </c>
      <c r="H172" s="24"/>
      <c r="I172" s="24" t="s">
        <v>384</v>
      </c>
      <c r="J172" s="24" t="s">
        <v>384</v>
      </c>
      <c r="K172" s="24"/>
      <c r="L172" s="24"/>
      <c r="M172" s="24"/>
      <c r="N172" s="24"/>
      <c r="O172" s="26">
        <f>GET_OK_GROUPS_COUNT(tbStoryEnemy[[#This Row],[Camp]],tbStoryEnemy[[#This Row],[Difficulty]],tbStoryEnemy[[#This Row],[IsBoss]],tbStoryEnemy[[#This Row],[Hero1]:[Soldier3]])</f>
        <v>1</v>
      </c>
      <c r="P172" s="24">
        <v>1</v>
      </c>
      <c r="Q172" s="25" t="s">
        <v>912</v>
      </c>
      <c r="R172" s="24"/>
      <c r="S172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173" spans="2:19">
      <c r="B173" s="24" t="s">
        <v>692</v>
      </c>
      <c r="C173" s="34" t="s">
        <v>1289</v>
      </c>
      <c r="D173" s="24">
        <v>1</v>
      </c>
      <c r="E173" s="24">
        <v>0</v>
      </c>
      <c r="F173" s="24" t="s">
        <v>151</v>
      </c>
      <c r="G173" s="24" t="s">
        <v>1169</v>
      </c>
      <c r="H173" s="24"/>
      <c r="I173" s="24" t="s">
        <v>380</v>
      </c>
      <c r="J173" s="24"/>
      <c r="K173" s="24"/>
      <c r="L173" s="24" t="s">
        <v>26</v>
      </c>
      <c r="M173" s="24"/>
      <c r="N173" s="24"/>
      <c r="O173" s="26">
        <f>GET_OK_GROUPS_COUNT(tbStoryEnemy[[#This Row],[Camp]],tbStoryEnemy[[#This Row],[Difficulty]],tbStoryEnemy[[#This Row],[IsBoss]],tbStoryEnemy[[#This Row],[Hero1]:[Soldier3]])</f>
        <v>1</v>
      </c>
      <c r="P173" s="24">
        <v>1</v>
      </c>
      <c r="Q173" s="25" t="s">
        <v>912</v>
      </c>
      <c r="R173" s="24"/>
      <c r="S173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174" spans="2:19">
      <c r="B174" s="24" t="s">
        <v>692</v>
      </c>
      <c r="C174" s="34" t="s">
        <v>1289</v>
      </c>
      <c r="D174" s="24">
        <v>2</v>
      </c>
      <c r="E174" s="24">
        <v>0</v>
      </c>
      <c r="F174" s="24" t="s">
        <v>151</v>
      </c>
      <c r="G174" s="24" t="s">
        <v>1169</v>
      </c>
      <c r="H174" s="24"/>
      <c r="I174" s="24" t="s">
        <v>380</v>
      </c>
      <c r="J174" s="24" t="s">
        <v>385</v>
      </c>
      <c r="K174" s="24"/>
      <c r="L174" s="24"/>
      <c r="M174" s="24"/>
      <c r="N174" s="24"/>
      <c r="O174" s="26">
        <f>GET_OK_GROUPS_COUNT(tbStoryEnemy[[#This Row],[Camp]],tbStoryEnemy[[#This Row],[Difficulty]],tbStoryEnemy[[#This Row],[IsBoss]],tbStoryEnemy[[#This Row],[Hero1]:[Soldier3]])</f>
        <v>1</v>
      </c>
      <c r="P174" s="24">
        <v>1</v>
      </c>
      <c r="Q174" s="25" t="s">
        <v>912</v>
      </c>
      <c r="R174" s="24"/>
      <c r="S174" s="26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175" spans="2:19">
      <c r="B175" s="24" t="s">
        <v>693</v>
      </c>
      <c r="C175" s="34" t="s">
        <v>1289</v>
      </c>
      <c r="D175" s="24">
        <v>1</v>
      </c>
      <c r="E175" s="24">
        <v>0</v>
      </c>
      <c r="F175" s="24" t="s">
        <v>151</v>
      </c>
      <c r="G175" s="24" t="s">
        <v>1169</v>
      </c>
      <c r="H175" s="24"/>
      <c r="I175" s="24"/>
      <c r="J175" s="24"/>
      <c r="K175" s="24"/>
      <c r="L175" s="24" t="s">
        <v>25</v>
      </c>
      <c r="M175" s="24" t="s">
        <v>26</v>
      </c>
      <c r="N175" s="24"/>
      <c r="O175" s="26">
        <f>GET_OK_GROUPS_COUNT(tbStoryEnemy[[#This Row],[Camp]],tbStoryEnemy[[#This Row],[Difficulty]],tbStoryEnemy[[#This Row],[IsBoss]],tbStoryEnemy[[#This Row],[Hero1]:[Soldier3]])</f>
        <v>5</v>
      </c>
      <c r="P175" s="24">
        <v>1</v>
      </c>
      <c r="Q175" s="25" t="s">
        <v>912</v>
      </c>
      <c r="R175" s="24"/>
      <c r="S175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176" spans="2:19">
      <c r="B176" s="24" t="s">
        <v>693</v>
      </c>
      <c r="C176" s="34" t="s">
        <v>1289</v>
      </c>
      <c r="D176" s="24">
        <v>2</v>
      </c>
      <c r="E176" s="24">
        <v>0</v>
      </c>
      <c r="F176" s="24" t="s">
        <v>151</v>
      </c>
      <c r="G176" s="24" t="s">
        <v>1126</v>
      </c>
      <c r="H176" s="24" t="b">
        <v>1</v>
      </c>
      <c r="I176" s="24" t="s">
        <v>24</v>
      </c>
      <c r="J176" s="24" t="s">
        <v>384</v>
      </c>
      <c r="K176" s="24"/>
      <c r="L176" s="24"/>
      <c r="M176" s="24"/>
      <c r="N176" s="24"/>
      <c r="O176" s="26">
        <f>GET_OK_GROUPS_COUNT(tbStoryEnemy[[#This Row],[Camp]],tbStoryEnemy[[#This Row],[Difficulty]],tbStoryEnemy[[#This Row],[IsBoss]],tbStoryEnemy[[#This Row],[Hero1]:[Soldier3]])</f>
        <v>1</v>
      </c>
      <c r="P176" s="24">
        <v>1</v>
      </c>
      <c r="Q176" s="25" t="s">
        <v>24</v>
      </c>
      <c r="R176" s="24"/>
      <c r="S176" s="26" t="str">
        <f>GET_OK_GROUP(tbStoryEnemy[[#This Row],[Camp]],tbStoryEnemy[[#This Row],[Difficulty]],tbStoryEnemy[[#This Row],[IsBoss]],tbStoryEnemy[[#This Row],[Hero1]:[Soldier3]],tbStoryEnemy[[#This Row],[GroupID]])</f>
        <v>三国-超难-[B]铁英+法英</v>
      </c>
    </row>
    <row r="177" spans="2:19">
      <c r="B177" s="24" t="s">
        <v>694</v>
      </c>
      <c r="C177" s="34" t="s">
        <v>1289</v>
      </c>
      <c r="D177" s="24">
        <v>1</v>
      </c>
      <c r="E177" s="24">
        <v>0</v>
      </c>
      <c r="F177" s="24" t="s">
        <v>151</v>
      </c>
      <c r="G177" s="24" t="s">
        <v>1338</v>
      </c>
      <c r="H177" s="24"/>
      <c r="I177" s="24"/>
      <c r="J177" s="24"/>
      <c r="K177" s="24"/>
      <c r="L177" s="24" t="s">
        <v>25</v>
      </c>
      <c r="M177" s="24"/>
      <c r="N177" s="24"/>
      <c r="O177" s="26">
        <f>GET_OK_GROUPS_COUNT(tbStoryEnemy[[#This Row],[Camp]],tbStoryEnemy[[#This Row],[Difficulty]],tbStoryEnemy[[#This Row],[IsBoss]],tbStoryEnemy[[#This Row],[Hero1]:[Soldier3]])</f>
        <v>5</v>
      </c>
      <c r="P177" s="24">
        <v>1</v>
      </c>
      <c r="Q177" s="25" t="s">
        <v>912</v>
      </c>
      <c r="R177" s="24"/>
      <c r="S177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178" spans="2:19">
      <c r="B178" s="24" t="s">
        <v>694</v>
      </c>
      <c r="C178" s="34" t="s">
        <v>1289</v>
      </c>
      <c r="D178" s="24">
        <v>2</v>
      </c>
      <c r="E178" s="24">
        <v>0</v>
      </c>
      <c r="F178" s="24" t="s">
        <v>151</v>
      </c>
      <c r="G178" s="24" t="s">
        <v>1169</v>
      </c>
      <c r="H178" s="24"/>
      <c r="I178" s="24" t="s">
        <v>382</v>
      </c>
      <c r="J178" s="24" t="s">
        <v>382</v>
      </c>
      <c r="K178" s="24"/>
      <c r="L178" s="24"/>
      <c r="M178" s="24"/>
      <c r="N178" s="24"/>
      <c r="O178" s="26">
        <f>GET_OK_GROUPS_COUNT(tbStoryEnemy[[#This Row],[Camp]],tbStoryEnemy[[#This Row],[Difficulty]],tbStoryEnemy[[#This Row],[IsBoss]],tbStoryEnemy[[#This Row],[Hero1]:[Soldier3]])</f>
        <v>1</v>
      </c>
      <c r="P178" s="24">
        <v>1</v>
      </c>
      <c r="Q178" s="25" t="s">
        <v>912</v>
      </c>
      <c r="R178" s="24"/>
      <c r="S178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179" spans="2:19">
      <c r="B179" s="24" t="s">
        <v>695</v>
      </c>
      <c r="C179" s="34" t="s">
        <v>1289</v>
      </c>
      <c r="D179" s="24">
        <v>1</v>
      </c>
      <c r="E179" s="24">
        <v>0</v>
      </c>
      <c r="F179" s="24" t="s">
        <v>151</v>
      </c>
      <c r="G179" s="24" t="s">
        <v>1169</v>
      </c>
      <c r="H179" s="24"/>
      <c r="I179" s="24"/>
      <c r="J179" s="24"/>
      <c r="K179" s="24"/>
      <c r="L179" s="24" t="s">
        <v>25</v>
      </c>
      <c r="M179" s="24" t="s">
        <v>447</v>
      </c>
      <c r="N179" s="24"/>
      <c r="O179" s="26">
        <f>GET_OK_GROUPS_COUNT(tbStoryEnemy[[#This Row],[Camp]],tbStoryEnemy[[#This Row],[Difficulty]],tbStoryEnemy[[#This Row],[IsBoss]],tbStoryEnemy[[#This Row],[Hero1]:[Soldier3]])</f>
        <v>5</v>
      </c>
      <c r="P179" s="24">
        <v>1</v>
      </c>
      <c r="Q179" s="25" t="s">
        <v>912</v>
      </c>
      <c r="R179" s="24"/>
      <c r="S179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180" spans="2:19">
      <c r="B180" s="24" t="s">
        <v>695</v>
      </c>
      <c r="C180" s="34" t="s">
        <v>1289</v>
      </c>
      <c r="D180" s="24">
        <v>2</v>
      </c>
      <c r="E180" s="24">
        <v>0</v>
      </c>
      <c r="F180" s="24" t="s">
        <v>151</v>
      </c>
      <c r="G180" s="24" t="s">
        <v>1169</v>
      </c>
      <c r="H180" s="24"/>
      <c r="I180" s="24" t="s">
        <v>385</v>
      </c>
      <c r="J180" s="24"/>
      <c r="K180" s="24"/>
      <c r="L180" s="24" t="s">
        <v>49</v>
      </c>
      <c r="M180" s="24"/>
      <c r="N180" s="24"/>
      <c r="O180" s="26">
        <f>GET_OK_GROUPS_COUNT(tbStoryEnemy[[#This Row],[Camp]],tbStoryEnemy[[#This Row],[Difficulty]],tbStoryEnemy[[#This Row],[IsBoss]],tbStoryEnemy[[#This Row],[Hero1]:[Soldier3]])</f>
        <v>1</v>
      </c>
      <c r="P180" s="24">
        <v>1</v>
      </c>
      <c r="Q180" s="25" t="s">
        <v>912</v>
      </c>
      <c r="R180" s="24"/>
      <c r="S180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181" spans="2:19">
      <c r="B181" s="24" t="s">
        <v>696</v>
      </c>
      <c r="C181" s="34" t="s">
        <v>1289</v>
      </c>
      <c r="D181" s="24">
        <v>1</v>
      </c>
      <c r="E181" s="24">
        <v>0</v>
      </c>
      <c r="F181" s="24" t="s">
        <v>151</v>
      </c>
      <c r="G181" s="24" t="s">
        <v>1169</v>
      </c>
      <c r="H181" s="24"/>
      <c r="I181" s="24" t="s">
        <v>382</v>
      </c>
      <c r="J181" s="24"/>
      <c r="K181" s="24"/>
      <c r="L181" s="24" t="s">
        <v>26</v>
      </c>
      <c r="M181" s="24"/>
      <c r="N181" s="24"/>
      <c r="O181" s="26">
        <f>GET_OK_GROUPS_COUNT(tbStoryEnemy[[#This Row],[Camp]],tbStoryEnemy[[#This Row],[Difficulty]],tbStoryEnemy[[#This Row],[IsBoss]],tbStoryEnemy[[#This Row],[Hero1]:[Soldier3]])</f>
        <v>1</v>
      </c>
      <c r="P181" s="24">
        <v>1</v>
      </c>
      <c r="Q181" s="25" t="s">
        <v>912</v>
      </c>
      <c r="R181" s="24"/>
      <c r="S181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82" spans="2:19">
      <c r="B182" s="24" t="s">
        <v>696</v>
      </c>
      <c r="C182" s="34" t="s">
        <v>1289</v>
      </c>
      <c r="D182" s="24">
        <v>2</v>
      </c>
      <c r="E182" s="24">
        <v>0</v>
      </c>
      <c r="F182" s="24" t="s">
        <v>151</v>
      </c>
      <c r="G182" s="24" t="s">
        <v>1126</v>
      </c>
      <c r="H182" s="24" t="b">
        <v>1</v>
      </c>
      <c r="I182" s="24" t="s">
        <v>333</v>
      </c>
      <c r="J182" s="24" t="s">
        <v>382</v>
      </c>
      <c r="K182" s="24"/>
      <c r="L182" s="24"/>
      <c r="M182" s="24"/>
      <c r="N182" s="24"/>
      <c r="O182" s="26">
        <f>GET_OK_GROUPS_COUNT(tbStoryEnemy[[#This Row],[Camp]],tbStoryEnemy[[#This Row],[Difficulty]],tbStoryEnemy[[#This Row],[IsBoss]],tbStoryEnemy[[#This Row],[Hero1]:[Soldier3]])</f>
        <v>1</v>
      </c>
      <c r="P182" s="24">
        <v>1</v>
      </c>
      <c r="Q182" s="25" t="s">
        <v>333</v>
      </c>
      <c r="R182" s="24"/>
      <c r="S182" s="26" t="str">
        <f>GET_OK_GROUP(tbStoryEnemy[[#This Row],[Camp]],tbStoryEnemy[[#This Row],[Difficulty]],tbStoryEnemy[[#This Row],[IsBoss]],tbStoryEnemy[[#This Row],[Hero1]:[Soldier3]],tbStoryEnemy[[#This Row],[GroupID]])</f>
        <v>三国-超难-[B]铁英+强英</v>
      </c>
    </row>
    <row r="183" spans="2:19">
      <c r="B183" s="24" t="s">
        <v>697</v>
      </c>
      <c r="C183" s="34" t="s">
        <v>1289</v>
      </c>
      <c r="D183" s="24">
        <v>1</v>
      </c>
      <c r="E183" s="24">
        <v>0</v>
      </c>
      <c r="F183" s="24" t="s">
        <v>151</v>
      </c>
      <c r="G183" s="24" t="s">
        <v>1169</v>
      </c>
      <c r="H183" s="24"/>
      <c r="I183" s="24"/>
      <c r="J183" s="24"/>
      <c r="K183" s="24"/>
      <c r="L183" s="24" t="s">
        <v>26</v>
      </c>
      <c r="M183" s="24"/>
      <c r="N183" s="24"/>
      <c r="O183" s="26">
        <f>GET_OK_GROUPS_COUNT(tbStoryEnemy[[#This Row],[Camp]],tbStoryEnemy[[#This Row],[Difficulty]],tbStoryEnemy[[#This Row],[IsBoss]],tbStoryEnemy[[#This Row],[Hero1]:[Soldier3]])</f>
        <v>9</v>
      </c>
      <c r="P183" s="24">
        <v>2</v>
      </c>
      <c r="Q183" s="25" t="s">
        <v>912</v>
      </c>
      <c r="R183" s="24"/>
      <c r="S183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184" spans="2:19">
      <c r="B184" s="24" t="s">
        <v>697</v>
      </c>
      <c r="C184" s="34" t="s">
        <v>1289</v>
      </c>
      <c r="D184" s="24">
        <v>2</v>
      </c>
      <c r="E184" s="24">
        <v>0</v>
      </c>
      <c r="F184" s="24" t="s">
        <v>151</v>
      </c>
      <c r="G184" s="24" t="s">
        <v>1169</v>
      </c>
      <c r="H184" s="24"/>
      <c r="I184" s="24" t="s">
        <v>380</v>
      </c>
      <c r="J184" s="24" t="s">
        <v>383</v>
      </c>
      <c r="K184" s="24"/>
      <c r="L184" s="24"/>
      <c r="M184" s="24"/>
      <c r="N184" s="24"/>
      <c r="O184" s="26">
        <f>GET_OK_GROUPS_COUNT(tbStoryEnemy[[#This Row],[Camp]],tbStoryEnemy[[#This Row],[Difficulty]],tbStoryEnemy[[#This Row],[IsBoss]],tbStoryEnemy[[#This Row],[Hero1]:[Soldier3]])</f>
        <v>1</v>
      </c>
      <c r="P184" s="24">
        <v>1</v>
      </c>
      <c r="Q184" s="25" t="s">
        <v>912</v>
      </c>
      <c r="R184" s="24"/>
      <c r="S184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185" spans="2:19">
      <c r="B185" s="24" t="s">
        <v>698</v>
      </c>
      <c r="C185" s="34" t="s">
        <v>1289</v>
      </c>
      <c r="D185" s="24">
        <v>1</v>
      </c>
      <c r="E185" s="24">
        <v>0</v>
      </c>
      <c r="F185" s="24" t="s">
        <v>151</v>
      </c>
      <c r="G185" s="24" t="s">
        <v>1169</v>
      </c>
      <c r="H185" s="24"/>
      <c r="I185" s="24"/>
      <c r="J185" s="24"/>
      <c r="K185" s="24"/>
      <c r="L185" s="24" t="s">
        <v>34</v>
      </c>
      <c r="M185" s="24" t="s">
        <v>447</v>
      </c>
      <c r="N185" s="24"/>
      <c r="O185" s="26">
        <f>GET_OK_GROUPS_COUNT(tbStoryEnemy[[#This Row],[Camp]],tbStoryEnemy[[#This Row],[Difficulty]],tbStoryEnemy[[#This Row],[IsBoss]],tbStoryEnemy[[#This Row],[Hero1]:[Soldier3]])</f>
        <v>5</v>
      </c>
      <c r="P185" s="24">
        <v>1</v>
      </c>
      <c r="Q185" s="25" t="s">
        <v>912</v>
      </c>
      <c r="R185" s="24"/>
      <c r="S185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186" spans="2:19">
      <c r="B186" s="24" t="s">
        <v>698</v>
      </c>
      <c r="C186" s="34" t="s">
        <v>1289</v>
      </c>
      <c r="D186" s="24">
        <v>2</v>
      </c>
      <c r="E186" s="24">
        <v>0</v>
      </c>
      <c r="F186" s="24" t="s">
        <v>151</v>
      </c>
      <c r="G186" s="24" t="s">
        <v>1126</v>
      </c>
      <c r="H186" s="24"/>
      <c r="I186" s="24" t="s">
        <v>382</v>
      </c>
      <c r="J186" s="24" t="s">
        <v>384</v>
      </c>
      <c r="K186" s="24" t="s">
        <v>384</v>
      </c>
      <c r="L186" s="24"/>
      <c r="M186" s="24"/>
      <c r="N186" s="24"/>
      <c r="O186" s="26">
        <f>GET_OK_GROUPS_COUNT(tbStoryEnemy[[#This Row],[Camp]],tbStoryEnemy[[#This Row],[Difficulty]],tbStoryEnemy[[#This Row],[IsBoss]],tbStoryEnemy[[#This Row],[Hero1]:[Soldier3]])</f>
        <v>1</v>
      </c>
      <c r="P186" s="24">
        <v>1</v>
      </c>
      <c r="Q186" s="25" t="s">
        <v>912</v>
      </c>
      <c r="R186" s="24"/>
      <c r="S186" s="26" t="str">
        <f>GET_OK_GROUP(tbStoryEnemy[[#This Row],[Camp]],tbStoryEnemy[[#This Row],[Difficulty]],tbStoryEnemy[[#This Row],[IsBoss]],tbStoryEnemy[[#This Row],[Hero1]:[Soldier3]],tbStoryEnemy[[#This Row],[GroupID]])</f>
        <v>三国-超难-铁英+法英+法英</v>
      </c>
    </row>
    <row r="187" spans="2:19">
      <c r="B187" s="24" t="s">
        <v>699</v>
      </c>
      <c r="C187" s="34" t="s">
        <v>1289</v>
      </c>
      <c r="D187" s="24">
        <v>1</v>
      </c>
      <c r="E187" s="24">
        <v>0</v>
      </c>
      <c r="F187" s="24" t="s">
        <v>151</v>
      </c>
      <c r="G187" s="24" t="s">
        <v>1126</v>
      </c>
      <c r="H187" s="24"/>
      <c r="I187" s="34" t="s">
        <v>1177</v>
      </c>
      <c r="J187" s="34" t="s">
        <v>1167</v>
      </c>
      <c r="K187" s="24"/>
      <c r="L187" s="24"/>
      <c r="M187" s="24"/>
      <c r="N187" s="24"/>
      <c r="O187" s="26">
        <f>GET_OK_GROUPS_COUNT(tbStoryEnemy[[#This Row],[Camp]],tbStoryEnemy[[#This Row],[Difficulty]],tbStoryEnemy[[#This Row],[IsBoss]],tbStoryEnemy[[#This Row],[Hero1]:[Soldier3]])</f>
        <v>1</v>
      </c>
      <c r="P187" s="24">
        <v>1</v>
      </c>
      <c r="Q187" s="25" t="s">
        <v>912</v>
      </c>
      <c r="R187" s="24"/>
      <c r="S187" s="26" t="str">
        <f>GET_OK_GROUP(tbStoryEnemy[[#This Row],[Camp]],tbStoryEnemy[[#This Row],[Difficulty]],tbStoryEnemy[[#This Row],[IsBoss]],tbStoryEnemy[[#This Row],[Hero1]:[Soldier3]],tbStoryEnemy[[#This Row],[GroupID]])</f>
        <v>三国-超难-盾英+强英</v>
      </c>
    </row>
    <row r="188" spans="2:19">
      <c r="B188" s="24" t="s">
        <v>699</v>
      </c>
      <c r="C188" s="34" t="s">
        <v>1289</v>
      </c>
      <c r="D188" s="24">
        <v>2</v>
      </c>
      <c r="E188" s="24">
        <v>0</v>
      </c>
      <c r="F188" s="24" t="s">
        <v>151</v>
      </c>
      <c r="G188" s="24" t="s">
        <v>1126</v>
      </c>
      <c r="H188" s="24" t="b">
        <v>1</v>
      </c>
      <c r="I188" s="24" t="s">
        <v>328</v>
      </c>
      <c r="J188" s="24" t="s">
        <v>381</v>
      </c>
      <c r="K188" s="24" t="s">
        <v>384</v>
      </c>
      <c r="L188" s="24"/>
      <c r="M188" s="24"/>
      <c r="N188" s="24"/>
      <c r="O188" s="26">
        <f>GET_OK_GROUPS_COUNT(tbStoryEnemy[[#This Row],[Camp]],tbStoryEnemy[[#This Row],[Difficulty]],tbStoryEnemy[[#This Row],[IsBoss]],tbStoryEnemy[[#This Row],[Hero1]:[Soldier3]])</f>
        <v>1</v>
      </c>
      <c r="P188" s="24">
        <v>1</v>
      </c>
      <c r="Q188" s="25" t="s">
        <v>328</v>
      </c>
      <c r="R188" s="24"/>
      <c r="S188" s="26" t="str">
        <f>GET_OK_GROUP(tbStoryEnemy[[#This Row],[Camp]],tbStoryEnemy[[#This Row],[Difficulty]],tbStoryEnemy[[#This Row],[IsBoss]],tbStoryEnemy[[#This Row],[Hero1]:[Soldier3]],tbStoryEnemy[[#This Row],[GroupID]])</f>
        <v>三国-超难-[B]盾英+强英+法英</v>
      </c>
    </row>
    <row r="189" spans="2:19">
      <c r="B189" s="24" t="s">
        <v>700</v>
      </c>
      <c r="C189" s="34" t="s">
        <v>1289</v>
      </c>
      <c r="D189" s="24">
        <v>1</v>
      </c>
      <c r="E189" s="24">
        <v>0</v>
      </c>
      <c r="F189" s="24" t="s">
        <v>151</v>
      </c>
      <c r="G189" s="24" t="s">
        <v>1338</v>
      </c>
      <c r="H189" s="24"/>
      <c r="I189" s="24"/>
      <c r="J189" s="24"/>
      <c r="K189" s="24"/>
      <c r="L189" s="24" t="s">
        <v>25</v>
      </c>
      <c r="M189" s="24" t="s">
        <v>28</v>
      </c>
      <c r="N189" s="24"/>
      <c r="O189" s="26">
        <f>GET_OK_GROUPS_COUNT(tbStoryEnemy[[#This Row],[Camp]],tbStoryEnemy[[#This Row],[Difficulty]],tbStoryEnemy[[#This Row],[IsBoss]],tbStoryEnemy[[#This Row],[Hero1]:[Soldier3]])</f>
        <v>1</v>
      </c>
      <c r="P189" s="24">
        <v>1</v>
      </c>
      <c r="Q189" s="25" t="s">
        <v>912</v>
      </c>
      <c r="R189" s="24"/>
      <c r="S189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190" spans="2:19">
      <c r="B190" s="24" t="s">
        <v>700</v>
      </c>
      <c r="C190" s="34" t="s">
        <v>1289</v>
      </c>
      <c r="D190" s="24">
        <v>2</v>
      </c>
      <c r="E190" s="24">
        <v>0</v>
      </c>
      <c r="F190" s="24" t="s">
        <v>151</v>
      </c>
      <c r="G190" s="24" t="s">
        <v>1169</v>
      </c>
      <c r="H190" s="24"/>
      <c r="I190" s="24" t="s">
        <v>382</v>
      </c>
      <c r="J190" s="24"/>
      <c r="K190" s="24"/>
      <c r="L190" s="24" t="s">
        <v>448</v>
      </c>
      <c r="M190" s="24"/>
      <c r="N190" s="24"/>
      <c r="O190" s="26">
        <f>GET_OK_GROUPS_COUNT(tbStoryEnemy[[#This Row],[Camp]],tbStoryEnemy[[#This Row],[Difficulty]],tbStoryEnemy[[#This Row],[IsBoss]],tbStoryEnemy[[#This Row],[Hero1]:[Soldier3]])</f>
        <v>1</v>
      </c>
      <c r="P190" s="24">
        <v>1</v>
      </c>
      <c r="Q190" s="25" t="s">
        <v>912</v>
      </c>
      <c r="R190" s="24"/>
      <c r="S190" s="26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191" spans="2:19">
      <c r="B191" s="24" t="s">
        <v>701</v>
      </c>
      <c r="C191" s="34" t="s">
        <v>1289</v>
      </c>
      <c r="D191" s="24">
        <v>1</v>
      </c>
      <c r="E191" s="24">
        <v>0</v>
      </c>
      <c r="F191" s="24" t="s">
        <v>151</v>
      </c>
      <c r="G191" s="24" t="s">
        <v>1338</v>
      </c>
      <c r="H191" s="24"/>
      <c r="I191" s="24"/>
      <c r="J191" s="24"/>
      <c r="K191" s="24"/>
      <c r="L191" s="24" t="s">
        <v>25</v>
      </c>
      <c r="M191" s="24"/>
      <c r="N191" s="24"/>
      <c r="O191" s="26">
        <f>GET_OK_GROUPS_COUNT(tbStoryEnemy[[#This Row],[Camp]],tbStoryEnemy[[#This Row],[Difficulty]],tbStoryEnemy[[#This Row],[IsBoss]],tbStoryEnemy[[#This Row],[Hero1]:[Soldier3]])</f>
        <v>5</v>
      </c>
      <c r="P191" s="24">
        <v>1</v>
      </c>
      <c r="Q191" s="25" t="s">
        <v>912</v>
      </c>
      <c r="R191" s="24"/>
      <c r="S191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192" spans="2:19">
      <c r="B192" s="24" t="s">
        <v>701</v>
      </c>
      <c r="C192" s="34" t="s">
        <v>1289</v>
      </c>
      <c r="D192" s="24">
        <v>2</v>
      </c>
      <c r="E192" s="24">
        <v>0</v>
      </c>
      <c r="F192" s="24" t="s">
        <v>151</v>
      </c>
      <c r="G192" s="24" t="s">
        <v>1169</v>
      </c>
      <c r="H192" s="24"/>
      <c r="I192" s="24" t="s">
        <v>380</v>
      </c>
      <c r="J192" s="24" t="s">
        <v>383</v>
      </c>
      <c r="K192" s="24"/>
      <c r="L192" s="24"/>
      <c r="M192" s="24"/>
      <c r="N192" s="24"/>
      <c r="O192" s="26">
        <f>GET_OK_GROUPS_COUNT(tbStoryEnemy[[#This Row],[Camp]],tbStoryEnemy[[#This Row],[Difficulty]],tbStoryEnemy[[#This Row],[IsBoss]],tbStoryEnemy[[#This Row],[Hero1]:[Soldier3]])</f>
        <v>1</v>
      </c>
      <c r="P192" s="24">
        <v>1</v>
      </c>
      <c r="Q192" s="25" t="s">
        <v>912</v>
      </c>
      <c r="R192" s="24"/>
      <c r="S192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193" spans="2:19">
      <c r="B193" s="24" t="s">
        <v>702</v>
      </c>
      <c r="C193" s="34" t="s">
        <v>1289</v>
      </c>
      <c r="D193" s="24">
        <v>1</v>
      </c>
      <c r="E193" s="24">
        <v>0</v>
      </c>
      <c r="F193" s="24" t="s">
        <v>151</v>
      </c>
      <c r="G193" s="24" t="s">
        <v>1169</v>
      </c>
      <c r="H193" s="24"/>
      <c r="I193" s="24"/>
      <c r="J193" s="24"/>
      <c r="K193" s="24"/>
      <c r="L193" s="24" t="s">
        <v>25</v>
      </c>
      <c r="M193" s="24" t="s">
        <v>26</v>
      </c>
      <c r="N193" s="24"/>
      <c r="O193" s="26">
        <f>GET_OK_GROUPS_COUNT(tbStoryEnemy[[#This Row],[Camp]],tbStoryEnemy[[#This Row],[Difficulty]],tbStoryEnemy[[#This Row],[IsBoss]],tbStoryEnemy[[#This Row],[Hero1]:[Soldier3]])</f>
        <v>5</v>
      </c>
      <c r="P193" s="24">
        <v>1</v>
      </c>
      <c r="Q193" s="25" t="s">
        <v>912</v>
      </c>
      <c r="R193" s="24"/>
      <c r="S193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194" spans="2:19">
      <c r="B194" s="24" t="s">
        <v>702</v>
      </c>
      <c r="C194" s="34" t="s">
        <v>1289</v>
      </c>
      <c r="D194" s="24">
        <v>2</v>
      </c>
      <c r="E194" s="24">
        <v>0</v>
      </c>
      <c r="F194" s="24" t="s">
        <v>151</v>
      </c>
      <c r="G194" s="24" t="s">
        <v>1169</v>
      </c>
      <c r="H194" s="24" t="b">
        <v>1</v>
      </c>
      <c r="I194" s="24" t="s">
        <v>389</v>
      </c>
      <c r="J194" s="24" t="s">
        <v>385</v>
      </c>
      <c r="K194" s="24"/>
      <c r="L194" s="24"/>
      <c r="M194" s="24"/>
      <c r="N194" s="24"/>
      <c r="O194" s="26">
        <f>GET_OK_GROUPS_COUNT(tbStoryEnemy[[#This Row],[Camp]],tbStoryEnemy[[#This Row],[Difficulty]],tbStoryEnemy[[#This Row],[IsBoss]],tbStoryEnemy[[#This Row],[Hero1]:[Soldier3]])</f>
        <v>1</v>
      </c>
      <c r="P194" s="24">
        <v>1</v>
      </c>
      <c r="Q194" s="25" t="s">
        <v>389</v>
      </c>
      <c r="R194" s="24"/>
      <c r="S194" s="26" t="str">
        <f>GET_OK_GROUP(tbStoryEnemy[[#This Row],[Camp]],tbStoryEnemy[[#This Row],[Difficulty]],tbStoryEnemy[[#This Row],[IsBoss]],tbStoryEnemy[[#This Row],[Hero1]:[Soldier3]],tbStoryEnemy[[#This Row],[GroupID]])</f>
        <v>三国-困难-[B]盾英+刺英</v>
      </c>
    </row>
    <row r="195" spans="2:19">
      <c r="B195" s="24" t="s">
        <v>703</v>
      </c>
      <c r="C195" s="34" t="s">
        <v>1289</v>
      </c>
      <c r="D195" s="24">
        <v>1</v>
      </c>
      <c r="E195" s="24">
        <v>0</v>
      </c>
      <c r="F195" s="24" t="s">
        <v>151</v>
      </c>
      <c r="G195" s="24" t="s">
        <v>1338</v>
      </c>
      <c r="H195" s="24"/>
      <c r="I195" s="24"/>
      <c r="J195" s="24"/>
      <c r="K195" s="24"/>
      <c r="L195" s="24" t="s">
        <v>34</v>
      </c>
      <c r="M195" s="24" t="s">
        <v>447</v>
      </c>
      <c r="N195" s="24"/>
      <c r="O195" s="26">
        <f>GET_OK_GROUPS_COUNT(tbStoryEnemy[[#This Row],[Camp]],tbStoryEnemy[[#This Row],[Difficulty]],tbStoryEnemy[[#This Row],[IsBoss]],tbStoryEnemy[[#This Row],[Hero1]:[Soldier3]])</f>
        <v>1</v>
      </c>
      <c r="P195" s="24">
        <v>1</v>
      </c>
      <c r="Q195" s="25" t="s">
        <v>912</v>
      </c>
      <c r="R195" s="24"/>
      <c r="S195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96" spans="2:19">
      <c r="B196" s="24" t="s">
        <v>703</v>
      </c>
      <c r="C196" s="34" t="s">
        <v>1289</v>
      </c>
      <c r="D196" s="24">
        <v>2</v>
      </c>
      <c r="E196" s="24">
        <v>0</v>
      </c>
      <c r="F196" s="24" t="s">
        <v>151</v>
      </c>
      <c r="G196" s="24" t="s">
        <v>1169</v>
      </c>
      <c r="H196" s="24"/>
      <c r="I196" s="24" t="s">
        <v>384</v>
      </c>
      <c r="J196" s="24" t="s">
        <v>384</v>
      </c>
      <c r="K196" s="24"/>
      <c r="L196" s="24"/>
      <c r="M196" s="24"/>
      <c r="N196" s="24"/>
      <c r="O196" s="26">
        <f>GET_OK_GROUPS_COUNT(tbStoryEnemy[[#This Row],[Camp]],tbStoryEnemy[[#This Row],[Difficulty]],tbStoryEnemy[[#This Row],[IsBoss]],tbStoryEnemy[[#This Row],[Hero1]:[Soldier3]])</f>
        <v>1</v>
      </c>
      <c r="P196" s="24">
        <v>1</v>
      </c>
      <c r="Q196" s="25" t="s">
        <v>912</v>
      </c>
      <c r="R196" s="24"/>
      <c r="S196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197" spans="2:19">
      <c r="B197" s="24" t="s">
        <v>704</v>
      </c>
      <c r="C197" s="34" t="s">
        <v>1289</v>
      </c>
      <c r="D197" s="24">
        <v>1</v>
      </c>
      <c r="E197" s="24">
        <v>0</v>
      </c>
      <c r="F197" s="24" t="s">
        <v>151</v>
      </c>
      <c r="G197" s="24" t="s">
        <v>1169</v>
      </c>
      <c r="H197" s="24"/>
      <c r="I197" s="24" t="s">
        <v>382</v>
      </c>
      <c r="J197" s="24"/>
      <c r="K197" s="24"/>
      <c r="L197" s="24" t="s">
        <v>26</v>
      </c>
      <c r="M197" s="24"/>
      <c r="N197" s="24"/>
      <c r="O197" s="26">
        <f>GET_OK_GROUPS_COUNT(tbStoryEnemy[[#This Row],[Camp]],tbStoryEnemy[[#This Row],[Difficulty]],tbStoryEnemy[[#This Row],[IsBoss]],tbStoryEnemy[[#This Row],[Hero1]:[Soldier3]])</f>
        <v>1</v>
      </c>
      <c r="P197" s="24">
        <v>1</v>
      </c>
      <c r="Q197" s="25" t="s">
        <v>912</v>
      </c>
      <c r="R197" s="24"/>
      <c r="S197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98" spans="2:19">
      <c r="B198" s="24" t="s">
        <v>704</v>
      </c>
      <c r="C198" s="34" t="s">
        <v>1289</v>
      </c>
      <c r="D198" s="24">
        <v>2</v>
      </c>
      <c r="E198" s="24">
        <v>0</v>
      </c>
      <c r="F198" s="24" t="s">
        <v>151</v>
      </c>
      <c r="G198" s="24" t="s">
        <v>1169</v>
      </c>
      <c r="H198" s="24"/>
      <c r="I198" s="24" t="s">
        <v>380</v>
      </c>
      <c r="J198" s="24" t="s">
        <v>381</v>
      </c>
      <c r="K198" s="24"/>
      <c r="L198" s="24"/>
      <c r="M198" s="24"/>
      <c r="N198" s="24"/>
      <c r="O198" s="26">
        <f>GET_OK_GROUPS_COUNT(tbStoryEnemy[[#This Row],[Camp]],tbStoryEnemy[[#This Row],[Difficulty]],tbStoryEnemy[[#This Row],[IsBoss]],tbStoryEnemy[[#This Row],[Hero1]:[Soldier3]])</f>
        <v>1</v>
      </c>
      <c r="P198" s="24">
        <v>1</v>
      </c>
      <c r="Q198" s="25" t="s">
        <v>912</v>
      </c>
      <c r="R198" s="24"/>
      <c r="S198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199" spans="2:19">
      <c r="B199" s="24" t="s">
        <v>705</v>
      </c>
      <c r="C199" s="34" t="s">
        <v>1289</v>
      </c>
      <c r="D199" s="24">
        <v>1</v>
      </c>
      <c r="E199" s="24">
        <v>0</v>
      </c>
      <c r="F199" s="24" t="s">
        <v>151</v>
      </c>
      <c r="G199" s="24" t="s">
        <v>1169</v>
      </c>
      <c r="H199" s="24"/>
      <c r="I199" s="24"/>
      <c r="J199" s="24"/>
      <c r="K199" s="24"/>
      <c r="L199" s="24" t="s">
        <v>25</v>
      </c>
      <c r="M199" s="24" t="s">
        <v>447</v>
      </c>
      <c r="N199" s="24"/>
      <c r="O199" s="26">
        <f>GET_OK_GROUPS_COUNT(tbStoryEnemy[[#This Row],[Camp]],tbStoryEnemy[[#This Row],[Difficulty]],tbStoryEnemy[[#This Row],[IsBoss]],tbStoryEnemy[[#This Row],[Hero1]:[Soldier3]])</f>
        <v>5</v>
      </c>
      <c r="P199" s="24">
        <v>1</v>
      </c>
      <c r="Q199" s="25" t="s">
        <v>912</v>
      </c>
      <c r="R199" s="24"/>
      <c r="S199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200" spans="2:19">
      <c r="B200" s="24" t="s">
        <v>705</v>
      </c>
      <c r="C200" s="34" t="s">
        <v>1289</v>
      </c>
      <c r="D200" s="24">
        <v>2</v>
      </c>
      <c r="E200" s="24">
        <v>0</v>
      </c>
      <c r="F200" s="24" t="s">
        <v>151</v>
      </c>
      <c r="G200" s="24" t="s">
        <v>1126</v>
      </c>
      <c r="H200" s="24" t="b">
        <v>1</v>
      </c>
      <c r="I200" s="24" t="s">
        <v>24</v>
      </c>
      <c r="J200" s="24" t="s">
        <v>383</v>
      </c>
      <c r="K200" s="24" t="s">
        <v>385</v>
      </c>
      <c r="L200" s="24"/>
      <c r="M200" s="24"/>
      <c r="N200" s="24"/>
      <c r="O200" s="26">
        <f>GET_OK_GROUPS_COUNT(tbStoryEnemy[[#This Row],[Camp]],tbStoryEnemy[[#This Row],[Difficulty]],tbStoryEnemy[[#This Row],[IsBoss]],tbStoryEnemy[[#This Row],[Hero1]:[Soldier3]])</f>
        <v>1</v>
      </c>
      <c r="P200" s="24">
        <v>1</v>
      </c>
      <c r="Q200" s="25" t="s">
        <v>24</v>
      </c>
      <c r="R200" s="24"/>
      <c r="S200" s="26" t="str">
        <f>GET_OK_GROUP(tbStoryEnemy[[#This Row],[Camp]],tbStoryEnemy[[#This Row],[Difficulty]],tbStoryEnemy[[#This Row],[IsBoss]],tbStoryEnemy[[#This Row],[Hero1]:[Soldier3]],tbStoryEnemy[[#This Row],[GroupID]])</f>
        <v>三国-超难-[B]铁英+炼英+刺英</v>
      </c>
    </row>
    <row r="201" spans="2:19">
      <c r="B201" s="24" t="s">
        <v>706</v>
      </c>
      <c r="C201" s="34" t="s">
        <v>1289</v>
      </c>
      <c r="D201" s="24">
        <v>1</v>
      </c>
      <c r="E201" s="24">
        <v>0</v>
      </c>
      <c r="F201" s="24" t="s">
        <v>151</v>
      </c>
      <c r="G201" s="24" t="s">
        <v>1338</v>
      </c>
      <c r="H201" s="24"/>
      <c r="I201" s="24"/>
      <c r="J201" s="24"/>
      <c r="K201" s="24"/>
      <c r="L201" s="24" t="s">
        <v>448</v>
      </c>
      <c r="M201" s="24"/>
      <c r="N201" s="24"/>
      <c r="O201" s="26">
        <f>GET_OK_GROUPS_COUNT(tbStoryEnemy[[#This Row],[Camp]],tbStoryEnemy[[#This Row],[Difficulty]],tbStoryEnemy[[#This Row],[IsBoss]],tbStoryEnemy[[#This Row],[Hero1]:[Soldier3]])</f>
        <v>3</v>
      </c>
      <c r="P201" s="24">
        <v>1</v>
      </c>
      <c r="Q201" s="25" t="s">
        <v>912</v>
      </c>
      <c r="R201" s="24"/>
      <c r="S201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202" spans="2:19">
      <c r="B202" s="24" t="s">
        <v>706</v>
      </c>
      <c r="C202" s="34" t="s">
        <v>1289</v>
      </c>
      <c r="D202" s="24">
        <v>2</v>
      </c>
      <c r="E202" s="24">
        <v>0</v>
      </c>
      <c r="F202" s="24" t="s">
        <v>151</v>
      </c>
      <c r="G202" s="24" t="s">
        <v>1169</v>
      </c>
      <c r="H202" s="24"/>
      <c r="I202" s="24" t="s">
        <v>380</v>
      </c>
      <c r="J202" s="24" t="s">
        <v>385</v>
      </c>
      <c r="K202" s="24"/>
      <c r="L202" s="24"/>
      <c r="M202" s="24"/>
      <c r="N202" s="24"/>
      <c r="O202" s="26">
        <f>GET_OK_GROUPS_COUNT(tbStoryEnemy[[#This Row],[Camp]],tbStoryEnemy[[#This Row],[Difficulty]],tbStoryEnemy[[#This Row],[IsBoss]],tbStoryEnemy[[#This Row],[Hero1]:[Soldier3]])</f>
        <v>1</v>
      </c>
      <c r="P202" s="24">
        <v>1</v>
      </c>
      <c r="Q202" s="25" t="s">
        <v>912</v>
      </c>
      <c r="R202" s="24"/>
      <c r="S202" s="26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203" spans="2:19">
      <c r="B203" s="24" t="s">
        <v>707</v>
      </c>
      <c r="C203" s="34" t="s">
        <v>1289</v>
      </c>
      <c r="D203" s="24">
        <v>1</v>
      </c>
      <c r="E203" s="24">
        <v>0</v>
      </c>
      <c r="F203" s="24" t="s">
        <v>151</v>
      </c>
      <c r="G203" s="24" t="s">
        <v>1338</v>
      </c>
      <c r="H203" s="24"/>
      <c r="I203" s="24"/>
      <c r="J203" s="24"/>
      <c r="K203" s="24"/>
      <c r="L203" s="24" t="s">
        <v>25</v>
      </c>
      <c r="M203" s="24" t="s">
        <v>26</v>
      </c>
      <c r="N203" s="24"/>
      <c r="O203" s="26">
        <f>GET_OK_GROUPS_COUNT(tbStoryEnemy[[#This Row],[Camp]],tbStoryEnemy[[#This Row],[Difficulty]],tbStoryEnemy[[#This Row],[IsBoss]],tbStoryEnemy[[#This Row],[Hero1]:[Soldier3]])</f>
        <v>1</v>
      </c>
      <c r="P203" s="24">
        <v>1</v>
      </c>
      <c r="Q203" s="25" t="s">
        <v>912</v>
      </c>
      <c r="R203" s="24"/>
      <c r="S203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04" spans="2:19">
      <c r="B204" s="24" t="s">
        <v>707</v>
      </c>
      <c r="C204" s="34" t="s">
        <v>1289</v>
      </c>
      <c r="D204" s="24">
        <v>2</v>
      </c>
      <c r="E204" s="24">
        <v>0</v>
      </c>
      <c r="F204" s="24" t="s">
        <v>151</v>
      </c>
      <c r="G204" s="24" t="s">
        <v>1169</v>
      </c>
      <c r="H204" s="24"/>
      <c r="I204" s="24" t="s">
        <v>384</v>
      </c>
      <c r="J204" s="24"/>
      <c r="K204" s="24"/>
      <c r="L204" s="24" t="s">
        <v>49</v>
      </c>
      <c r="M204" s="24"/>
      <c r="N204" s="24"/>
      <c r="O204" s="26">
        <f>GET_OK_GROUPS_COUNT(tbStoryEnemy[[#This Row],[Camp]],tbStoryEnemy[[#This Row],[Difficulty]],tbStoryEnemy[[#This Row],[IsBoss]],tbStoryEnemy[[#This Row],[Hero1]:[Soldier3]])</f>
        <v>1</v>
      </c>
      <c r="P204" s="24">
        <v>1</v>
      </c>
      <c r="Q204" s="25" t="s">
        <v>912</v>
      </c>
      <c r="R204" s="24"/>
      <c r="S204" s="26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205" spans="2:19">
      <c r="B205" s="24" t="s">
        <v>708</v>
      </c>
      <c r="C205" s="34" t="s">
        <v>1289</v>
      </c>
      <c r="D205" s="24">
        <v>1</v>
      </c>
      <c r="E205" s="24">
        <v>0</v>
      </c>
      <c r="F205" s="24" t="s">
        <v>151</v>
      </c>
      <c r="G205" s="24" t="s">
        <v>1169</v>
      </c>
      <c r="H205" s="24"/>
      <c r="I205" s="24"/>
      <c r="J205" s="24"/>
      <c r="K205" s="24"/>
      <c r="L205" s="24" t="s">
        <v>25</v>
      </c>
      <c r="M205" s="24" t="s">
        <v>26</v>
      </c>
      <c r="N205" s="24"/>
      <c r="O205" s="26">
        <f>GET_OK_GROUPS_COUNT(tbStoryEnemy[[#This Row],[Camp]],tbStoryEnemy[[#This Row],[Difficulty]],tbStoryEnemy[[#This Row],[IsBoss]],tbStoryEnemy[[#This Row],[Hero1]:[Soldier3]])</f>
        <v>5</v>
      </c>
      <c r="P205" s="24">
        <v>1</v>
      </c>
      <c r="Q205" s="25" t="s">
        <v>912</v>
      </c>
      <c r="R205" s="24"/>
      <c r="S205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206" spans="2:19">
      <c r="B206" s="24" t="s">
        <v>708</v>
      </c>
      <c r="C206" s="34" t="s">
        <v>1289</v>
      </c>
      <c r="D206" s="24">
        <v>2</v>
      </c>
      <c r="E206" s="24">
        <v>0</v>
      </c>
      <c r="F206" s="24" t="s">
        <v>151</v>
      </c>
      <c r="G206" s="24" t="s">
        <v>1169</v>
      </c>
      <c r="H206" s="24" t="b">
        <v>1</v>
      </c>
      <c r="I206" s="24" t="s">
        <v>416</v>
      </c>
      <c r="J206" s="24" t="s">
        <v>382</v>
      </c>
      <c r="K206" s="24"/>
      <c r="L206" s="24"/>
      <c r="M206" s="24"/>
      <c r="N206" s="24"/>
      <c r="O206" s="26">
        <f>GET_OK_GROUPS_COUNT(tbStoryEnemy[[#This Row],[Camp]],tbStoryEnemy[[#This Row],[Difficulty]],tbStoryEnemy[[#This Row],[IsBoss]],tbStoryEnemy[[#This Row],[Hero1]:[Soldier3]])</f>
        <v>1</v>
      </c>
      <c r="P206" s="24">
        <v>1</v>
      </c>
      <c r="Q206" s="25" t="s">
        <v>416</v>
      </c>
      <c r="R206" s="24"/>
      <c r="S206" s="26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207" spans="2:19">
      <c r="B207" s="24" t="s">
        <v>709</v>
      </c>
      <c r="C207" s="34" t="s">
        <v>1289</v>
      </c>
      <c r="D207" s="24">
        <v>1</v>
      </c>
      <c r="E207" s="24">
        <v>0</v>
      </c>
      <c r="F207" s="24" t="s">
        <v>151</v>
      </c>
      <c r="G207" s="24" t="s">
        <v>1338</v>
      </c>
      <c r="H207" s="24"/>
      <c r="I207" s="24"/>
      <c r="J207" s="24"/>
      <c r="K207" s="24"/>
      <c r="L207" s="24" t="s">
        <v>28</v>
      </c>
      <c r="M207" s="24"/>
      <c r="N207" s="24"/>
      <c r="O207" s="26">
        <f>GET_OK_GROUPS_COUNT(tbStoryEnemy[[#This Row],[Camp]],tbStoryEnemy[[#This Row],[Difficulty]],tbStoryEnemy[[#This Row],[IsBoss]],tbStoryEnemy[[#This Row],[Hero1]:[Soldier3]])</f>
        <v>3</v>
      </c>
      <c r="P207" s="24">
        <v>2</v>
      </c>
      <c r="Q207" s="25" t="s">
        <v>912</v>
      </c>
      <c r="R207" s="24"/>
      <c r="S207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208" spans="2:19">
      <c r="B208" s="24" t="s">
        <v>709</v>
      </c>
      <c r="C208" s="34" t="s">
        <v>1289</v>
      </c>
      <c r="D208" s="24">
        <v>2</v>
      </c>
      <c r="E208" s="24">
        <v>0</v>
      </c>
      <c r="F208" s="24" t="s">
        <v>151</v>
      </c>
      <c r="G208" s="24" t="s">
        <v>1169</v>
      </c>
      <c r="H208" s="24"/>
      <c r="I208" s="24" t="s">
        <v>385</v>
      </c>
      <c r="J208" s="24"/>
      <c r="K208" s="24"/>
      <c r="L208" s="24" t="s">
        <v>25</v>
      </c>
      <c r="M208" s="24"/>
      <c r="N208" s="24"/>
      <c r="O208" s="26">
        <f>GET_OK_GROUPS_COUNT(tbStoryEnemy[[#This Row],[Camp]],tbStoryEnemy[[#This Row],[Difficulty]],tbStoryEnemy[[#This Row],[IsBoss]],tbStoryEnemy[[#This Row],[Hero1]:[Soldier3]])</f>
        <v>1</v>
      </c>
      <c r="P208" s="24">
        <v>1</v>
      </c>
      <c r="Q208" s="25" t="s">
        <v>912</v>
      </c>
      <c r="R208" s="24"/>
      <c r="S208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209" spans="2:19">
      <c r="B209" s="24" t="s">
        <v>710</v>
      </c>
      <c r="C209" s="34" t="s">
        <v>1289</v>
      </c>
      <c r="D209" s="24">
        <v>1</v>
      </c>
      <c r="E209" s="24">
        <v>0</v>
      </c>
      <c r="F209" s="24" t="s">
        <v>151</v>
      </c>
      <c r="G209" s="24" t="s">
        <v>1169</v>
      </c>
      <c r="H209" s="24"/>
      <c r="I209" s="24" t="s">
        <v>380</v>
      </c>
      <c r="J209" s="24"/>
      <c r="K209" s="24"/>
      <c r="L209" s="24" t="s">
        <v>26</v>
      </c>
      <c r="M209" s="24"/>
      <c r="N209" s="24"/>
      <c r="O209" s="26">
        <f>GET_OK_GROUPS_COUNT(tbStoryEnemy[[#This Row],[Camp]],tbStoryEnemy[[#This Row],[Difficulty]],tbStoryEnemy[[#This Row],[IsBoss]],tbStoryEnemy[[#This Row],[Hero1]:[Soldier3]])</f>
        <v>1</v>
      </c>
      <c r="P209" s="24">
        <v>1</v>
      </c>
      <c r="Q209" s="25" t="s">
        <v>912</v>
      </c>
      <c r="R209" s="24"/>
      <c r="S209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10" spans="2:19">
      <c r="B210" s="24" t="s">
        <v>710</v>
      </c>
      <c r="C210" s="34" t="s">
        <v>1289</v>
      </c>
      <c r="D210" s="24">
        <v>2</v>
      </c>
      <c r="E210" s="24">
        <v>0</v>
      </c>
      <c r="F210" s="24" t="s">
        <v>151</v>
      </c>
      <c r="G210" s="24" t="s">
        <v>1169</v>
      </c>
      <c r="H210" s="24"/>
      <c r="I210" s="24" t="s">
        <v>380</v>
      </c>
      <c r="J210" s="24" t="s">
        <v>384</v>
      </c>
      <c r="K210" s="24"/>
      <c r="L210" s="24"/>
      <c r="M210" s="24"/>
      <c r="N210" s="24"/>
      <c r="O210" s="26">
        <f>GET_OK_GROUPS_COUNT(tbStoryEnemy[[#This Row],[Camp]],tbStoryEnemy[[#This Row],[Difficulty]],tbStoryEnemy[[#This Row],[IsBoss]],tbStoryEnemy[[#This Row],[Hero1]:[Soldier3]])</f>
        <v>1</v>
      </c>
      <c r="P210" s="24">
        <v>1</v>
      </c>
      <c r="Q210" s="25" t="s">
        <v>912</v>
      </c>
      <c r="R210" s="24"/>
      <c r="S210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211" spans="2:19">
      <c r="B211" s="24" t="s">
        <v>711</v>
      </c>
      <c r="C211" s="34" t="s">
        <v>1289</v>
      </c>
      <c r="D211" s="24">
        <v>1</v>
      </c>
      <c r="E211" s="24">
        <v>0</v>
      </c>
      <c r="F211" s="24" t="s">
        <v>151</v>
      </c>
      <c r="G211" s="24" t="s">
        <v>1169</v>
      </c>
      <c r="H211" s="24"/>
      <c r="I211" s="24"/>
      <c r="J211" s="24"/>
      <c r="K211" s="24"/>
      <c r="L211" s="24" t="s">
        <v>34</v>
      </c>
      <c r="M211" s="24"/>
      <c r="N211" s="24"/>
      <c r="O211" s="26">
        <f>GET_OK_GROUPS_COUNT(tbStoryEnemy[[#This Row],[Camp]],tbStoryEnemy[[#This Row],[Difficulty]],tbStoryEnemy[[#This Row],[IsBoss]],tbStoryEnemy[[#This Row],[Hero1]:[Soldier3]])</f>
        <v>14</v>
      </c>
      <c r="P211" s="24">
        <v>2</v>
      </c>
      <c r="Q211" s="25" t="s">
        <v>912</v>
      </c>
      <c r="R211" s="24"/>
      <c r="S211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212" spans="2:19">
      <c r="B212" s="24" t="s">
        <v>711</v>
      </c>
      <c r="C212" s="34" t="s">
        <v>1289</v>
      </c>
      <c r="D212" s="24">
        <v>2</v>
      </c>
      <c r="E212" s="24">
        <v>0</v>
      </c>
      <c r="F212" s="24" t="s">
        <v>151</v>
      </c>
      <c r="G212" s="24" t="s">
        <v>1126</v>
      </c>
      <c r="H212" s="24" t="b">
        <v>1</v>
      </c>
      <c r="I212" s="24" t="s">
        <v>344</v>
      </c>
      <c r="J212" s="24" t="s">
        <v>380</v>
      </c>
      <c r="K212" s="24" t="s">
        <v>385</v>
      </c>
      <c r="L212" s="24"/>
      <c r="M212" s="24"/>
      <c r="N212" s="24"/>
      <c r="O212" s="26">
        <f>GET_OK_GROUPS_COUNT(tbStoryEnemy[[#This Row],[Camp]],tbStoryEnemy[[#This Row],[Difficulty]],tbStoryEnemy[[#This Row],[IsBoss]],tbStoryEnemy[[#This Row],[Hero1]:[Soldier3]])</f>
        <v>1</v>
      </c>
      <c r="P212" s="24">
        <v>1</v>
      </c>
      <c r="Q212" s="25" t="s">
        <v>344</v>
      </c>
      <c r="R212" s="24"/>
      <c r="S212" s="26" t="str">
        <f>GET_OK_GROUP(tbStoryEnemy[[#This Row],[Camp]],tbStoryEnemy[[#This Row],[Difficulty]],tbStoryEnemy[[#This Row],[IsBoss]],tbStoryEnemy[[#This Row],[Hero1]:[Soldier3]],tbStoryEnemy[[#This Row],[GroupID]])</f>
        <v>三国-超难-[B]铁英+盾英+刺英</v>
      </c>
    </row>
    <row r="213" spans="2:19">
      <c r="B213" s="24" t="s">
        <v>712</v>
      </c>
      <c r="C213" s="34" t="s">
        <v>1289</v>
      </c>
      <c r="D213" s="24">
        <v>1</v>
      </c>
      <c r="E213" s="24">
        <v>0</v>
      </c>
      <c r="F213" s="24" t="s">
        <v>151</v>
      </c>
      <c r="G213" s="24" t="s">
        <v>1338</v>
      </c>
      <c r="H213" s="24"/>
      <c r="I213" s="24"/>
      <c r="J213" s="24"/>
      <c r="K213" s="24"/>
      <c r="L213" s="24" t="s">
        <v>448</v>
      </c>
      <c r="M213" s="24"/>
      <c r="N213" s="24"/>
      <c r="O213" s="26">
        <f>GET_OK_GROUPS_COUNT(tbStoryEnemy[[#This Row],[Camp]],tbStoryEnemy[[#This Row],[Difficulty]],tbStoryEnemy[[#This Row],[IsBoss]],tbStoryEnemy[[#This Row],[Hero1]:[Soldier3]])</f>
        <v>3</v>
      </c>
      <c r="P213" s="24">
        <v>1</v>
      </c>
      <c r="Q213" s="25" t="s">
        <v>912</v>
      </c>
      <c r="R213" s="24"/>
      <c r="S213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214" spans="2:19">
      <c r="B214" s="24" t="s">
        <v>712</v>
      </c>
      <c r="C214" s="34" t="s">
        <v>1289</v>
      </c>
      <c r="D214" s="24">
        <v>2</v>
      </c>
      <c r="E214" s="24">
        <v>0</v>
      </c>
      <c r="F214" s="24" t="s">
        <v>151</v>
      </c>
      <c r="G214" s="24" t="s">
        <v>1169</v>
      </c>
      <c r="H214" s="24"/>
      <c r="I214" s="24" t="s">
        <v>382</v>
      </c>
      <c r="J214" s="24" t="s">
        <v>384</v>
      </c>
      <c r="K214" s="24"/>
      <c r="L214" s="24"/>
      <c r="M214" s="24"/>
      <c r="N214" s="24"/>
      <c r="O214" s="26">
        <f>GET_OK_GROUPS_COUNT(tbStoryEnemy[[#This Row],[Camp]],tbStoryEnemy[[#This Row],[Difficulty]],tbStoryEnemy[[#This Row],[IsBoss]],tbStoryEnemy[[#This Row],[Hero1]:[Soldier3]])</f>
        <v>1</v>
      </c>
      <c r="P214" s="24">
        <v>1</v>
      </c>
      <c r="Q214" s="25" t="s">
        <v>912</v>
      </c>
      <c r="R214" s="24"/>
      <c r="S214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215" spans="2:19">
      <c r="B215" s="24" t="s">
        <v>713</v>
      </c>
      <c r="C215" s="34" t="s">
        <v>1289</v>
      </c>
      <c r="D215" s="24">
        <v>1</v>
      </c>
      <c r="E215" s="24">
        <v>0</v>
      </c>
      <c r="F215" s="24" t="s">
        <v>151</v>
      </c>
      <c r="G215" s="24" t="s">
        <v>1169</v>
      </c>
      <c r="H215" s="24"/>
      <c r="I215" s="24" t="s">
        <v>382</v>
      </c>
      <c r="J215" s="24"/>
      <c r="K215" s="24"/>
      <c r="L215" s="24" t="s">
        <v>26</v>
      </c>
      <c r="M215" s="24"/>
      <c r="N215" s="24"/>
      <c r="O215" s="26">
        <f>GET_OK_GROUPS_COUNT(tbStoryEnemy[[#This Row],[Camp]],tbStoryEnemy[[#This Row],[Difficulty]],tbStoryEnemy[[#This Row],[IsBoss]],tbStoryEnemy[[#This Row],[Hero1]:[Soldier3]])</f>
        <v>1</v>
      </c>
      <c r="P215" s="24">
        <v>1</v>
      </c>
      <c r="Q215" s="25" t="s">
        <v>912</v>
      </c>
      <c r="R215" s="24"/>
      <c r="S215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16" spans="2:19">
      <c r="B216" s="24" t="s">
        <v>713</v>
      </c>
      <c r="C216" s="34" t="s">
        <v>1289</v>
      </c>
      <c r="D216" s="24">
        <v>2</v>
      </c>
      <c r="E216" s="24">
        <v>0</v>
      </c>
      <c r="F216" s="24" t="s">
        <v>151</v>
      </c>
      <c r="G216" s="24" t="s">
        <v>1169</v>
      </c>
      <c r="H216" s="24"/>
      <c r="I216" s="24" t="s">
        <v>380</v>
      </c>
      <c r="J216" s="24"/>
      <c r="K216" s="24"/>
      <c r="L216" s="24" t="s">
        <v>26</v>
      </c>
      <c r="M216" s="24"/>
      <c r="N216" s="24"/>
      <c r="O216" s="26">
        <f>GET_OK_GROUPS_COUNT(tbStoryEnemy[[#This Row],[Camp]],tbStoryEnemy[[#This Row],[Difficulty]],tbStoryEnemy[[#This Row],[IsBoss]],tbStoryEnemy[[#This Row],[Hero1]:[Soldier3]])</f>
        <v>1</v>
      </c>
      <c r="P216" s="24">
        <v>1</v>
      </c>
      <c r="Q216" s="25" t="s">
        <v>912</v>
      </c>
      <c r="R216" s="24"/>
      <c r="S216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17" spans="2:19">
      <c r="B217" s="24" t="s">
        <v>714</v>
      </c>
      <c r="C217" s="34" t="s">
        <v>1289</v>
      </c>
      <c r="D217" s="24">
        <v>1</v>
      </c>
      <c r="E217" s="24">
        <v>0</v>
      </c>
      <c r="F217" s="24" t="s">
        <v>151</v>
      </c>
      <c r="G217" s="24" t="s">
        <v>1169</v>
      </c>
      <c r="H217" s="24"/>
      <c r="I217" s="24"/>
      <c r="J217" s="24"/>
      <c r="K217" s="24"/>
      <c r="L217" s="24" t="s">
        <v>34</v>
      </c>
      <c r="M217" s="24" t="s">
        <v>448</v>
      </c>
      <c r="N217" s="24"/>
      <c r="O217" s="26">
        <f>GET_OK_GROUPS_COUNT(tbStoryEnemy[[#This Row],[Camp]],tbStoryEnemy[[#This Row],[Difficulty]],tbStoryEnemy[[#This Row],[IsBoss]],tbStoryEnemy[[#This Row],[Hero1]:[Soldier3]])</f>
        <v>5</v>
      </c>
      <c r="P217" s="24">
        <v>1</v>
      </c>
      <c r="Q217" s="25" t="s">
        <v>912</v>
      </c>
      <c r="R217" s="24"/>
      <c r="S217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218" spans="2:19">
      <c r="B218" s="24" t="s">
        <v>714</v>
      </c>
      <c r="C218" s="34" t="s">
        <v>1289</v>
      </c>
      <c r="D218" s="24">
        <v>2</v>
      </c>
      <c r="E218" s="24">
        <v>0</v>
      </c>
      <c r="F218" s="24" t="s">
        <v>151</v>
      </c>
      <c r="G218" s="24" t="s">
        <v>1126</v>
      </c>
      <c r="H218" s="24" t="b">
        <v>1</v>
      </c>
      <c r="I218" s="24" t="s">
        <v>348</v>
      </c>
      <c r="J218" s="24" t="s">
        <v>382</v>
      </c>
      <c r="K218" s="24" t="s">
        <v>385</v>
      </c>
      <c r="L218" s="24"/>
      <c r="M218" s="24"/>
      <c r="N218" s="24"/>
      <c r="O218" s="26">
        <f>GET_OK_GROUPS_COUNT(tbStoryEnemy[[#This Row],[Camp]],tbStoryEnemy[[#This Row],[Difficulty]],tbStoryEnemy[[#This Row],[IsBoss]],tbStoryEnemy[[#This Row],[Hero1]:[Soldier3]])</f>
        <v>1</v>
      </c>
      <c r="P218" s="24">
        <v>1</v>
      </c>
      <c r="Q218" s="25" t="s">
        <v>348</v>
      </c>
      <c r="R218" s="24"/>
      <c r="S218" s="26" t="str">
        <f>GET_OK_GROUP(tbStoryEnemy[[#This Row],[Camp]],tbStoryEnemy[[#This Row],[Difficulty]],tbStoryEnemy[[#This Row],[IsBoss]],tbStoryEnemy[[#This Row],[Hero1]:[Soldier3]],tbStoryEnemy[[#This Row],[GroupID]])</f>
        <v>三国-超难-[B]铁英+盾英+刺英</v>
      </c>
    </row>
    <row r="219" spans="2:19">
      <c r="B219" s="24" t="s">
        <v>715</v>
      </c>
      <c r="C219" s="34" t="s">
        <v>1289</v>
      </c>
      <c r="D219" s="24">
        <v>1</v>
      </c>
      <c r="E219" s="24">
        <v>0</v>
      </c>
      <c r="F219" s="24" t="s">
        <v>151</v>
      </c>
      <c r="G219" s="24" t="s">
        <v>1169</v>
      </c>
      <c r="H219" s="24"/>
      <c r="I219" s="24"/>
      <c r="J219" s="24"/>
      <c r="K219" s="24"/>
      <c r="L219" s="24" t="s">
        <v>25</v>
      </c>
      <c r="M219" s="24" t="s">
        <v>448</v>
      </c>
      <c r="N219" s="24"/>
      <c r="O219" s="26">
        <f>GET_OK_GROUPS_COUNT(tbStoryEnemy[[#This Row],[Camp]],tbStoryEnemy[[#This Row],[Difficulty]],tbStoryEnemy[[#This Row],[IsBoss]],tbStoryEnemy[[#This Row],[Hero1]:[Soldier3]])</f>
        <v>5</v>
      </c>
      <c r="P219" s="24">
        <v>1</v>
      </c>
      <c r="Q219" s="25" t="s">
        <v>912</v>
      </c>
      <c r="R219" s="24"/>
      <c r="S219" s="26" t="str">
        <f>GET_OK_GROUP(tbStoryEnemy[[#This Row],[Camp]],tbStoryEnemy[[#This Row],[Difficulty]],tbStoryEnemy[[#This Row],[IsBoss]],tbStoryEnemy[[#This Row],[Hero1]:[Soldier3]],tbStoryEnemy[[#This Row],[GroupID]])</f>
        <v>三国-困难-铁兵+刺兵</v>
      </c>
    </row>
    <row r="220" spans="2:19">
      <c r="B220" s="24" t="s">
        <v>715</v>
      </c>
      <c r="C220" s="34" t="s">
        <v>1289</v>
      </c>
      <c r="D220" s="24">
        <v>2</v>
      </c>
      <c r="E220" s="24">
        <v>0</v>
      </c>
      <c r="F220" s="24" t="s">
        <v>151</v>
      </c>
      <c r="G220" s="24" t="s">
        <v>1169</v>
      </c>
      <c r="H220" s="24"/>
      <c r="I220" s="24" t="s">
        <v>382</v>
      </c>
      <c r="J220" s="24"/>
      <c r="K220" s="24"/>
      <c r="L220" s="24"/>
      <c r="M220" s="24"/>
      <c r="N220" s="24"/>
      <c r="O220" s="26">
        <f>GET_OK_GROUPS_COUNT(tbStoryEnemy[[#This Row],[Camp]],tbStoryEnemy[[#This Row],[Difficulty]],tbStoryEnemy[[#This Row],[IsBoss]],tbStoryEnemy[[#This Row],[Hero1]:[Soldier3]])</f>
        <v>4</v>
      </c>
      <c r="P220" s="24">
        <v>2</v>
      </c>
      <c r="Q220" s="25" t="s">
        <v>912</v>
      </c>
      <c r="R220" s="24"/>
      <c r="S220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221" spans="2:19">
      <c r="B221" s="24" t="s">
        <v>716</v>
      </c>
      <c r="C221" s="34" t="s">
        <v>1289</v>
      </c>
      <c r="D221" s="24">
        <v>1</v>
      </c>
      <c r="E221" s="24">
        <v>0</v>
      </c>
      <c r="F221" s="24" t="s">
        <v>151</v>
      </c>
      <c r="G221" s="24" t="s">
        <v>1169</v>
      </c>
      <c r="H221" s="24"/>
      <c r="I221" s="24" t="s">
        <v>381</v>
      </c>
      <c r="J221" s="24"/>
      <c r="K221" s="24"/>
      <c r="L221" s="24" t="s">
        <v>34</v>
      </c>
      <c r="M221" s="24"/>
      <c r="N221" s="24"/>
      <c r="O221" s="26">
        <f>GET_OK_GROUPS_COUNT(tbStoryEnemy[[#This Row],[Camp]],tbStoryEnemy[[#This Row],[Difficulty]],tbStoryEnemy[[#This Row],[IsBoss]],tbStoryEnemy[[#This Row],[Hero1]:[Soldier3]])</f>
        <v>1</v>
      </c>
      <c r="P221" s="24">
        <v>1</v>
      </c>
      <c r="Q221" s="25" t="s">
        <v>912</v>
      </c>
      <c r="R221" s="24"/>
      <c r="S221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222" spans="2:19">
      <c r="B222" s="24" t="s">
        <v>716</v>
      </c>
      <c r="C222" s="34" t="s">
        <v>1289</v>
      </c>
      <c r="D222" s="24">
        <v>2</v>
      </c>
      <c r="E222" s="24">
        <v>0</v>
      </c>
      <c r="F222" s="24" t="s">
        <v>151</v>
      </c>
      <c r="G222" s="24" t="s">
        <v>1126</v>
      </c>
      <c r="H222" s="24"/>
      <c r="I222" s="24" t="s">
        <v>380</v>
      </c>
      <c r="J222" s="24" t="s">
        <v>381</v>
      </c>
      <c r="K222" s="24"/>
      <c r="L222" s="24"/>
      <c r="M222" s="24"/>
      <c r="N222" s="24"/>
      <c r="O222" s="26">
        <f>GET_OK_GROUPS_COUNT(tbStoryEnemy[[#This Row],[Camp]],tbStoryEnemy[[#This Row],[Difficulty]],tbStoryEnemy[[#This Row],[IsBoss]],tbStoryEnemy[[#This Row],[Hero1]:[Soldier3]])</f>
        <v>1</v>
      </c>
      <c r="P222" s="24">
        <v>1</v>
      </c>
      <c r="Q222" s="25" t="s">
        <v>912</v>
      </c>
      <c r="R222" s="24"/>
      <c r="S222" s="26" t="str">
        <f>GET_OK_GROUP(tbStoryEnemy[[#This Row],[Camp]],tbStoryEnemy[[#This Row],[Difficulty]],tbStoryEnemy[[#This Row],[IsBoss]],tbStoryEnemy[[#This Row],[Hero1]:[Soldier3]],tbStoryEnemy[[#This Row],[GroupID]])</f>
        <v>三国-超难-盾英+强英</v>
      </c>
    </row>
    <row r="223" spans="2:19">
      <c r="B223" s="24" t="s">
        <v>717</v>
      </c>
      <c r="C223" s="34" t="s">
        <v>1289</v>
      </c>
      <c r="D223" s="24">
        <v>1</v>
      </c>
      <c r="E223" s="24">
        <v>0</v>
      </c>
      <c r="F223" s="24" t="s">
        <v>151</v>
      </c>
      <c r="G223" s="24" t="s">
        <v>1126</v>
      </c>
      <c r="H223" s="24"/>
      <c r="I223" s="24" t="s">
        <v>380</v>
      </c>
      <c r="J223" s="34" t="s">
        <v>1166</v>
      </c>
      <c r="K223" s="24"/>
      <c r="L223" s="24"/>
      <c r="M223" s="24"/>
      <c r="N223" s="24"/>
      <c r="O223" s="26">
        <f>GET_OK_GROUPS_COUNT(tbStoryEnemy[[#This Row],[Camp]],tbStoryEnemy[[#This Row],[Difficulty]],tbStoryEnemy[[#This Row],[IsBoss]],tbStoryEnemy[[#This Row],[Hero1]:[Soldier3]])</f>
        <v>1</v>
      </c>
      <c r="P223" s="24">
        <v>1</v>
      </c>
      <c r="Q223" s="25" t="s">
        <v>912</v>
      </c>
      <c r="R223" s="24"/>
      <c r="S223" s="26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224" spans="2:19">
      <c r="B224" s="24" t="s">
        <v>717</v>
      </c>
      <c r="C224" s="34" t="s">
        <v>1289</v>
      </c>
      <c r="D224" s="24">
        <v>2</v>
      </c>
      <c r="E224" s="24">
        <v>0</v>
      </c>
      <c r="F224" s="24" t="s">
        <v>151</v>
      </c>
      <c r="G224" s="24" t="s">
        <v>1126</v>
      </c>
      <c r="H224" s="24" t="b">
        <v>1</v>
      </c>
      <c r="I224" s="24" t="s">
        <v>350</v>
      </c>
      <c r="J224" s="24" t="s">
        <v>382</v>
      </c>
      <c r="K224" s="24"/>
      <c r="L224" s="24"/>
      <c r="M224" s="24"/>
      <c r="N224" s="24"/>
      <c r="O224" s="26">
        <f>GET_OK_GROUPS_COUNT(tbStoryEnemy[[#This Row],[Camp]],tbStoryEnemy[[#This Row],[Difficulty]],tbStoryEnemy[[#This Row],[IsBoss]],tbStoryEnemy[[#This Row],[Hero1]:[Soldier3]])</f>
        <v>1</v>
      </c>
      <c r="P224" s="24">
        <v>1</v>
      </c>
      <c r="Q224" s="25" t="s">
        <v>350</v>
      </c>
      <c r="R224" s="24"/>
      <c r="S224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225" spans="2:19">
      <c r="B225" s="24" t="s">
        <v>1226</v>
      </c>
      <c r="C225" s="34" t="s">
        <v>1289</v>
      </c>
      <c r="D225" s="24">
        <v>1</v>
      </c>
      <c r="E225" s="24">
        <v>0</v>
      </c>
      <c r="F225" s="24" t="s">
        <v>151</v>
      </c>
      <c r="G225" s="24" t="s">
        <v>1338</v>
      </c>
      <c r="H225" s="24"/>
      <c r="I225" s="24"/>
      <c r="J225" s="24"/>
      <c r="K225" s="24"/>
      <c r="L225" s="24" t="s">
        <v>25</v>
      </c>
      <c r="M225" s="24"/>
      <c r="N225" s="24"/>
      <c r="O225" s="26">
        <f>GET_OK_GROUPS_COUNT(tbStoryEnemy[[#This Row],[Camp]],tbStoryEnemy[[#This Row],[Difficulty]],tbStoryEnemy[[#This Row],[IsBoss]],tbStoryEnemy[[#This Row],[Hero1]:[Soldier3]])</f>
        <v>5</v>
      </c>
      <c r="P225" s="24">
        <v>2</v>
      </c>
      <c r="Q225" s="25" t="s">
        <v>912</v>
      </c>
      <c r="R225" s="24"/>
      <c r="S225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226" spans="2:19">
      <c r="B226" s="24" t="s">
        <v>1226</v>
      </c>
      <c r="C226" s="34" t="s">
        <v>1289</v>
      </c>
      <c r="D226" s="24">
        <v>2</v>
      </c>
      <c r="E226" s="24">
        <v>0</v>
      </c>
      <c r="F226" s="24" t="s">
        <v>151</v>
      </c>
      <c r="G226" s="24" t="s">
        <v>1169</v>
      </c>
      <c r="H226" s="24"/>
      <c r="I226" s="24" t="s">
        <v>380</v>
      </c>
      <c r="J226" s="24" t="s">
        <v>381</v>
      </c>
      <c r="K226" s="24"/>
      <c r="L226" s="24"/>
      <c r="M226" s="24"/>
      <c r="N226" s="24"/>
      <c r="O226" s="26">
        <f>GET_OK_GROUPS_COUNT(tbStoryEnemy[[#This Row],[Camp]],tbStoryEnemy[[#This Row],[Difficulty]],tbStoryEnemy[[#This Row],[IsBoss]],tbStoryEnemy[[#This Row],[Hero1]:[Soldier3]])</f>
        <v>1</v>
      </c>
      <c r="P226" s="24">
        <v>1</v>
      </c>
      <c r="Q226" s="25" t="s">
        <v>912</v>
      </c>
      <c r="R226" s="24"/>
      <c r="S226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27" spans="2:19">
      <c r="B227" s="24" t="s">
        <v>1227</v>
      </c>
      <c r="C227" s="34" t="s">
        <v>1289</v>
      </c>
      <c r="D227" s="24">
        <v>1</v>
      </c>
      <c r="E227" s="24">
        <v>0</v>
      </c>
      <c r="F227" s="24" t="s">
        <v>151</v>
      </c>
      <c r="G227" s="24" t="s">
        <v>1338</v>
      </c>
      <c r="H227" s="24"/>
      <c r="I227" s="24"/>
      <c r="J227" s="24"/>
      <c r="K227" s="24"/>
      <c r="L227" s="24" t="s">
        <v>34</v>
      </c>
      <c r="M227" s="24"/>
      <c r="N227" s="24"/>
      <c r="O227" s="26">
        <f>GET_OK_GROUPS_COUNT(tbStoryEnemy[[#This Row],[Camp]],tbStoryEnemy[[#This Row],[Difficulty]],tbStoryEnemy[[#This Row],[IsBoss]],tbStoryEnemy[[#This Row],[Hero1]:[Soldier3]])</f>
        <v>5</v>
      </c>
      <c r="P227" s="24">
        <v>3</v>
      </c>
      <c r="Q227" s="25" t="s">
        <v>912</v>
      </c>
      <c r="R227" s="24"/>
      <c r="S227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28" spans="2:19">
      <c r="B228" s="24" t="s">
        <v>1227</v>
      </c>
      <c r="C228" s="34" t="s">
        <v>1289</v>
      </c>
      <c r="D228" s="24">
        <v>2</v>
      </c>
      <c r="E228" s="24">
        <v>0</v>
      </c>
      <c r="F228" s="24" t="s">
        <v>151</v>
      </c>
      <c r="G228" s="24" t="s">
        <v>1169</v>
      </c>
      <c r="H228" s="24"/>
      <c r="I228" s="24" t="s">
        <v>382</v>
      </c>
      <c r="J228" s="24" t="s">
        <v>381</v>
      </c>
      <c r="K228" s="24"/>
      <c r="L228" s="24"/>
      <c r="M228" s="24"/>
      <c r="N228" s="24"/>
      <c r="O228" s="26">
        <f>GET_OK_GROUPS_COUNT(tbStoryEnemy[[#This Row],[Camp]],tbStoryEnemy[[#This Row],[Difficulty]],tbStoryEnemy[[#This Row],[IsBoss]],tbStoryEnemy[[#This Row],[Hero1]:[Soldier3]])</f>
        <v>1</v>
      </c>
      <c r="P228" s="24">
        <v>1</v>
      </c>
      <c r="Q228" s="25" t="s">
        <v>912</v>
      </c>
      <c r="R228" s="24"/>
      <c r="S228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229" spans="2:19">
      <c r="B229" s="24" t="s">
        <v>1228</v>
      </c>
      <c r="C229" s="34" t="s">
        <v>1289</v>
      </c>
      <c r="D229" s="24">
        <v>1</v>
      </c>
      <c r="E229" s="24">
        <v>0</v>
      </c>
      <c r="F229" s="24" t="s">
        <v>151</v>
      </c>
      <c r="G229" s="24" t="s">
        <v>1169</v>
      </c>
      <c r="H229" s="24"/>
      <c r="I229" s="24"/>
      <c r="J229" s="24"/>
      <c r="K229" s="24"/>
      <c r="L229" s="24" t="s">
        <v>25</v>
      </c>
      <c r="M229" s="24" t="s">
        <v>448</v>
      </c>
      <c r="N229" s="24"/>
      <c r="O229" s="26">
        <f>GET_OK_GROUPS_COUNT(tbStoryEnemy[[#This Row],[Camp]],tbStoryEnemy[[#This Row],[Difficulty]],tbStoryEnemy[[#This Row],[IsBoss]],tbStoryEnemy[[#This Row],[Hero1]:[Soldier3]])</f>
        <v>5</v>
      </c>
      <c r="P229" s="24">
        <v>1</v>
      </c>
      <c r="Q229" s="25" t="s">
        <v>912</v>
      </c>
      <c r="R229" s="24"/>
      <c r="S229" s="26" t="str">
        <f>GET_OK_GROUP(tbStoryEnemy[[#This Row],[Camp]],tbStoryEnemy[[#This Row],[Difficulty]],tbStoryEnemy[[#This Row],[IsBoss]],tbStoryEnemy[[#This Row],[Hero1]:[Soldier3]],tbStoryEnemy[[#This Row],[GroupID]])</f>
        <v>三国-困难-铁兵+刺兵</v>
      </c>
    </row>
    <row r="230" spans="2:19">
      <c r="B230" s="24" t="s">
        <v>1228</v>
      </c>
      <c r="C230" s="34" t="s">
        <v>1289</v>
      </c>
      <c r="D230" s="24">
        <v>2</v>
      </c>
      <c r="E230" s="24">
        <v>0</v>
      </c>
      <c r="F230" s="24" t="s">
        <v>151</v>
      </c>
      <c r="G230" s="24" t="s">
        <v>1169</v>
      </c>
      <c r="H230" s="24" t="b">
        <v>1</v>
      </c>
      <c r="I230" s="24" t="s">
        <v>416</v>
      </c>
      <c r="J230" s="24" t="s">
        <v>383</v>
      </c>
      <c r="K230" s="24"/>
      <c r="L230" s="24"/>
      <c r="M230" s="24"/>
      <c r="N230" s="24"/>
      <c r="O230" s="26">
        <f>GET_OK_GROUPS_COUNT(tbStoryEnemy[[#This Row],[Camp]],tbStoryEnemy[[#This Row],[Difficulty]],tbStoryEnemy[[#This Row],[IsBoss]],tbStoryEnemy[[#This Row],[Hero1]:[Soldier3]])</f>
        <v>1</v>
      </c>
      <c r="P230" s="24">
        <v>1</v>
      </c>
      <c r="Q230" s="25" t="s">
        <v>416</v>
      </c>
      <c r="R230" s="24"/>
      <c r="S230" s="26" t="str">
        <f>GET_OK_GROUP(tbStoryEnemy[[#This Row],[Camp]],tbStoryEnemy[[#This Row],[Difficulty]],tbStoryEnemy[[#This Row],[IsBoss]],tbStoryEnemy[[#This Row],[Hero1]:[Soldier3]],tbStoryEnemy[[#This Row],[GroupID]])</f>
        <v>三国-困难-[B]炼英+刺英</v>
      </c>
    </row>
    <row r="231" spans="2:19">
      <c r="B231" s="24" t="s">
        <v>1229</v>
      </c>
      <c r="C231" s="34" t="s">
        <v>1289</v>
      </c>
      <c r="D231" s="24">
        <v>1</v>
      </c>
      <c r="E231" s="24">
        <v>0</v>
      </c>
      <c r="F231" s="24" t="s">
        <v>151</v>
      </c>
      <c r="G231" s="24" t="s">
        <v>1338</v>
      </c>
      <c r="H231" s="24"/>
      <c r="I231" s="24"/>
      <c r="J231" s="24"/>
      <c r="K231" s="24"/>
      <c r="L231" s="24" t="s">
        <v>25</v>
      </c>
      <c r="M231" s="24"/>
      <c r="N231" s="24"/>
      <c r="O231" s="26">
        <f>GET_OK_GROUPS_COUNT(tbStoryEnemy[[#This Row],[Camp]],tbStoryEnemy[[#This Row],[Difficulty]],tbStoryEnemy[[#This Row],[IsBoss]],tbStoryEnemy[[#This Row],[Hero1]:[Soldier3]])</f>
        <v>5</v>
      </c>
      <c r="P231" s="24">
        <v>1</v>
      </c>
      <c r="Q231" s="25" t="s">
        <v>912</v>
      </c>
      <c r="R231" s="24"/>
      <c r="S231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232" spans="2:19">
      <c r="B232" s="24" t="s">
        <v>1229</v>
      </c>
      <c r="C232" s="34" t="s">
        <v>1289</v>
      </c>
      <c r="D232" s="24">
        <v>2</v>
      </c>
      <c r="E232" s="24">
        <v>0</v>
      </c>
      <c r="F232" s="24" t="s">
        <v>151</v>
      </c>
      <c r="G232" s="24" t="s">
        <v>1169</v>
      </c>
      <c r="H232" s="24"/>
      <c r="I232" s="24" t="s">
        <v>380</v>
      </c>
      <c r="J232" s="24" t="s">
        <v>381</v>
      </c>
      <c r="K232" s="24"/>
      <c r="L232" s="24"/>
      <c r="M232" s="24"/>
      <c r="N232" s="24"/>
      <c r="O232" s="26">
        <f>GET_OK_GROUPS_COUNT(tbStoryEnemy[[#This Row],[Camp]],tbStoryEnemy[[#This Row],[Difficulty]],tbStoryEnemy[[#This Row],[IsBoss]],tbStoryEnemy[[#This Row],[Hero1]:[Soldier3]])</f>
        <v>1</v>
      </c>
      <c r="P232" s="24">
        <v>1</v>
      </c>
      <c r="Q232" s="25" t="s">
        <v>912</v>
      </c>
      <c r="R232" s="24"/>
      <c r="S232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33" spans="2:19">
      <c r="B233" s="24" t="s">
        <v>1230</v>
      </c>
      <c r="C233" s="34" t="s">
        <v>1289</v>
      </c>
      <c r="D233" s="24">
        <v>1</v>
      </c>
      <c r="E233" s="24">
        <v>0</v>
      </c>
      <c r="F233" s="24" t="s">
        <v>151</v>
      </c>
      <c r="G233" s="24" t="s">
        <v>1169</v>
      </c>
      <c r="H233" s="24"/>
      <c r="I233" s="24"/>
      <c r="J233" s="24"/>
      <c r="K233" s="24"/>
      <c r="L233" s="24" t="s">
        <v>26</v>
      </c>
      <c r="M233" s="24"/>
      <c r="N233" s="24"/>
      <c r="O233" s="26">
        <f>GET_OK_GROUPS_COUNT(tbStoryEnemy[[#This Row],[Camp]],tbStoryEnemy[[#This Row],[Difficulty]],tbStoryEnemy[[#This Row],[IsBoss]],tbStoryEnemy[[#This Row],[Hero1]:[Soldier3]])</f>
        <v>9</v>
      </c>
      <c r="P233" s="24">
        <v>3</v>
      </c>
      <c r="Q233" s="25" t="s">
        <v>912</v>
      </c>
      <c r="R233" s="24"/>
      <c r="S233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234" spans="2:19">
      <c r="B234" s="24" t="s">
        <v>1230</v>
      </c>
      <c r="C234" s="34" t="s">
        <v>1289</v>
      </c>
      <c r="D234" s="24">
        <v>2</v>
      </c>
      <c r="E234" s="24">
        <v>0</v>
      </c>
      <c r="F234" s="24" t="s">
        <v>151</v>
      </c>
      <c r="G234" s="24" t="s">
        <v>1169</v>
      </c>
      <c r="H234" s="24"/>
      <c r="I234" s="24" t="s">
        <v>380</v>
      </c>
      <c r="J234" s="24" t="s">
        <v>381</v>
      </c>
      <c r="K234" s="24"/>
      <c r="L234" s="24"/>
      <c r="M234" s="24"/>
      <c r="N234" s="24"/>
      <c r="O234" s="26">
        <f>GET_OK_GROUPS_COUNT(tbStoryEnemy[[#This Row],[Camp]],tbStoryEnemy[[#This Row],[Difficulty]],tbStoryEnemy[[#This Row],[IsBoss]],tbStoryEnemy[[#This Row],[Hero1]:[Soldier3]])</f>
        <v>1</v>
      </c>
      <c r="P234" s="24">
        <v>1</v>
      </c>
      <c r="Q234" s="25" t="s">
        <v>912</v>
      </c>
      <c r="R234" s="24"/>
      <c r="S234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35" spans="2:19">
      <c r="B235" s="24" t="s">
        <v>1231</v>
      </c>
      <c r="C235" s="34" t="s">
        <v>1289</v>
      </c>
      <c r="D235" s="24">
        <v>1</v>
      </c>
      <c r="E235" s="24">
        <v>0</v>
      </c>
      <c r="F235" s="24" t="s">
        <v>151</v>
      </c>
      <c r="G235" s="24" t="s">
        <v>1169</v>
      </c>
      <c r="H235" s="24"/>
      <c r="I235" s="24"/>
      <c r="J235" s="24"/>
      <c r="K235" s="24"/>
      <c r="L235" s="24" t="s">
        <v>25</v>
      </c>
      <c r="M235" s="24" t="s">
        <v>447</v>
      </c>
      <c r="N235" s="24"/>
      <c r="O235" s="26">
        <f>GET_OK_GROUPS_COUNT(tbStoryEnemy[[#This Row],[Camp]],tbStoryEnemy[[#This Row],[Difficulty]],tbStoryEnemy[[#This Row],[IsBoss]],tbStoryEnemy[[#This Row],[Hero1]:[Soldier3]])</f>
        <v>5</v>
      </c>
      <c r="P235" s="24">
        <v>1</v>
      </c>
      <c r="Q235" s="25" t="s">
        <v>912</v>
      </c>
      <c r="R235" s="24"/>
      <c r="S235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236" spans="2:19">
      <c r="B236" s="24" t="s">
        <v>1231</v>
      </c>
      <c r="C236" s="34" t="s">
        <v>1289</v>
      </c>
      <c r="D236" s="24">
        <v>2</v>
      </c>
      <c r="E236" s="24">
        <v>0</v>
      </c>
      <c r="F236" s="24" t="s">
        <v>151</v>
      </c>
      <c r="G236" s="24" t="s">
        <v>1126</v>
      </c>
      <c r="H236" s="24" t="b">
        <v>1</v>
      </c>
      <c r="I236" s="24" t="s">
        <v>344</v>
      </c>
      <c r="J236" s="24" t="s">
        <v>380</v>
      </c>
      <c r="K236" s="24"/>
      <c r="L236" s="24"/>
      <c r="M236" s="24"/>
      <c r="N236" s="24"/>
      <c r="O236" s="26">
        <f>GET_OK_GROUPS_COUNT(tbStoryEnemy[[#This Row],[Camp]],tbStoryEnemy[[#This Row],[Difficulty]],tbStoryEnemy[[#This Row],[IsBoss]],tbStoryEnemy[[#This Row],[Hero1]:[Soldier3]])</f>
        <v>1</v>
      </c>
      <c r="P236" s="24">
        <v>1</v>
      </c>
      <c r="Q236" s="25" t="s">
        <v>344</v>
      </c>
      <c r="R236" s="24"/>
      <c r="S236" s="26" t="str">
        <f>GET_OK_GROUP(tbStoryEnemy[[#This Row],[Camp]],tbStoryEnemy[[#This Row],[Difficulty]],tbStoryEnemy[[#This Row],[IsBoss]],tbStoryEnemy[[#This Row],[Hero1]:[Soldier3]],tbStoryEnemy[[#This Row],[GroupID]])</f>
        <v>三国-超难-[B]铁英+盾英</v>
      </c>
    </row>
    <row r="237" spans="2:19">
      <c r="B237" s="24" t="s">
        <v>718</v>
      </c>
      <c r="C237" s="34" t="s">
        <v>1289</v>
      </c>
      <c r="D237" s="24">
        <v>1</v>
      </c>
      <c r="E237" s="24">
        <v>0</v>
      </c>
      <c r="F237" s="24" t="s">
        <v>151</v>
      </c>
      <c r="G237" s="24" t="s">
        <v>1338</v>
      </c>
      <c r="H237" s="24"/>
      <c r="I237" s="24"/>
      <c r="J237" s="24"/>
      <c r="K237" s="24"/>
      <c r="L237" s="24" t="s">
        <v>448</v>
      </c>
      <c r="M237" s="24"/>
      <c r="N237" s="24"/>
      <c r="O237" s="26">
        <f>GET_OK_GROUPS_COUNT(tbStoryEnemy[[#This Row],[Camp]],tbStoryEnemy[[#This Row],[Difficulty]],tbStoryEnemy[[#This Row],[IsBoss]],tbStoryEnemy[[#This Row],[Hero1]:[Soldier3]])</f>
        <v>3</v>
      </c>
      <c r="P237" s="24">
        <v>1</v>
      </c>
      <c r="Q237" s="25" t="s">
        <v>912</v>
      </c>
      <c r="R237" s="24"/>
      <c r="S237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238" spans="2:19">
      <c r="B238" s="24" t="s">
        <v>718</v>
      </c>
      <c r="C238" s="34" t="s">
        <v>1289</v>
      </c>
      <c r="D238" s="24">
        <v>2</v>
      </c>
      <c r="E238" s="24">
        <v>0</v>
      </c>
      <c r="F238" s="24" t="s">
        <v>151</v>
      </c>
      <c r="G238" s="24" t="s">
        <v>1169</v>
      </c>
      <c r="H238" s="24"/>
      <c r="I238" s="24" t="s">
        <v>380</v>
      </c>
      <c r="J238" s="24" t="s">
        <v>380</v>
      </c>
      <c r="K238" s="24"/>
      <c r="L238" s="24"/>
      <c r="M238" s="24"/>
      <c r="N238" s="24"/>
      <c r="O238" s="26">
        <f>GET_OK_GROUPS_COUNT(tbStoryEnemy[[#This Row],[Camp]],tbStoryEnemy[[#This Row],[Difficulty]],tbStoryEnemy[[#This Row],[IsBoss]],tbStoryEnemy[[#This Row],[Hero1]:[Soldier3]])</f>
        <v>1</v>
      </c>
      <c r="P238" s="24">
        <v>1</v>
      </c>
      <c r="Q238" s="25" t="s">
        <v>912</v>
      </c>
      <c r="R238" s="24"/>
      <c r="S238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239" spans="2:19">
      <c r="B239" s="24" t="s">
        <v>719</v>
      </c>
      <c r="C239" s="34" t="s">
        <v>1289</v>
      </c>
      <c r="D239" s="24">
        <v>1</v>
      </c>
      <c r="E239" s="24">
        <v>0</v>
      </c>
      <c r="F239" s="24" t="s">
        <v>151</v>
      </c>
      <c r="G239" s="24" t="s">
        <v>1338</v>
      </c>
      <c r="H239" s="24"/>
      <c r="I239" s="24"/>
      <c r="J239" s="24"/>
      <c r="K239" s="24"/>
      <c r="L239" s="24" t="s">
        <v>25</v>
      </c>
      <c r="M239" s="24"/>
      <c r="N239" s="24"/>
      <c r="O239" s="26">
        <f>GET_OK_GROUPS_COUNT(tbStoryEnemy[[#This Row],[Camp]],tbStoryEnemy[[#This Row],[Difficulty]],tbStoryEnemy[[#This Row],[IsBoss]],tbStoryEnemy[[#This Row],[Hero1]:[Soldier3]])</f>
        <v>5</v>
      </c>
      <c r="P239" s="24">
        <v>3</v>
      </c>
      <c r="Q239" s="25" t="s">
        <v>912</v>
      </c>
      <c r="R239" s="24"/>
      <c r="S239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40" spans="2:19">
      <c r="B240" s="24" t="s">
        <v>719</v>
      </c>
      <c r="C240" s="34" t="s">
        <v>1289</v>
      </c>
      <c r="D240" s="24">
        <v>2</v>
      </c>
      <c r="E240" s="24">
        <v>0</v>
      </c>
      <c r="F240" s="24" t="s">
        <v>151</v>
      </c>
      <c r="G240" s="24" t="s">
        <v>1169</v>
      </c>
      <c r="H240" s="24"/>
      <c r="I240" s="24" t="s">
        <v>384</v>
      </c>
      <c r="J240" s="24"/>
      <c r="K240" s="24"/>
      <c r="L240" s="24" t="s">
        <v>34</v>
      </c>
      <c r="M240" s="24"/>
      <c r="N240" s="24"/>
      <c r="O240" s="26">
        <f>GET_OK_GROUPS_COUNT(tbStoryEnemy[[#This Row],[Camp]],tbStoryEnemy[[#This Row],[Difficulty]],tbStoryEnemy[[#This Row],[IsBoss]],tbStoryEnemy[[#This Row],[Hero1]:[Soldier3]])</f>
        <v>1</v>
      </c>
      <c r="P240" s="24">
        <v>1</v>
      </c>
      <c r="Q240" s="25" t="s">
        <v>912</v>
      </c>
      <c r="R240" s="24"/>
      <c r="S240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241" spans="2:19">
      <c r="B241" s="24" t="s">
        <v>720</v>
      </c>
      <c r="C241" s="34" t="s">
        <v>1289</v>
      </c>
      <c r="D241" s="24">
        <v>1</v>
      </c>
      <c r="E241" s="24">
        <v>0</v>
      </c>
      <c r="F241" s="24" t="s">
        <v>151</v>
      </c>
      <c r="G241" s="24" t="s">
        <v>1169</v>
      </c>
      <c r="H241" s="24"/>
      <c r="I241" s="24"/>
      <c r="J241" s="24"/>
      <c r="K241" s="24"/>
      <c r="L241" s="24" t="s">
        <v>34</v>
      </c>
      <c r="M241" s="24" t="s">
        <v>448</v>
      </c>
      <c r="N241" s="24"/>
      <c r="O241" s="26">
        <f>GET_OK_GROUPS_COUNT(tbStoryEnemy[[#This Row],[Camp]],tbStoryEnemy[[#This Row],[Difficulty]],tbStoryEnemy[[#This Row],[IsBoss]],tbStoryEnemy[[#This Row],[Hero1]:[Soldier3]])</f>
        <v>5</v>
      </c>
      <c r="P241" s="24">
        <v>1</v>
      </c>
      <c r="Q241" s="25" t="s">
        <v>912</v>
      </c>
      <c r="R241" s="24"/>
      <c r="S241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242" spans="2:19">
      <c r="B242" s="24" t="s">
        <v>720</v>
      </c>
      <c r="C242" s="34" t="s">
        <v>1289</v>
      </c>
      <c r="D242" s="24">
        <v>2</v>
      </c>
      <c r="E242" s="24">
        <v>0</v>
      </c>
      <c r="F242" s="24" t="s">
        <v>151</v>
      </c>
      <c r="G242" s="24" t="s">
        <v>1169</v>
      </c>
      <c r="H242" s="24" t="b">
        <v>1</v>
      </c>
      <c r="I242" s="24" t="s">
        <v>342</v>
      </c>
      <c r="J242" s="24" t="s">
        <v>381</v>
      </c>
      <c r="K242" s="24"/>
      <c r="L242" s="24"/>
      <c r="M242" s="24"/>
      <c r="N242" s="24"/>
      <c r="O242" s="26">
        <f>GET_OK_GROUPS_COUNT(tbStoryEnemy[[#This Row],[Camp]],tbStoryEnemy[[#This Row],[Difficulty]],tbStoryEnemy[[#This Row],[IsBoss]],tbStoryEnemy[[#This Row],[Hero1]:[Soldier3]])</f>
        <v>1</v>
      </c>
      <c r="P242" s="24">
        <v>1</v>
      </c>
      <c r="Q242" s="25" t="s">
        <v>342</v>
      </c>
      <c r="R242" s="24"/>
      <c r="S242" s="26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243" spans="2:19">
      <c r="B243" s="24" t="s">
        <v>721</v>
      </c>
      <c r="C243" s="34" t="s">
        <v>1289</v>
      </c>
      <c r="D243" s="24">
        <v>1</v>
      </c>
      <c r="E243" s="24">
        <v>0</v>
      </c>
      <c r="F243" s="24" t="s">
        <v>151</v>
      </c>
      <c r="G243" s="24" t="s">
        <v>1338</v>
      </c>
      <c r="H243" s="24"/>
      <c r="I243" s="24"/>
      <c r="J243" s="24"/>
      <c r="K243" s="24"/>
      <c r="L243" s="24" t="s">
        <v>34</v>
      </c>
      <c r="M243" s="24" t="s">
        <v>28</v>
      </c>
      <c r="N243" s="24"/>
      <c r="O243" s="26">
        <f>GET_OK_GROUPS_COUNT(tbStoryEnemy[[#This Row],[Camp]],tbStoryEnemy[[#This Row],[Difficulty]],tbStoryEnemy[[#This Row],[IsBoss]],tbStoryEnemy[[#This Row],[Hero1]:[Soldier3]])</f>
        <v>1</v>
      </c>
      <c r="P243" s="24">
        <v>1</v>
      </c>
      <c r="Q243" s="25" t="s">
        <v>912</v>
      </c>
      <c r="R243" s="24"/>
      <c r="S243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244" spans="2:19">
      <c r="B244" s="24" t="s">
        <v>721</v>
      </c>
      <c r="C244" s="34" t="s">
        <v>1289</v>
      </c>
      <c r="D244" s="24">
        <v>2</v>
      </c>
      <c r="E244" s="24">
        <v>0</v>
      </c>
      <c r="F244" s="24" t="s">
        <v>151</v>
      </c>
      <c r="G244" s="24" t="s">
        <v>1169</v>
      </c>
      <c r="H244" s="24"/>
      <c r="I244" s="24" t="s">
        <v>382</v>
      </c>
      <c r="J244" s="24" t="s">
        <v>384</v>
      </c>
      <c r="K244" s="24"/>
      <c r="L244" s="24"/>
      <c r="M244" s="24"/>
      <c r="N244" s="24"/>
      <c r="O244" s="26">
        <f>GET_OK_GROUPS_COUNT(tbStoryEnemy[[#This Row],[Camp]],tbStoryEnemy[[#This Row],[Difficulty]],tbStoryEnemy[[#This Row],[IsBoss]],tbStoryEnemy[[#This Row],[Hero1]:[Soldier3]])</f>
        <v>1</v>
      </c>
      <c r="P244" s="24">
        <v>1</v>
      </c>
      <c r="Q244" s="25" t="s">
        <v>912</v>
      </c>
      <c r="R244" s="24"/>
      <c r="S244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245" spans="2:19">
      <c r="B245" s="24" t="s">
        <v>722</v>
      </c>
      <c r="C245" s="34" t="s">
        <v>1289</v>
      </c>
      <c r="D245" s="24">
        <v>1</v>
      </c>
      <c r="E245" s="24">
        <v>0</v>
      </c>
      <c r="F245" s="24" t="s">
        <v>151</v>
      </c>
      <c r="G245" s="24" t="s">
        <v>1169</v>
      </c>
      <c r="H245" s="24"/>
      <c r="I245" s="24"/>
      <c r="J245" s="24"/>
      <c r="K245" s="24"/>
      <c r="L245" s="24" t="s">
        <v>25</v>
      </c>
      <c r="M245" s="24"/>
      <c r="N245" s="24"/>
      <c r="O245" s="26">
        <f>GET_OK_GROUPS_COUNT(tbStoryEnemy[[#This Row],[Camp]],tbStoryEnemy[[#This Row],[Difficulty]],tbStoryEnemy[[#This Row],[IsBoss]],tbStoryEnemy[[#This Row],[Hero1]:[Soldier3]])</f>
        <v>14</v>
      </c>
      <c r="P245" s="24">
        <v>3</v>
      </c>
      <c r="Q245" s="25" t="s">
        <v>912</v>
      </c>
      <c r="R245" s="24"/>
      <c r="S245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246" spans="2:19">
      <c r="B246" s="24" t="s">
        <v>722</v>
      </c>
      <c r="C246" s="34" t="s">
        <v>1289</v>
      </c>
      <c r="D246" s="24">
        <v>2</v>
      </c>
      <c r="E246" s="24">
        <v>0</v>
      </c>
      <c r="F246" s="24" t="s">
        <v>151</v>
      </c>
      <c r="G246" s="24" t="s">
        <v>1169</v>
      </c>
      <c r="H246" s="24"/>
      <c r="I246" s="24" t="s">
        <v>384</v>
      </c>
      <c r="J246" s="24" t="s">
        <v>384</v>
      </c>
      <c r="K246" s="24"/>
      <c r="L246" s="24"/>
      <c r="M246" s="24"/>
      <c r="N246" s="24"/>
      <c r="O246" s="26">
        <f>GET_OK_GROUPS_COUNT(tbStoryEnemy[[#This Row],[Camp]],tbStoryEnemy[[#This Row],[Difficulty]],tbStoryEnemy[[#This Row],[IsBoss]],tbStoryEnemy[[#This Row],[Hero1]:[Soldier3]])</f>
        <v>1</v>
      </c>
      <c r="P246" s="24">
        <v>1</v>
      </c>
      <c r="Q246" s="25" t="s">
        <v>912</v>
      </c>
      <c r="R246" s="24"/>
      <c r="S246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247" spans="2:19">
      <c r="B247" s="24" t="s">
        <v>723</v>
      </c>
      <c r="C247" s="34" t="s">
        <v>1289</v>
      </c>
      <c r="D247" s="24">
        <v>1</v>
      </c>
      <c r="E247" s="24">
        <v>0</v>
      </c>
      <c r="F247" s="24" t="s">
        <v>151</v>
      </c>
      <c r="G247" s="24" t="s">
        <v>1169</v>
      </c>
      <c r="H247" s="24"/>
      <c r="I247" s="24"/>
      <c r="J247" s="24"/>
      <c r="K247" s="24"/>
      <c r="L247" s="24" t="s">
        <v>34</v>
      </c>
      <c r="M247" s="24" t="s">
        <v>448</v>
      </c>
      <c r="N247" s="24"/>
      <c r="O247" s="26">
        <f>GET_OK_GROUPS_COUNT(tbStoryEnemy[[#This Row],[Camp]],tbStoryEnemy[[#This Row],[Difficulty]],tbStoryEnemy[[#This Row],[IsBoss]],tbStoryEnemy[[#This Row],[Hero1]:[Soldier3]])</f>
        <v>5</v>
      </c>
      <c r="P247" s="24">
        <v>1</v>
      </c>
      <c r="Q247" s="25" t="s">
        <v>912</v>
      </c>
      <c r="R247" s="24"/>
      <c r="S247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248" spans="2:19">
      <c r="B248" s="24" t="s">
        <v>723</v>
      </c>
      <c r="C248" s="34" t="s">
        <v>1289</v>
      </c>
      <c r="D248" s="24">
        <v>2</v>
      </c>
      <c r="E248" s="24">
        <v>0</v>
      </c>
      <c r="F248" s="24" t="s">
        <v>151</v>
      </c>
      <c r="G248" s="24" t="s">
        <v>1126</v>
      </c>
      <c r="H248" s="24" t="b">
        <v>1</v>
      </c>
      <c r="I248" s="24" t="s">
        <v>24</v>
      </c>
      <c r="J248" s="24" t="s">
        <v>385</v>
      </c>
      <c r="K248" s="24"/>
      <c r="L248" s="24"/>
      <c r="M248" s="24"/>
      <c r="N248" s="24"/>
      <c r="O248" s="26">
        <f>GET_OK_GROUPS_COUNT(tbStoryEnemy[[#This Row],[Camp]],tbStoryEnemy[[#This Row],[Difficulty]],tbStoryEnemy[[#This Row],[IsBoss]],tbStoryEnemy[[#This Row],[Hero1]:[Soldier3]])</f>
        <v>1</v>
      </c>
      <c r="P248" s="24">
        <v>1</v>
      </c>
      <c r="Q248" s="25" t="s">
        <v>24</v>
      </c>
      <c r="R248" s="24"/>
      <c r="S248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249" spans="2:19">
      <c r="B249" s="24" t="s">
        <v>724</v>
      </c>
      <c r="C249" s="34" t="s">
        <v>1289</v>
      </c>
      <c r="D249" s="24">
        <v>1</v>
      </c>
      <c r="E249" s="24">
        <v>0</v>
      </c>
      <c r="F249" s="24" t="s">
        <v>151</v>
      </c>
      <c r="G249" s="24" t="s">
        <v>1338</v>
      </c>
      <c r="H249" s="24"/>
      <c r="I249" s="24"/>
      <c r="J249" s="24"/>
      <c r="K249" s="24"/>
      <c r="L249" s="24" t="s">
        <v>34</v>
      </c>
      <c r="M249" s="24"/>
      <c r="N249" s="24"/>
      <c r="O249" s="26">
        <f>GET_OK_GROUPS_COUNT(tbStoryEnemy[[#This Row],[Camp]],tbStoryEnemy[[#This Row],[Difficulty]],tbStoryEnemy[[#This Row],[IsBoss]],tbStoryEnemy[[#This Row],[Hero1]:[Soldier3]])</f>
        <v>5</v>
      </c>
      <c r="P249" s="24">
        <v>1</v>
      </c>
      <c r="Q249" s="25" t="s">
        <v>912</v>
      </c>
      <c r="R249" s="24"/>
      <c r="S249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250" spans="2:19">
      <c r="B250" s="24" t="s">
        <v>724</v>
      </c>
      <c r="C250" s="34" t="s">
        <v>1289</v>
      </c>
      <c r="D250" s="24">
        <v>2</v>
      </c>
      <c r="E250" s="24">
        <v>0</v>
      </c>
      <c r="F250" s="24" t="s">
        <v>151</v>
      </c>
      <c r="G250" s="24" t="s">
        <v>1169</v>
      </c>
      <c r="H250" s="24"/>
      <c r="I250" s="24" t="s">
        <v>380</v>
      </c>
      <c r="J250" s="24"/>
      <c r="K250" s="24"/>
      <c r="L250" s="24" t="s">
        <v>447</v>
      </c>
      <c r="M250" s="24"/>
      <c r="N250" s="24"/>
      <c r="O250" s="26">
        <f>GET_OK_GROUPS_COUNT(tbStoryEnemy[[#This Row],[Camp]],tbStoryEnemy[[#This Row],[Difficulty]],tbStoryEnemy[[#This Row],[IsBoss]],tbStoryEnemy[[#This Row],[Hero1]:[Soldier3]])</f>
        <v>1</v>
      </c>
      <c r="P250" s="24">
        <v>1</v>
      </c>
      <c r="Q250" s="25" t="s">
        <v>912</v>
      </c>
      <c r="R250" s="24"/>
      <c r="S250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51" spans="2:19">
      <c r="B251" s="24" t="s">
        <v>725</v>
      </c>
      <c r="C251" s="34" t="s">
        <v>1289</v>
      </c>
      <c r="D251" s="24">
        <v>1</v>
      </c>
      <c r="E251" s="24">
        <v>0</v>
      </c>
      <c r="F251" s="24" t="s">
        <v>151</v>
      </c>
      <c r="G251" s="24" t="s">
        <v>1169</v>
      </c>
      <c r="H251" s="24"/>
      <c r="I251" s="24"/>
      <c r="J251" s="24"/>
      <c r="K251" s="24"/>
      <c r="L251" s="24" t="s">
        <v>28</v>
      </c>
      <c r="M251" s="24"/>
      <c r="N251" s="24"/>
      <c r="O251" s="26">
        <f>GET_OK_GROUPS_COUNT(tbStoryEnemy[[#This Row],[Camp]],tbStoryEnemy[[#This Row],[Difficulty]],tbStoryEnemy[[#This Row],[IsBoss]],tbStoryEnemy[[#This Row],[Hero1]:[Soldier3]])</f>
        <v>9</v>
      </c>
      <c r="P251" s="24">
        <v>2</v>
      </c>
      <c r="Q251" s="25" t="s">
        <v>912</v>
      </c>
      <c r="R251" s="24"/>
      <c r="S251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252" spans="2:19">
      <c r="B252" s="24" t="s">
        <v>725</v>
      </c>
      <c r="C252" s="34" t="s">
        <v>1289</v>
      </c>
      <c r="D252" s="24">
        <v>2</v>
      </c>
      <c r="E252" s="24">
        <v>0</v>
      </c>
      <c r="F252" s="24" t="s">
        <v>151</v>
      </c>
      <c r="G252" s="24" t="s">
        <v>1169</v>
      </c>
      <c r="H252" s="24"/>
      <c r="I252" s="24" t="s">
        <v>382</v>
      </c>
      <c r="J252" s="24" t="s">
        <v>381</v>
      </c>
      <c r="K252" s="24"/>
      <c r="L252" s="24"/>
      <c r="M252" s="24"/>
      <c r="N252" s="24"/>
      <c r="O252" s="26">
        <f>GET_OK_GROUPS_COUNT(tbStoryEnemy[[#This Row],[Camp]],tbStoryEnemy[[#This Row],[Difficulty]],tbStoryEnemy[[#This Row],[IsBoss]],tbStoryEnemy[[#This Row],[Hero1]:[Soldier3]])</f>
        <v>1</v>
      </c>
      <c r="P252" s="24">
        <v>1</v>
      </c>
      <c r="Q252" s="25" t="s">
        <v>912</v>
      </c>
      <c r="R252" s="24"/>
      <c r="S252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253" spans="2:19">
      <c r="B253" s="24" t="s">
        <v>726</v>
      </c>
      <c r="C253" s="34" t="s">
        <v>1289</v>
      </c>
      <c r="D253" s="24">
        <v>1</v>
      </c>
      <c r="E253" s="24">
        <v>0</v>
      </c>
      <c r="F253" s="24" t="s">
        <v>151</v>
      </c>
      <c r="G253" s="24" t="s">
        <v>1169</v>
      </c>
      <c r="H253" s="24"/>
      <c r="I253" s="24"/>
      <c r="J253" s="24"/>
      <c r="K253" s="24"/>
      <c r="L253" s="24" t="s">
        <v>448</v>
      </c>
      <c r="M253" s="24"/>
      <c r="N253" s="24"/>
      <c r="O253" s="26">
        <f>GET_OK_GROUPS_COUNT(tbStoryEnemy[[#This Row],[Camp]],tbStoryEnemy[[#This Row],[Difficulty]],tbStoryEnemy[[#This Row],[IsBoss]],tbStoryEnemy[[#This Row],[Hero1]:[Soldier3]])</f>
        <v>10</v>
      </c>
      <c r="P253" s="24">
        <v>1</v>
      </c>
      <c r="Q253" s="25" t="s">
        <v>912</v>
      </c>
      <c r="R253" s="24"/>
      <c r="S253" s="26" t="str">
        <f>GET_OK_GROUP(tbStoryEnemy[[#This Row],[Camp]],tbStoryEnemy[[#This Row],[Difficulty]],tbStoryEnemy[[#This Row],[IsBoss]],tbStoryEnemy[[#This Row],[Hero1]:[Soldier3]],tbStoryEnemy[[#This Row],[GroupID]])</f>
        <v>三国-困难-刺兵</v>
      </c>
    </row>
    <row r="254" spans="2:19">
      <c r="B254" s="24" t="s">
        <v>726</v>
      </c>
      <c r="C254" s="34" t="s">
        <v>1289</v>
      </c>
      <c r="D254" s="24">
        <v>2</v>
      </c>
      <c r="E254" s="24">
        <v>0</v>
      </c>
      <c r="F254" s="24" t="s">
        <v>151</v>
      </c>
      <c r="G254" s="24" t="s">
        <v>1126</v>
      </c>
      <c r="H254" s="24" t="b">
        <v>1</v>
      </c>
      <c r="I254" s="24" t="s">
        <v>426</v>
      </c>
      <c r="J254" s="24" t="s">
        <v>384</v>
      </c>
      <c r="K254" s="24"/>
      <c r="L254" s="24"/>
      <c r="M254" s="24"/>
      <c r="N254" s="24"/>
      <c r="O254" s="26">
        <f>GET_OK_GROUPS_COUNT(tbStoryEnemy[[#This Row],[Camp]],tbStoryEnemy[[#This Row],[Difficulty]],tbStoryEnemy[[#This Row],[IsBoss]],tbStoryEnemy[[#This Row],[Hero1]:[Soldier3]])</f>
        <v>1</v>
      </c>
      <c r="P254" s="24">
        <v>1</v>
      </c>
      <c r="Q254" s="25" t="s">
        <v>426</v>
      </c>
      <c r="R254" s="24"/>
      <c r="S254" s="26" t="str">
        <f>GET_OK_GROUP(tbStoryEnemy[[#This Row],[Camp]],tbStoryEnemy[[#This Row],[Difficulty]],tbStoryEnemy[[#This Row],[IsBoss]],tbStoryEnemy[[#This Row],[Hero1]:[Soldier3]],tbStoryEnemy[[#This Row],[GroupID]])</f>
        <v>三国-超难-[B]铁英+法英</v>
      </c>
    </row>
    <row r="255" spans="2:19">
      <c r="B255" s="24" t="s">
        <v>727</v>
      </c>
      <c r="C255" s="34" t="s">
        <v>1289</v>
      </c>
      <c r="D255" s="24">
        <v>1</v>
      </c>
      <c r="E255" s="24">
        <v>0</v>
      </c>
      <c r="F255" s="24" t="s">
        <v>151</v>
      </c>
      <c r="G255" s="24" t="s">
        <v>1169</v>
      </c>
      <c r="H255" s="24"/>
      <c r="I255" s="24" t="s">
        <v>380</v>
      </c>
      <c r="J255" s="24"/>
      <c r="K255" s="24"/>
      <c r="L255" s="24" t="s">
        <v>28</v>
      </c>
      <c r="M255" s="24"/>
      <c r="N255" s="24"/>
      <c r="O255" s="26">
        <f>GET_OK_GROUPS_COUNT(tbStoryEnemy[[#This Row],[Camp]],tbStoryEnemy[[#This Row],[Difficulty]],tbStoryEnemy[[#This Row],[IsBoss]],tbStoryEnemy[[#This Row],[Hero1]:[Soldier3]])</f>
        <v>1</v>
      </c>
      <c r="P255" s="24">
        <v>1</v>
      </c>
      <c r="Q255" s="25" t="s">
        <v>912</v>
      </c>
      <c r="R255" s="24"/>
      <c r="S255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256" spans="2:19">
      <c r="B256" s="24" t="s">
        <v>727</v>
      </c>
      <c r="C256" s="34" t="s">
        <v>1289</v>
      </c>
      <c r="D256" s="24">
        <v>2</v>
      </c>
      <c r="E256" s="24">
        <v>0</v>
      </c>
      <c r="F256" s="24" t="s">
        <v>151</v>
      </c>
      <c r="G256" s="24" t="s">
        <v>1169</v>
      </c>
      <c r="H256" s="24"/>
      <c r="I256" s="24" t="s">
        <v>380</v>
      </c>
      <c r="J256" s="24" t="s">
        <v>381</v>
      </c>
      <c r="K256" s="24"/>
      <c r="L256" s="24"/>
      <c r="M256" s="24"/>
      <c r="N256" s="24"/>
      <c r="O256" s="26">
        <f>GET_OK_GROUPS_COUNT(tbStoryEnemy[[#This Row],[Camp]],tbStoryEnemy[[#This Row],[Difficulty]],tbStoryEnemy[[#This Row],[IsBoss]],tbStoryEnemy[[#This Row],[Hero1]:[Soldier3]])</f>
        <v>1</v>
      </c>
      <c r="P256" s="24">
        <v>1</v>
      </c>
      <c r="Q256" s="25" t="s">
        <v>912</v>
      </c>
      <c r="R256" s="24"/>
      <c r="S256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57" spans="2:19">
      <c r="B257" s="24" t="s">
        <v>728</v>
      </c>
      <c r="C257" s="34" t="s">
        <v>1289</v>
      </c>
      <c r="D257" s="24">
        <v>1</v>
      </c>
      <c r="E257" s="24">
        <v>0</v>
      </c>
      <c r="F257" s="24" t="s">
        <v>151</v>
      </c>
      <c r="G257" s="24" t="s">
        <v>1169</v>
      </c>
      <c r="H257" s="24"/>
      <c r="I257" s="24" t="s">
        <v>384</v>
      </c>
      <c r="J257" s="24"/>
      <c r="K257" s="24"/>
      <c r="L257" s="24" t="s">
        <v>34</v>
      </c>
      <c r="M257" s="24"/>
      <c r="N257" s="24"/>
      <c r="O257" s="26">
        <f>GET_OK_GROUPS_COUNT(tbStoryEnemy[[#This Row],[Camp]],tbStoryEnemy[[#This Row],[Difficulty]],tbStoryEnemy[[#This Row],[IsBoss]],tbStoryEnemy[[#This Row],[Hero1]:[Soldier3]])</f>
        <v>1</v>
      </c>
      <c r="P257" s="24">
        <v>1</v>
      </c>
      <c r="Q257" s="25" t="s">
        <v>912</v>
      </c>
      <c r="R257" s="24"/>
      <c r="S257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258" spans="2:19">
      <c r="B258" s="24" t="s">
        <v>728</v>
      </c>
      <c r="C258" s="34" t="s">
        <v>1289</v>
      </c>
      <c r="D258" s="24">
        <v>2</v>
      </c>
      <c r="E258" s="24">
        <v>0</v>
      </c>
      <c r="F258" s="24" t="s">
        <v>151</v>
      </c>
      <c r="G258" s="24" t="s">
        <v>1126</v>
      </c>
      <c r="H258" s="24"/>
      <c r="I258" s="24" t="s">
        <v>380</v>
      </c>
      <c r="J258" s="24" t="s">
        <v>385</v>
      </c>
      <c r="K258" s="24"/>
      <c r="L258" s="24"/>
      <c r="M258" s="24"/>
      <c r="N258" s="24"/>
      <c r="O258" s="26">
        <f>GET_OK_GROUPS_COUNT(tbStoryEnemy[[#This Row],[Camp]],tbStoryEnemy[[#This Row],[Difficulty]],tbStoryEnemy[[#This Row],[IsBoss]],tbStoryEnemy[[#This Row],[Hero1]:[Soldier3]])</f>
        <v>1</v>
      </c>
      <c r="P258" s="24">
        <v>1</v>
      </c>
      <c r="Q258" s="25" t="s">
        <v>912</v>
      </c>
      <c r="R258" s="24"/>
      <c r="S258" s="26" t="str">
        <f>GET_OK_GROUP(tbStoryEnemy[[#This Row],[Camp]],tbStoryEnemy[[#This Row],[Difficulty]],tbStoryEnemy[[#This Row],[IsBoss]],tbStoryEnemy[[#This Row],[Hero1]:[Soldier3]],tbStoryEnemy[[#This Row],[GroupID]])</f>
        <v>三国-超难-盾英+刺英</v>
      </c>
    </row>
    <row r="259" spans="2:19">
      <c r="B259" s="24" t="s">
        <v>729</v>
      </c>
      <c r="C259" s="34" t="s">
        <v>1289</v>
      </c>
      <c r="D259" s="24">
        <v>1</v>
      </c>
      <c r="E259" s="24">
        <v>0</v>
      </c>
      <c r="F259" s="24" t="s">
        <v>151</v>
      </c>
      <c r="G259" s="24" t="s">
        <v>1126</v>
      </c>
      <c r="H259" s="24"/>
      <c r="I259" s="34" t="s">
        <v>1178</v>
      </c>
      <c r="J259" s="34" t="s">
        <v>1178</v>
      </c>
      <c r="K259" s="24"/>
      <c r="L259" s="24"/>
      <c r="M259" s="24"/>
      <c r="N259" s="24"/>
      <c r="O259" s="26">
        <f>GET_OK_GROUPS_COUNT(tbStoryEnemy[[#This Row],[Camp]],tbStoryEnemy[[#This Row],[Difficulty]],tbStoryEnemy[[#This Row],[IsBoss]],tbStoryEnemy[[#This Row],[Hero1]:[Soldier3]])</f>
        <v>1</v>
      </c>
      <c r="P259" s="24">
        <v>1</v>
      </c>
      <c r="Q259" s="25" t="s">
        <v>912</v>
      </c>
      <c r="R259" s="24"/>
      <c r="S259" s="26" t="str">
        <f>GET_OK_GROUP(tbStoryEnemy[[#This Row],[Camp]],tbStoryEnemy[[#This Row],[Difficulty]],tbStoryEnemy[[#This Row],[IsBoss]],tbStoryEnemy[[#This Row],[Hero1]:[Soldier3]],tbStoryEnemy[[#This Row],[GroupID]])</f>
        <v>三国-超难-刺英+刺英</v>
      </c>
    </row>
    <row r="260" spans="2:19">
      <c r="B260" s="24" t="s">
        <v>729</v>
      </c>
      <c r="C260" s="34" t="s">
        <v>1289</v>
      </c>
      <c r="D260" s="24">
        <v>2</v>
      </c>
      <c r="E260" s="24">
        <v>0</v>
      </c>
      <c r="F260" s="24" t="s">
        <v>151</v>
      </c>
      <c r="G260" s="24" t="s">
        <v>1126</v>
      </c>
      <c r="H260" s="24" t="b">
        <v>1</v>
      </c>
      <c r="I260" s="24" t="s">
        <v>27</v>
      </c>
      <c r="J260" s="24" t="s">
        <v>384</v>
      </c>
      <c r="K260" s="24"/>
      <c r="L260" s="24"/>
      <c r="M260" s="24"/>
      <c r="N260" s="24"/>
      <c r="O260" s="26">
        <f>GET_OK_GROUPS_COUNT(tbStoryEnemy[[#This Row],[Camp]],tbStoryEnemy[[#This Row],[Difficulty]],tbStoryEnemy[[#This Row],[IsBoss]],tbStoryEnemy[[#This Row],[Hero1]:[Soldier3]])</f>
        <v>1</v>
      </c>
      <c r="P260" s="24">
        <v>1</v>
      </c>
      <c r="Q260" s="25" t="s">
        <v>27</v>
      </c>
      <c r="R260" s="24"/>
      <c r="S260" s="26" t="str">
        <f>GET_OK_GROUP(tbStoryEnemy[[#This Row],[Camp]],tbStoryEnemy[[#This Row],[Difficulty]],tbStoryEnemy[[#This Row],[IsBoss]],tbStoryEnemy[[#This Row],[Hero1]:[Soldier3]],tbStoryEnemy[[#This Row],[GroupID]])</f>
        <v>三国-超难-[B]法英+法英</v>
      </c>
    </row>
    <row r="261" spans="2:19">
      <c r="B261" s="24" t="s">
        <v>730</v>
      </c>
      <c r="C261" s="34" t="s">
        <v>1289</v>
      </c>
      <c r="D261" s="24">
        <v>1</v>
      </c>
      <c r="E261" s="24">
        <v>0</v>
      </c>
      <c r="F261" s="24" t="s">
        <v>151</v>
      </c>
      <c r="G261" s="24" t="s">
        <v>1338</v>
      </c>
      <c r="H261" s="24"/>
      <c r="I261" s="24"/>
      <c r="J261" s="24"/>
      <c r="K261" s="24"/>
      <c r="L261" s="24" t="s">
        <v>28</v>
      </c>
      <c r="M261" s="24"/>
      <c r="N261" s="24"/>
      <c r="O261" s="26">
        <f>GET_OK_GROUPS_COUNT(tbStoryEnemy[[#This Row],[Camp]],tbStoryEnemy[[#This Row],[Difficulty]],tbStoryEnemy[[#This Row],[IsBoss]],tbStoryEnemy[[#This Row],[Hero1]:[Soldier3]])</f>
        <v>3</v>
      </c>
      <c r="P261" s="24">
        <v>2</v>
      </c>
      <c r="Q261" s="25" t="s">
        <v>912</v>
      </c>
      <c r="R261" s="24"/>
      <c r="S261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262" spans="2:19">
      <c r="B262" s="24" t="s">
        <v>730</v>
      </c>
      <c r="C262" s="34" t="s">
        <v>1289</v>
      </c>
      <c r="D262" s="24">
        <v>2</v>
      </c>
      <c r="E262" s="24">
        <v>0</v>
      </c>
      <c r="F262" s="24" t="s">
        <v>151</v>
      </c>
      <c r="G262" s="24" t="s">
        <v>1169</v>
      </c>
      <c r="H262" s="24"/>
      <c r="I262" s="24" t="s">
        <v>382</v>
      </c>
      <c r="J262" s="24" t="s">
        <v>384</v>
      </c>
      <c r="K262" s="24"/>
      <c r="L262" s="24"/>
      <c r="M262" s="24"/>
      <c r="N262" s="24"/>
      <c r="O262" s="26">
        <f>GET_OK_GROUPS_COUNT(tbStoryEnemy[[#This Row],[Camp]],tbStoryEnemy[[#This Row],[Difficulty]],tbStoryEnemy[[#This Row],[IsBoss]],tbStoryEnemy[[#This Row],[Hero1]:[Soldier3]])</f>
        <v>1</v>
      </c>
      <c r="P262" s="24">
        <v>1</v>
      </c>
      <c r="Q262" s="25" t="s">
        <v>912</v>
      </c>
      <c r="R262" s="24"/>
      <c r="S262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263" spans="2:19">
      <c r="B263" s="24" t="s">
        <v>731</v>
      </c>
      <c r="C263" s="34" t="s">
        <v>1289</v>
      </c>
      <c r="D263" s="24">
        <v>1</v>
      </c>
      <c r="E263" s="24">
        <v>0</v>
      </c>
      <c r="F263" s="24" t="s">
        <v>151</v>
      </c>
      <c r="G263" s="24" t="s">
        <v>1338</v>
      </c>
      <c r="H263" s="24"/>
      <c r="I263" s="24"/>
      <c r="J263" s="24"/>
      <c r="K263" s="24"/>
      <c r="L263" s="24" t="s">
        <v>448</v>
      </c>
      <c r="M263" s="24"/>
      <c r="N263" s="24"/>
      <c r="O263" s="26">
        <f>GET_OK_GROUPS_COUNT(tbStoryEnemy[[#This Row],[Camp]],tbStoryEnemy[[#This Row],[Difficulty]],tbStoryEnemy[[#This Row],[IsBoss]],tbStoryEnemy[[#This Row],[Hero1]:[Soldier3]])</f>
        <v>3</v>
      </c>
      <c r="P263" s="24">
        <v>1</v>
      </c>
      <c r="Q263" s="25" t="s">
        <v>912</v>
      </c>
      <c r="R263" s="24"/>
      <c r="S263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264" spans="2:19">
      <c r="B264" s="24" t="s">
        <v>731</v>
      </c>
      <c r="C264" s="34" t="s">
        <v>1289</v>
      </c>
      <c r="D264" s="24">
        <v>2</v>
      </c>
      <c r="E264" s="24">
        <v>0</v>
      </c>
      <c r="F264" s="24" t="s">
        <v>151</v>
      </c>
      <c r="G264" s="24" t="s">
        <v>1169</v>
      </c>
      <c r="H264" s="24"/>
      <c r="I264" s="24" t="s">
        <v>382</v>
      </c>
      <c r="J264" s="24"/>
      <c r="K264" s="24"/>
      <c r="L264" s="24" t="s">
        <v>447</v>
      </c>
      <c r="M264" s="24"/>
      <c r="N264" s="24"/>
      <c r="O264" s="26">
        <f>GET_OK_GROUPS_COUNT(tbStoryEnemy[[#This Row],[Camp]],tbStoryEnemy[[#This Row],[Difficulty]],tbStoryEnemy[[#This Row],[IsBoss]],tbStoryEnemy[[#This Row],[Hero1]:[Soldier3]])</f>
        <v>1</v>
      </c>
      <c r="P264" s="24">
        <v>1</v>
      </c>
      <c r="Q264" s="25" t="s">
        <v>912</v>
      </c>
      <c r="R264" s="24"/>
      <c r="S264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265" spans="2:19">
      <c r="B265" s="24" t="s">
        <v>732</v>
      </c>
      <c r="C265" s="34" t="s">
        <v>1289</v>
      </c>
      <c r="D265" s="24">
        <v>1</v>
      </c>
      <c r="E265" s="24">
        <v>0</v>
      </c>
      <c r="F265" s="24" t="s">
        <v>151</v>
      </c>
      <c r="G265" s="24" t="s">
        <v>1169</v>
      </c>
      <c r="H265" s="24"/>
      <c r="I265" s="24"/>
      <c r="J265" s="24"/>
      <c r="K265" s="24"/>
      <c r="L265" s="24" t="s">
        <v>26</v>
      </c>
      <c r="M265" s="24"/>
      <c r="N265" s="24"/>
      <c r="O265" s="26">
        <f>GET_OK_GROUPS_COUNT(tbStoryEnemy[[#This Row],[Camp]],tbStoryEnemy[[#This Row],[Difficulty]],tbStoryEnemy[[#This Row],[IsBoss]],tbStoryEnemy[[#This Row],[Hero1]:[Soldier3]])</f>
        <v>9</v>
      </c>
      <c r="P265" s="24">
        <v>2</v>
      </c>
      <c r="Q265" s="25" t="s">
        <v>912</v>
      </c>
      <c r="R265" s="24"/>
      <c r="S265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266" spans="2:19">
      <c r="B266" s="24" t="s">
        <v>732</v>
      </c>
      <c r="C266" s="34" t="s">
        <v>1289</v>
      </c>
      <c r="D266" s="24">
        <v>2</v>
      </c>
      <c r="E266" s="24">
        <v>0</v>
      </c>
      <c r="F266" s="24" t="s">
        <v>151</v>
      </c>
      <c r="G266" s="24" t="s">
        <v>1169</v>
      </c>
      <c r="H266" s="24" t="b">
        <v>1</v>
      </c>
      <c r="I266" s="24" t="s">
        <v>433</v>
      </c>
      <c r="J266" s="24" t="s">
        <v>381</v>
      </c>
      <c r="K266" s="24"/>
      <c r="L266" s="24"/>
      <c r="M266" s="24"/>
      <c r="N266" s="24"/>
      <c r="O266" s="26">
        <f>GET_OK_GROUPS_COUNT(tbStoryEnemy[[#This Row],[Camp]],tbStoryEnemy[[#This Row],[Difficulty]],tbStoryEnemy[[#This Row],[IsBoss]],tbStoryEnemy[[#This Row],[Hero1]:[Soldier3]])</f>
        <v>1</v>
      </c>
      <c r="P266" s="24">
        <v>1</v>
      </c>
      <c r="Q266" s="25" t="s">
        <v>433</v>
      </c>
      <c r="R266" s="24"/>
      <c r="S266" s="26" t="str">
        <f>GET_OK_GROUP(tbStoryEnemy[[#This Row],[Camp]],tbStoryEnemy[[#This Row],[Difficulty]],tbStoryEnemy[[#This Row],[IsBoss]],tbStoryEnemy[[#This Row],[Hero1]:[Soldier3]],tbStoryEnemy[[#This Row],[GroupID]])</f>
        <v>三国-困难-[B]强英+炼英</v>
      </c>
    </row>
    <row r="267" spans="2:19">
      <c r="B267" s="24" t="s">
        <v>733</v>
      </c>
      <c r="C267" s="34" t="s">
        <v>1289</v>
      </c>
      <c r="D267" s="24">
        <v>1</v>
      </c>
      <c r="E267" s="24">
        <v>0</v>
      </c>
      <c r="F267" s="24" t="s">
        <v>151</v>
      </c>
      <c r="G267" s="24" t="s">
        <v>1338</v>
      </c>
      <c r="H267" s="24"/>
      <c r="I267" s="24"/>
      <c r="J267" s="24"/>
      <c r="K267" s="24"/>
      <c r="L267" s="24" t="s">
        <v>25</v>
      </c>
      <c r="M267" s="24"/>
      <c r="N267" s="24"/>
      <c r="O267" s="26">
        <f>GET_OK_GROUPS_COUNT(tbStoryEnemy[[#This Row],[Camp]],tbStoryEnemy[[#This Row],[Difficulty]],tbStoryEnemy[[#This Row],[IsBoss]],tbStoryEnemy[[#This Row],[Hero1]:[Soldier3]])</f>
        <v>5</v>
      </c>
      <c r="P267" s="24">
        <v>1</v>
      </c>
      <c r="Q267" s="25" t="s">
        <v>912</v>
      </c>
      <c r="R267" s="24"/>
      <c r="S267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268" spans="2:19">
      <c r="B268" s="24" t="s">
        <v>733</v>
      </c>
      <c r="C268" s="34" t="s">
        <v>1289</v>
      </c>
      <c r="D268" s="24">
        <v>2</v>
      </c>
      <c r="E268" s="24">
        <v>0</v>
      </c>
      <c r="F268" s="24" t="s">
        <v>151</v>
      </c>
      <c r="G268" s="24" t="s">
        <v>1169</v>
      </c>
      <c r="H268" s="24"/>
      <c r="I268" s="24" t="s">
        <v>380</v>
      </c>
      <c r="J268" s="24" t="s">
        <v>382</v>
      </c>
      <c r="K268" s="24"/>
      <c r="L268" s="24"/>
      <c r="M268" s="24"/>
      <c r="N268" s="24"/>
      <c r="O268" s="26">
        <f>GET_OK_GROUPS_COUNT(tbStoryEnemy[[#This Row],[Camp]],tbStoryEnemy[[#This Row],[Difficulty]],tbStoryEnemy[[#This Row],[IsBoss]],tbStoryEnemy[[#This Row],[Hero1]:[Soldier3]])</f>
        <v>1</v>
      </c>
      <c r="P268" s="24">
        <v>1</v>
      </c>
      <c r="Q268" s="25" t="s">
        <v>912</v>
      </c>
      <c r="R268" s="24"/>
      <c r="S268" s="26" t="str">
        <f>GET_OK_GROUP(tbStoryEnemy[[#This Row],[Camp]],tbStoryEnemy[[#This Row],[Difficulty]],tbStoryEnemy[[#This Row],[IsBoss]],tbStoryEnemy[[#This Row],[Hero1]:[Soldier3]],tbStoryEnemy[[#This Row],[GroupID]])</f>
        <v>三国-困难-铁英+盾英</v>
      </c>
    </row>
    <row r="269" spans="2:19">
      <c r="B269" s="24" t="s">
        <v>734</v>
      </c>
      <c r="C269" s="34" t="s">
        <v>1289</v>
      </c>
      <c r="D269" s="24">
        <v>1</v>
      </c>
      <c r="E269" s="24">
        <v>0</v>
      </c>
      <c r="F269" s="24" t="s">
        <v>151</v>
      </c>
      <c r="G269" s="24" t="s">
        <v>1169</v>
      </c>
      <c r="H269" s="24"/>
      <c r="I269" s="24" t="s">
        <v>380</v>
      </c>
      <c r="J269" s="24"/>
      <c r="K269" s="24"/>
      <c r="L269" s="24"/>
      <c r="M269" s="24"/>
      <c r="N269" s="24"/>
      <c r="O269" s="26">
        <f>GET_OK_GROUPS_COUNT(tbStoryEnemy[[#This Row],[Camp]],tbStoryEnemy[[#This Row],[Difficulty]],tbStoryEnemy[[#This Row],[IsBoss]],tbStoryEnemy[[#This Row],[Hero1]:[Soldier3]])</f>
        <v>4</v>
      </c>
      <c r="P269" s="24">
        <v>2</v>
      </c>
      <c r="Q269" s="25" t="s">
        <v>912</v>
      </c>
      <c r="R269" s="24"/>
      <c r="S269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70" spans="2:19">
      <c r="B270" s="24" t="s">
        <v>734</v>
      </c>
      <c r="C270" s="34" t="s">
        <v>1289</v>
      </c>
      <c r="D270" s="24">
        <v>2</v>
      </c>
      <c r="E270" s="24">
        <v>0</v>
      </c>
      <c r="F270" s="24" t="s">
        <v>151</v>
      </c>
      <c r="G270" s="24" t="s">
        <v>1169</v>
      </c>
      <c r="H270" s="24"/>
      <c r="I270" s="24" t="s">
        <v>383</v>
      </c>
      <c r="J270" s="24"/>
      <c r="K270" s="24"/>
      <c r="L270" s="24" t="s">
        <v>34</v>
      </c>
      <c r="M270" s="24"/>
      <c r="N270" s="24"/>
      <c r="O270" s="26">
        <f>GET_OK_GROUPS_COUNT(tbStoryEnemy[[#This Row],[Camp]],tbStoryEnemy[[#This Row],[Difficulty]],tbStoryEnemy[[#This Row],[IsBoss]],tbStoryEnemy[[#This Row],[Hero1]:[Soldier3]])</f>
        <v>1</v>
      </c>
      <c r="P270" s="24">
        <v>1</v>
      </c>
      <c r="Q270" s="25" t="s">
        <v>912</v>
      </c>
      <c r="R270" s="24"/>
      <c r="S270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271" spans="2:19">
      <c r="B271" s="24" t="s">
        <v>735</v>
      </c>
      <c r="C271" s="34" t="s">
        <v>1289</v>
      </c>
      <c r="D271" s="24">
        <v>1</v>
      </c>
      <c r="E271" s="24">
        <v>0</v>
      </c>
      <c r="F271" s="24" t="s">
        <v>151</v>
      </c>
      <c r="G271" s="24" t="s">
        <v>1169</v>
      </c>
      <c r="H271" s="24"/>
      <c r="I271" s="24"/>
      <c r="J271" s="24"/>
      <c r="K271" s="24"/>
      <c r="L271" s="24" t="s">
        <v>34</v>
      </c>
      <c r="M271" s="24" t="s">
        <v>28</v>
      </c>
      <c r="N271" s="24"/>
      <c r="O271" s="26">
        <f>GET_OK_GROUPS_COUNT(tbStoryEnemy[[#This Row],[Camp]],tbStoryEnemy[[#This Row],[Difficulty]],tbStoryEnemy[[#This Row],[IsBoss]],tbStoryEnemy[[#This Row],[Hero1]:[Soldier3]])</f>
        <v>5</v>
      </c>
      <c r="P271" s="24">
        <v>1</v>
      </c>
      <c r="Q271" s="25" t="s">
        <v>912</v>
      </c>
      <c r="R271" s="24"/>
      <c r="S271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272" spans="2:19">
      <c r="B272" s="24" t="s">
        <v>735</v>
      </c>
      <c r="C272" s="34" t="s">
        <v>1289</v>
      </c>
      <c r="D272" s="24">
        <v>2</v>
      </c>
      <c r="E272" s="24">
        <v>0</v>
      </c>
      <c r="F272" s="24" t="s">
        <v>151</v>
      </c>
      <c r="G272" s="24" t="s">
        <v>1126</v>
      </c>
      <c r="H272" s="24" t="b">
        <v>1</v>
      </c>
      <c r="I272" s="24" t="s">
        <v>24</v>
      </c>
      <c r="J272" s="24" t="s">
        <v>385</v>
      </c>
      <c r="K272" s="24"/>
      <c r="L272" s="24"/>
      <c r="M272" s="24"/>
      <c r="N272" s="24"/>
      <c r="O272" s="26">
        <f>GET_OK_GROUPS_COUNT(tbStoryEnemy[[#This Row],[Camp]],tbStoryEnemy[[#This Row],[Difficulty]],tbStoryEnemy[[#This Row],[IsBoss]],tbStoryEnemy[[#This Row],[Hero1]:[Soldier3]])</f>
        <v>1</v>
      </c>
      <c r="P272" s="24">
        <v>1</v>
      </c>
      <c r="Q272" s="25" t="s">
        <v>24</v>
      </c>
      <c r="R272" s="24"/>
      <c r="S272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273" spans="2:19">
      <c r="B273" s="24" t="s">
        <v>736</v>
      </c>
      <c r="C273" s="34" t="s">
        <v>1289</v>
      </c>
      <c r="D273" s="24">
        <v>1</v>
      </c>
      <c r="E273" s="24">
        <v>0</v>
      </c>
      <c r="F273" s="24" t="s">
        <v>151</v>
      </c>
      <c r="G273" s="24" t="s">
        <v>1338</v>
      </c>
      <c r="H273" s="24"/>
      <c r="I273" s="24"/>
      <c r="J273" s="24"/>
      <c r="K273" s="24"/>
      <c r="L273" s="24" t="s">
        <v>34</v>
      </c>
      <c r="M273" s="24"/>
      <c r="N273" s="24"/>
      <c r="O273" s="26">
        <f>GET_OK_GROUPS_COUNT(tbStoryEnemy[[#This Row],[Camp]],tbStoryEnemy[[#This Row],[Difficulty]],tbStoryEnemy[[#This Row],[IsBoss]],tbStoryEnemy[[#This Row],[Hero1]:[Soldier3]])</f>
        <v>5</v>
      </c>
      <c r="P273" s="24">
        <v>1</v>
      </c>
      <c r="Q273" s="25" t="s">
        <v>912</v>
      </c>
      <c r="R273" s="24"/>
      <c r="S273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274" spans="2:19">
      <c r="B274" s="24" t="s">
        <v>736</v>
      </c>
      <c r="C274" s="34" t="s">
        <v>1289</v>
      </c>
      <c r="D274" s="24">
        <v>2</v>
      </c>
      <c r="E274" s="24">
        <v>0</v>
      </c>
      <c r="F274" s="24" t="s">
        <v>151</v>
      </c>
      <c r="G274" s="24" t="s">
        <v>1169</v>
      </c>
      <c r="H274" s="24"/>
      <c r="I274" s="24" t="s">
        <v>382</v>
      </c>
      <c r="J274" s="24" t="s">
        <v>384</v>
      </c>
      <c r="K274" s="24"/>
      <c r="L274" s="24"/>
      <c r="M274" s="24"/>
      <c r="N274" s="24"/>
      <c r="O274" s="26">
        <f>GET_OK_GROUPS_COUNT(tbStoryEnemy[[#This Row],[Camp]],tbStoryEnemy[[#This Row],[Difficulty]],tbStoryEnemy[[#This Row],[IsBoss]],tbStoryEnemy[[#This Row],[Hero1]:[Soldier3]])</f>
        <v>1</v>
      </c>
      <c r="P274" s="24">
        <v>1</v>
      </c>
      <c r="Q274" s="25" t="s">
        <v>912</v>
      </c>
      <c r="R274" s="24"/>
      <c r="S274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275" spans="2:19">
      <c r="B275" s="24" t="s">
        <v>737</v>
      </c>
      <c r="C275" s="34" t="s">
        <v>1289</v>
      </c>
      <c r="D275" s="24">
        <v>1</v>
      </c>
      <c r="E275" s="24">
        <v>0</v>
      </c>
      <c r="F275" s="24" t="s">
        <v>151</v>
      </c>
      <c r="G275" s="24" t="s">
        <v>1338</v>
      </c>
      <c r="H275" s="24"/>
      <c r="I275" s="24"/>
      <c r="J275" s="24"/>
      <c r="K275" s="24"/>
      <c r="L275" s="24" t="s">
        <v>447</v>
      </c>
      <c r="M275" s="24"/>
      <c r="N275" s="24"/>
      <c r="O275" s="26">
        <f>GET_OK_GROUPS_COUNT(tbStoryEnemy[[#This Row],[Camp]],tbStoryEnemy[[#This Row],[Difficulty]],tbStoryEnemy[[#This Row],[IsBoss]],tbStoryEnemy[[#This Row],[Hero1]:[Soldier3]])</f>
        <v>3</v>
      </c>
      <c r="P275" s="24">
        <v>3</v>
      </c>
      <c r="Q275" s="25" t="s">
        <v>912</v>
      </c>
      <c r="R275" s="24"/>
      <c r="S275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276" spans="2:19">
      <c r="B276" s="24" t="s">
        <v>737</v>
      </c>
      <c r="C276" s="34" t="s">
        <v>1289</v>
      </c>
      <c r="D276" s="24">
        <v>2</v>
      </c>
      <c r="E276" s="24">
        <v>0</v>
      </c>
      <c r="F276" s="24" t="s">
        <v>151</v>
      </c>
      <c r="G276" s="24" t="s">
        <v>1169</v>
      </c>
      <c r="H276" s="24"/>
      <c r="I276" s="24" t="s">
        <v>382</v>
      </c>
      <c r="J276" s="24" t="s">
        <v>382</v>
      </c>
      <c r="K276" s="24"/>
      <c r="L276" s="24"/>
      <c r="M276" s="24"/>
      <c r="N276" s="24"/>
      <c r="O276" s="26">
        <f>GET_OK_GROUPS_COUNT(tbStoryEnemy[[#This Row],[Camp]],tbStoryEnemy[[#This Row],[Difficulty]],tbStoryEnemy[[#This Row],[IsBoss]],tbStoryEnemy[[#This Row],[Hero1]:[Soldier3]])</f>
        <v>1</v>
      </c>
      <c r="P276" s="24">
        <v>1</v>
      </c>
      <c r="Q276" s="25" t="s">
        <v>912</v>
      </c>
      <c r="R276" s="24"/>
      <c r="S276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277" spans="2:19">
      <c r="B277" s="24" t="s">
        <v>738</v>
      </c>
      <c r="C277" s="34" t="s">
        <v>1289</v>
      </c>
      <c r="D277" s="24">
        <v>1</v>
      </c>
      <c r="E277" s="24">
        <v>0</v>
      </c>
      <c r="F277" s="24" t="s">
        <v>151</v>
      </c>
      <c r="G277" s="24" t="s">
        <v>1169</v>
      </c>
      <c r="H277" s="24"/>
      <c r="I277" s="24" t="s">
        <v>382</v>
      </c>
      <c r="J277" s="24"/>
      <c r="K277" s="24"/>
      <c r="L277" s="24" t="s">
        <v>26</v>
      </c>
      <c r="M277" s="24"/>
      <c r="N277" s="24"/>
      <c r="O277" s="26">
        <f>GET_OK_GROUPS_COUNT(tbStoryEnemy[[#This Row],[Camp]],tbStoryEnemy[[#This Row],[Difficulty]],tbStoryEnemy[[#This Row],[IsBoss]],tbStoryEnemy[[#This Row],[Hero1]:[Soldier3]])</f>
        <v>1</v>
      </c>
      <c r="P277" s="24">
        <v>1</v>
      </c>
      <c r="Q277" s="25" t="s">
        <v>912</v>
      </c>
      <c r="R277" s="24"/>
      <c r="S277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78" spans="2:19">
      <c r="B278" s="24" t="s">
        <v>738</v>
      </c>
      <c r="C278" s="34" t="s">
        <v>1289</v>
      </c>
      <c r="D278" s="24">
        <v>2</v>
      </c>
      <c r="E278" s="24">
        <v>0</v>
      </c>
      <c r="F278" s="24" t="s">
        <v>151</v>
      </c>
      <c r="G278" s="24" t="s">
        <v>1169</v>
      </c>
      <c r="H278" s="24" t="b">
        <v>1</v>
      </c>
      <c r="I278" s="24" t="s">
        <v>354</v>
      </c>
      <c r="J278" s="24" t="s">
        <v>383</v>
      </c>
      <c r="K278" s="24"/>
      <c r="L278" s="24"/>
      <c r="M278" s="24"/>
      <c r="N278" s="24"/>
      <c r="O278" s="26">
        <f>GET_OK_GROUPS_COUNT(tbStoryEnemy[[#This Row],[Camp]],tbStoryEnemy[[#This Row],[Difficulty]],tbStoryEnemy[[#This Row],[IsBoss]],tbStoryEnemy[[#This Row],[Hero1]:[Soldier3]])</f>
        <v>1</v>
      </c>
      <c r="P278" s="24">
        <v>1</v>
      </c>
      <c r="Q278" s="25" t="s">
        <v>354</v>
      </c>
      <c r="R278" s="24"/>
      <c r="S278" s="26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279" spans="2:19">
      <c r="B279" s="24" t="s">
        <v>739</v>
      </c>
      <c r="C279" s="34" t="s">
        <v>1289</v>
      </c>
      <c r="D279" s="24">
        <v>1</v>
      </c>
      <c r="E279" s="24">
        <v>0</v>
      </c>
      <c r="F279" s="24" t="s">
        <v>151</v>
      </c>
      <c r="G279" s="24" t="s">
        <v>1338</v>
      </c>
      <c r="H279" s="24"/>
      <c r="I279" s="24"/>
      <c r="J279" s="24"/>
      <c r="K279" s="24"/>
      <c r="L279" s="24" t="s">
        <v>34</v>
      </c>
      <c r="M279" s="24"/>
      <c r="N279" s="24"/>
      <c r="O279" s="26">
        <f>GET_OK_GROUPS_COUNT(tbStoryEnemy[[#This Row],[Camp]],tbStoryEnemy[[#This Row],[Difficulty]],tbStoryEnemy[[#This Row],[IsBoss]],tbStoryEnemy[[#This Row],[Hero1]:[Soldier3]])</f>
        <v>5</v>
      </c>
      <c r="P279" s="24">
        <v>3</v>
      </c>
      <c r="Q279" s="25" t="s">
        <v>912</v>
      </c>
      <c r="R279" s="24"/>
      <c r="S279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80" spans="2:19">
      <c r="B280" s="24" t="s">
        <v>739</v>
      </c>
      <c r="C280" s="34" t="s">
        <v>1289</v>
      </c>
      <c r="D280" s="24">
        <v>2</v>
      </c>
      <c r="E280" s="24">
        <v>0</v>
      </c>
      <c r="F280" s="24" t="s">
        <v>151</v>
      </c>
      <c r="G280" s="24" t="s">
        <v>1169</v>
      </c>
      <c r="H280" s="24"/>
      <c r="I280" s="24" t="s">
        <v>382</v>
      </c>
      <c r="J280" s="24" t="s">
        <v>382</v>
      </c>
      <c r="K280" s="24"/>
      <c r="L280" s="24"/>
      <c r="M280" s="24"/>
      <c r="N280" s="24"/>
      <c r="O280" s="26">
        <f>GET_OK_GROUPS_COUNT(tbStoryEnemy[[#This Row],[Camp]],tbStoryEnemy[[#This Row],[Difficulty]],tbStoryEnemy[[#This Row],[IsBoss]],tbStoryEnemy[[#This Row],[Hero1]:[Soldier3]])</f>
        <v>1</v>
      </c>
      <c r="P280" s="24">
        <v>1</v>
      </c>
      <c r="Q280" s="25" t="s">
        <v>912</v>
      </c>
      <c r="R280" s="24"/>
      <c r="S280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281" spans="2:19">
      <c r="B281" s="24" t="s">
        <v>740</v>
      </c>
      <c r="C281" s="34" t="s">
        <v>1289</v>
      </c>
      <c r="D281" s="24">
        <v>1</v>
      </c>
      <c r="E281" s="24">
        <v>0</v>
      </c>
      <c r="F281" s="24" t="s">
        <v>151</v>
      </c>
      <c r="G281" s="24" t="s">
        <v>1169</v>
      </c>
      <c r="H281" s="24"/>
      <c r="I281" s="24"/>
      <c r="J281" s="24"/>
      <c r="K281" s="24"/>
      <c r="L281" s="24" t="s">
        <v>34</v>
      </c>
      <c r="M281" s="24" t="s">
        <v>448</v>
      </c>
      <c r="N281" s="24"/>
      <c r="O281" s="26">
        <f>GET_OK_GROUPS_COUNT(tbStoryEnemy[[#This Row],[Camp]],tbStoryEnemy[[#This Row],[Difficulty]],tbStoryEnemy[[#This Row],[IsBoss]],tbStoryEnemy[[#This Row],[Hero1]:[Soldier3]])</f>
        <v>5</v>
      </c>
      <c r="P281" s="24">
        <v>1</v>
      </c>
      <c r="Q281" s="25" t="s">
        <v>912</v>
      </c>
      <c r="R281" s="24"/>
      <c r="S281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282" spans="2:19">
      <c r="B282" s="24" t="s">
        <v>740</v>
      </c>
      <c r="C282" s="34" t="s">
        <v>1289</v>
      </c>
      <c r="D282" s="24">
        <v>2</v>
      </c>
      <c r="E282" s="24">
        <v>0</v>
      </c>
      <c r="F282" s="24" t="s">
        <v>151</v>
      </c>
      <c r="G282" s="24" t="s">
        <v>1169</v>
      </c>
      <c r="H282" s="24"/>
      <c r="I282" s="24" t="s">
        <v>384</v>
      </c>
      <c r="J282" s="24"/>
      <c r="K282" s="24"/>
      <c r="L282" s="24" t="s">
        <v>34</v>
      </c>
      <c r="M282" s="24"/>
      <c r="N282" s="24"/>
      <c r="O282" s="26">
        <f>GET_OK_GROUPS_COUNT(tbStoryEnemy[[#This Row],[Camp]],tbStoryEnemy[[#This Row],[Difficulty]],tbStoryEnemy[[#This Row],[IsBoss]],tbStoryEnemy[[#This Row],[Hero1]:[Soldier3]])</f>
        <v>1</v>
      </c>
      <c r="P282" s="24">
        <v>1</v>
      </c>
      <c r="Q282" s="25" t="s">
        <v>912</v>
      </c>
      <c r="R282" s="24"/>
      <c r="S282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283" spans="2:19">
      <c r="B283" s="24" t="s">
        <v>741</v>
      </c>
      <c r="C283" s="34" t="s">
        <v>1289</v>
      </c>
      <c r="D283" s="24">
        <v>1</v>
      </c>
      <c r="E283" s="24">
        <v>0</v>
      </c>
      <c r="F283" s="24" t="s">
        <v>151</v>
      </c>
      <c r="G283" s="24" t="s">
        <v>1169</v>
      </c>
      <c r="H283" s="24"/>
      <c r="I283" s="24"/>
      <c r="J283" s="24"/>
      <c r="K283" s="24"/>
      <c r="L283" s="24" t="s">
        <v>25</v>
      </c>
      <c r="M283" s="24"/>
      <c r="N283" s="24"/>
      <c r="O283" s="26">
        <f>GET_OK_GROUPS_COUNT(tbStoryEnemy[[#This Row],[Camp]],tbStoryEnemy[[#This Row],[Difficulty]],tbStoryEnemy[[#This Row],[IsBoss]],tbStoryEnemy[[#This Row],[Hero1]:[Soldier3]])</f>
        <v>14</v>
      </c>
      <c r="P283" s="24">
        <v>2</v>
      </c>
      <c r="Q283" s="25" t="s">
        <v>912</v>
      </c>
      <c r="R283" s="24"/>
      <c r="S283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284" spans="2:19">
      <c r="B284" s="24" t="s">
        <v>741</v>
      </c>
      <c r="C284" s="34" t="s">
        <v>1289</v>
      </c>
      <c r="D284" s="24">
        <v>2</v>
      </c>
      <c r="E284" s="24">
        <v>0</v>
      </c>
      <c r="F284" s="24" t="s">
        <v>151</v>
      </c>
      <c r="G284" s="24" t="s">
        <v>1126</v>
      </c>
      <c r="H284" s="24" t="b">
        <v>1</v>
      </c>
      <c r="I284" s="24" t="s">
        <v>350</v>
      </c>
      <c r="J284" s="24" t="s">
        <v>383</v>
      </c>
      <c r="K284" s="24"/>
      <c r="L284" s="24"/>
      <c r="M284" s="24"/>
      <c r="N284" s="24"/>
      <c r="O284" s="26">
        <f>GET_OK_GROUPS_COUNT(tbStoryEnemy[[#This Row],[Camp]],tbStoryEnemy[[#This Row],[Difficulty]],tbStoryEnemy[[#This Row],[IsBoss]],tbStoryEnemy[[#This Row],[Hero1]:[Soldier3]])</f>
        <v>1</v>
      </c>
      <c r="P284" s="24">
        <v>1</v>
      </c>
      <c r="Q284" s="25" t="s">
        <v>350</v>
      </c>
      <c r="R284" s="24"/>
      <c r="S284" s="26" t="str">
        <f>GET_OK_GROUP(tbStoryEnemy[[#This Row],[Camp]],tbStoryEnemy[[#This Row],[Difficulty]],tbStoryEnemy[[#This Row],[IsBoss]],tbStoryEnemy[[#This Row],[Hero1]:[Soldier3]],tbStoryEnemy[[#This Row],[GroupID]])</f>
        <v>三国-超难-[B]炼英+刺英</v>
      </c>
    </row>
    <row r="285" spans="2:19">
      <c r="B285" s="24" t="s">
        <v>742</v>
      </c>
      <c r="C285" s="34" t="s">
        <v>1289</v>
      </c>
      <c r="D285" s="24">
        <v>1</v>
      </c>
      <c r="E285" s="24">
        <v>0</v>
      </c>
      <c r="F285" s="24" t="s">
        <v>151</v>
      </c>
      <c r="G285" s="24" t="s">
        <v>1338</v>
      </c>
      <c r="H285" s="24"/>
      <c r="I285" s="24"/>
      <c r="J285" s="24"/>
      <c r="K285" s="24"/>
      <c r="L285" s="24" t="s">
        <v>28</v>
      </c>
      <c r="M285" s="24"/>
      <c r="N285" s="24"/>
      <c r="O285" s="26">
        <f>GET_OK_GROUPS_COUNT(tbStoryEnemy[[#This Row],[Camp]],tbStoryEnemy[[#This Row],[Difficulty]],tbStoryEnemy[[#This Row],[IsBoss]],tbStoryEnemy[[#This Row],[Hero1]:[Soldier3]])</f>
        <v>3</v>
      </c>
      <c r="P285" s="24">
        <v>2</v>
      </c>
      <c r="Q285" s="25" t="s">
        <v>912</v>
      </c>
      <c r="R285" s="24"/>
      <c r="S285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286" spans="2:19">
      <c r="B286" s="24" t="s">
        <v>742</v>
      </c>
      <c r="C286" s="34" t="s">
        <v>1289</v>
      </c>
      <c r="D286" s="24">
        <v>2</v>
      </c>
      <c r="E286" s="24">
        <v>0</v>
      </c>
      <c r="F286" s="24" t="s">
        <v>151</v>
      </c>
      <c r="G286" s="24" t="s">
        <v>1169</v>
      </c>
      <c r="H286" s="24"/>
      <c r="I286" s="24" t="s">
        <v>382</v>
      </c>
      <c r="J286" s="24" t="s">
        <v>385</v>
      </c>
      <c r="K286" s="24"/>
      <c r="L286" s="24"/>
      <c r="M286" s="24"/>
      <c r="N286" s="24"/>
      <c r="O286" s="26">
        <f>GET_OK_GROUPS_COUNT(tbStoryEnemy[[#This Row],[Camp]],tbStoryEnemy[[#This Row],[Difficulty]],tbStoryEnemy[[#This Row],[IsBoss]],tbStoryEnemy[[#This Row],[Hero1]:[Soldier3]])</f>
        <v>1</v>
      </c>
      <c r="P286" s="24">
        <v>1</v>
      </c>
      <c r="Q286" s="25" t="s">
        <v>912</v>
      </c>
      <c r="R286" s="24"/>
      <c r="S286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287" spans="2:19">
      <c r="B287" s="24" t="s">
        <v>743</v>
      </c>
      <c r="C287" s="34" t="s">
        <v>1289</v>
      </c>
      <c r="D287" s="24">
        <v>1</v>
      </c>
      <c r="E287" s="24">
        <v>0</v>
      </c>
      <c r="F287" s="24" t="s">
        <v>151</v>
      </c>
      <c r="G287" s="24" t="s">
        <v>1169</v>
      </c>
      <c r="H287" s="24"/>
      <c r="I287" s="24" t="s">
        <v>385</v>
      </c>
      <c r="J287" s="24"/>
      <c r="K287" s="24"/>
      <c r="L287" s="24"/>
      <c r="M287" s="24"/>
      <c r="N287" s="24"/>
      <c r="O287" s="26">
        <f>GET_OK_GROUPS_COUNT(tbStoryEnemy[[#This Row],[Camp]],tbStoryEnemy[[#This Row],[Difficulty]],tbStoryEnemy[[#This Row],[IsBoss]],tbStoryEnemy[[#This Row],[Hero1]:[Soldier3]])</f>
        <v>3</v>
      </c>
      <c r="P287" s="24">
        <v>2</v>
      </c>
      <c r="Q287" s="25" t="s">
        <v>912</v>
      </c>
      <c r="R287" s="24"/>
      <c r="S287" s="26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288" spans="2:19">
      <c r="B288" s="24" t="s">
        <v>743</v>
      </c>
      <c r="C288" s="34" t="s">
        <v>1289</v>
      </c>
      <c r="D288" s="24">
        <v>2</v>
      </c>
      <c r="E288" s="24">
        <v>0</v>
      </c>
      <c r="F288" s="24" t="s">
        <v>151</v>
      </c>
      <c r="G288" s="24" t="s">
        <v>1169</v>
      </c>
      <c r="H288" s="24"/>
      <c r="I288" s="24" t="s">
        <v>380</v>
      </c>
      <c r="J288" s="24" t="s">
        <v>381</v>
      </c>
      <c r="K288" s="24"/>
      <c r="L288" s="24"/>
      <c r="M288" s="24"/>
      <c r="N288" s="24"/>
      <c r="O288" s="26">
        <f>GET_OK_GROUPS_COUNT(tbStoryEnemy[[#This Row],[Camp]],tbStoryEnemy[[#This Row],[Difficulty]],tbStoryEnemy[[#This Row],[IsBoss]],tbStoryEnemy[[#This Row],[Hero1]:[Soldier3]])</f>
        <v>1</v>
      </c>
      <c r="P288" s="24">
        <v>1</v>
      </c>
      <c r="Q288" s="25" t="s">
        <v>912</v>
      </c>
      <c r="R288" s="24"/>
      <c r="S288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89" spans="2:19">
      <c r="B289" s="24" t="s">
        <v>744</v>
      </c>
      <c r="C289" s="34" t="s">
        <v>1289</v>
      </c>
      <c r="D289" s="24">
        <v>1</v>
      </c>
      <c r="E289" s="24">
        <v>0</v>
      </c>
      <c r="F289" s="24" t="s">
        <v>151</v>
      </c>
      <c r="G289" s="24" t="s">
        <v>1169</v>
      </c>
      <c r="H289" s="24"/>
      <c r="I289" s="24" t="s">
        <v>384</v>
      </c>
      <c r="J289" s="24"/>
      <c r="K289" s="24"/>
      <c r="L289" s="24" t="s">
        <v>49</v>
      </c>
      <c r="M289" s="24"/>
      <c r="N289" s="24"/>
      <c r="O289" s="26">
        <f>GET_OK_GROUPS_COUNT(tbStoryEnemy[[#This Row],[Camp]],tbStoryEnemy[[#This Row],[Difficulty]],tbStoryEnemy[[#This Row],[IsBoss]],tbStoryEnemy[[#This Row],[Hero1]:[Soldier3]])</f>
        <v>1</v>
      </c>
      <c r="P289" s="24">
        <v>1</v>
      </c>
      <c r="Q289" s="25" t="s">
        <v>912</v>
      </c>
      <c r="R289" s="24"/>
      <c r="S289" s="26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290" spans="2:19">
      <c r="B290" s="24" t="s">
        <v>744</v>
      </c>
      <c r="C290" s="34" t="s">
        <v>1289</v>
      </c>
      <c r="D290" s="24">
        <v>2</v>
      </c>
      <c r="E290" s="24">
        <v>0</v>
      </c>
      <c r="F290" s="24" t="s">
        <v>151</v>
      </c>
      <c r="G290" s="24" t="s">
        <v>1126</v>
      </c>
      <c r="H290" s="24" t="b">
        <v>1</v>
      </c>
      <c r="I290" s="24" t="s">
        <v>419</v>
      </c>
      <c r="J290" s="24" t="s">
        <v>383</v>
      </c>
      <c r="K290" s="24"/>
      <c r="L290" s="24"/>
      <c r="M290" s="24"/>
      <c r="N290" s="24"/>
      <c r="O290" s="26">
        <f>GET_OK_GROUPS_COUNT(tbStoryEnemy[[#This Row],[Camp]],tbStoryEnemy[[#This Row],[Difficulty]],tbStoryEnemy[[#This Row],[IsBoss]],tbStoryEnemy[[#This Row],[Hero1]:[Soldier3]])</f>
        <v>1</v>
      </c>
      <c r="P290" s="24">
        <v>1</v>
      </c>
      <c r="Q290" s="25" t="s">
        <v>419</v>
      </c>
      <c r="R290" s="24"/>
      <c r="S290" s="26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291" spans="2:19">
      <c r="B291" s="24" t="s">
        <v>745</v>
      </c>
      <c r="C291" s="34" t="s">
        <v>1289</v>
      </c>
      <c r="D291" s="24">
        <v>1</v>
      </c>
      <c r="E291" s="24">
        <v>0</v>
      </c>
      <c r="F291" s="24" t="s">
        <v>151</v>
      </c>
      <c r="G291" s="24" t="s">
        <v>1169</v>
      </c>
      <c r="H291" s="24"/>
      <c r="I291" s="24" t="s">
        <v>385</v>
      </c>
      <c r="J291" s="24"/>
      <c r="K291" s="24"/>
      <c r="L291" s="24"/>
      <c r="M291" s="24"/>
      <c r="N291" s="24"/>
      <c r="O291" s="26">
        <f>GET_OK_GROUPS_COUNT(tbStoryEnemy[[#This Row],[Camp]],tbStoryEnemy[[#This Row],[Difficulty]],tbStoryEnemy[[#This Row],[IsBoss]],tbStoryEnemy[[#This Row],[Hero1]:[Soldier3]])</f>
        <v>3</v>
      </c>
      <c r="P291" s="24">
        <v>3</v>
      </c>
      <c r="Q291" s="25" t="s">
        <v>912</v>
      </c>
      <c r="R291" s="24"/>
      <c r="S291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292" spans="2:19">
      <c r="B292" s="24" t="s">
        <v>745</v>
      </c>
      <c r="C292" s="34" t="s">
        <v>1289</v>
      </c>
      <c r="D292" s="24">
        <v>2</v>
      </c>
      <c r="E292" s="24">
        <v>0</v>
      </c>
      <c r="F292" s="24" t="s">
        <v>151</v>
      </c>
      <c r="G292" s="24" t="s">
        <v>1169</v>
      </c>
      <c r="H292" s="24"/>
      <c r="I292" s="24" t="s">
        <v>380</v>
      </c>
      <c r="J292" s="24" t="s">
        <v>385</v>
      </c>
      <c r="K292" s="24"/>
      <c r="L292" s="24"/>
      <c r="M292" s="24"/>
      <c r="N292" s="24"/>
      <c r="O292" s="26">
        <f>GET_OK_GROUPS_COUNT(tbStoryEnemy[[#This Row],[Camp]],tbStoryEnemy[[#This Row],[Difficulty]],tbStoryEnemy[[#This Row],[IsBoss]],tbStoryEnemy[[#This Row],[Hero1]:[Soldier3]])</f>
        <v>1</v>
      </c>
      <c r="P292" s="24">
        <v>1</v>
      </c>
      <c r="Q292" s="25" t="s">
        <v>912</v>
      </c>
      <c r="R292" s="24"/>
      <c r="S292" s="26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293" spans="2:19">
      <c r="B293" s="24" t="s">
        <v>746</v>
      </c>
      <c r="C293" s="34" t="s">
        <v>1289</v>
      </c>
      <c r="D293" s="24">
        <v>1</v>
      </c>
      <c r="E293" s="24">
        <v>0</v>
      </c>
      <c r="F293" s="24" t="s">
        <v>151</v>
      </c>
      <c r="G293" s="24" t="s">
        <v>1169</v>
      </c>
      <c r="H293" s="24"/>
      <c r="I293" s="24"/>
      <c r="J293" s="24"/>
      <c r="K293" s="24"/>
      <c r="L293" s="24" t="s">
        <v>34</v>
      </c>
      <c r="M293" s="24" t="s">
        <v>28</v>
      </c>
      <c r="N293" s="24"/>
      <c r="O293" s="26">
        <f>GET_OK_GROUPS_COUNT(tbStoryEnemy[[#This Row],[Camp]],tbStoryEnemy[[#This Row],[Difficulty]],tbStoryEnemy[[#This Row],[IsBoss]],tbStoryEnemy[[#This Row],[Hero1]:[Soldier3]])</f>
        <v>5</v>
      </c>
      <c r="P293" s="24">
        <v>1</v>
      </c>
      <c r="Q293" s="25" t="s">
        <v>912</v>
      </c>
      <c r="R293" s="24"/>
      <c r="S293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294" spans="2:19">
      <c r="B294" s="24" t="s">
        <v>746</v>
      </c>
      <c r="C294" s="34" t="s">
        <v>1289</v>
      </c>
      <c r="D294" s="24">
        <v>2</v>
      </c>
      <c r="E294" s="24">
        <v>0</v>
      </c>
      <c r="F294" s="24" t="s">
        <v>151</v>
      </c>
      <c r="G294" s="24" t="s">
        <v>1126</v>
      </c>
      <c r="H294" s="24"/>
      <c r="I294" s="24" t="s">
        <v>382</v>
      </c>
      <c r="J294" s="24" t="s">
        <v>384</v>
      </c>
      <c r="K294" s="24"/>
      <c r="L294" s="24"/>
      <c r="M294" s="24"/>
      <c r="N294" s="24"/>
      <c r="O294" s="26">
        <f>GET_OK_GROUPS_COUNT(tbStoryEnemy[[#This Row],[Camp]],tbStoryEnemy[[#This Row],[Difficulty]],tbStoryEnemy[[#This Row],[IsBoss]],tbStoryEnemy[[#This Row],[Hero1]:[Soldier3]])</f>
        <v>1</v>
      </c>
      <c r="P294" s="24">
        <v>1</v>
      </c>
      <c r="Q294" s="25" t="s">
        <v>912</v>
      </c>
      <c r="R294" s="24"/>
      <c r="S294" s="26" t="str">
        <f>GET_OK_GROUP(tbStoryEnemy[[#This Row],[Camp]],tbStoryEnemy[[#This Row],[Difficulty]],tbStoryEnemy[[#This Row],[IsBoss]],tbStoryEnemy[[#This Row],[Hero1]:[Soldier3]],tbStoryEnemy[[#This Row],[GroupID]])</f>
        <v>三国-超难-铁英+法英</v>
      </c>
    </row>
    <row r="295" spans="2:19">
      <c r="B295" s="24" t="s">
        <v>747</v>
      </c>
      <c r="C295" s="34" t="s">
        <v>1289</v>
      </c>
      <c r="D295" s="24">
        <v>1</v>
      </c>
      <c r="E295" s="24">
        <v>0</v>
      </c>
      <c r="F295" s="24" t="s">
        <v>151</v>
      </c>
      <c r="G295" s="24" t="s">
        <v>1126</v>
      </c>
      <c r="H295" s="24"/>
      <c r="I295" s="34" t="s">
        <v>1173</v>
      </c>
      <c r="J295" s="34" t="s">
        <v>1178</v>
      </c>
      <c r="K295" s="24"/>
      <c r="L295" s="24"/>
      <c r="M295" s="24"/>
      <c r="N295" s="24"/>
      <c r="O295" s="26">
        <f>GET_OK_GROUPS_COUNT(tbStoryEnemy[[#This Row],[Camp]],tbStoryEnemy[[#This Row],[Difficulty]],tbStoryEnemy[[#This Row],[IsBoss]],tbStoryEnemy[[#This Row],[Hero1]:[Soldier3]])</f>
        <v>1</v>
      </c>
      <c r="P295" s="24">
        <v>1</v>
      </c>
      <c r="Q295" s="25" t="s">
        <v>912</v>
      </c>
      <c r="R295" s="24"/>
      <c r="S295" s="26" t="str">
        <f>GET_OK_GROUP(tbStoryEnemy[[#This Row],[Camp]],tbStoryEnemy[[#This Row],[Difficulty]],tbStoryEnemy[[#This Row],[IsBoss]],tbStoryEnemy[[#This Row],[Hero1]:[Soldier3]],tbStoryEnemy[[#This Row],[GroupID]])</f>
        <v>三国-超难-铁英+刺英</v>
      </c>
    </row>
    <row r="296" spans="2:19">
      <c r="B296" s="24" t="s">
        <v>747</v>
      </c>
      <c r="C296" s="34" t="s">
        <v>1289</v>
      </c>
      <c r="D296" s="24">
        <v>2</v>
      </c>
      <c r="E296" s="24">
        <v>0</v>
      </c>
      <c r="F296" s="24" t="s">
        <v>151</v>
      </c>
      <c r="G296" s="24" t="s">
        <v>1126</v>
      </c>
      <c r="H296" s="24" t="b">
        <v>1</v>
      </c>
      <c r="I296" s="24" t="s">
        <v>426</v>
      </c>
      <c r="J296" s="24" t="s">
        <v>380</v>
      </c>
      <c r="K296" s="24" t="s">
        <v>384</v>
      </c>
      <c r="L296" s="24"/>
      <c r="M296" s="24"/>
      <c r="N296" s="24"/>
      <c r="O296" s="26">
        <f>GET_OK_GROUPS_COUNT(tbStoryEnemy[[#This Row],[Camp]],tbStoryEnemy[[#This Row],[Difficulty]],tbStoryEnemy[[#This Row],[IsBoss]],tbStoryEnemy[[#This Row],[Hero1]:[Soldier3]])</f>
        <v>1</v>
      </c>
      <c r="P296" s="24">
        <v>1</v>
      </c>
      <c r="Q296" s="25" t="s">
        <v>426</v>
      </c>
      <c r="R296" s="24"/>
      <c r="S296" s="26" t="str">
        <f>GET_OK_GROUP(tbStoryEnemy[[#This Row],[Camp]],tbStoryEnemy[[#This Row],[Difficulty]],tbStoryEnemy[[#This Row],[IsBoss]],tbStoryEnemy[[#This Row],[Hero1]:[Soldier3]],tbStoryEnemy[[#This Row],[GroupID]])</f>
        <v>三国-超难-[B]铁英+盾英+法英</v>
      </c>
    </row>
    <row r="297" spans="2:19">
      <c r="B297" s="24" t="s">
        <v>748</v>
      </c>
      <c r="C297" s="34" t="s">
        <v>1289</v>
      </c>
      <c r="D297" s="24">
        <v>1</v>
      </c>
      <c r="E297" s="24">
        <v>0</v>
      </c>
      <c r="F297" s="24" t="s">
        <v>151</v>
      </c>
      <c r="G297" s="24" t="s">
        <v>1338</v>
      </c>
      <c r="H297" s="24"/>
      <c r="I297" s="24"/>
      <c r="J297" s="24"/>
      <c r="K297" s="24"/>
      <c r="L297" s="24" t="s">
        <v>447</v>
      </c>
      <c r="M297" s="24"/>
      <c r="N297" s="24"/>
      <c r="O297" s="26">
        <f>GET_OK_GROUPS_COUNT(tbStoryEnemy[[#This Row],[Camp]],tbStoryEnemy[[#This Row],[Difficulty]],tbStoryEnemy[[#This Row],[IsBoss]],tbStoryEnemy[[#This Row],[Hero1]:[Soldier3]])</f>
        <v>3</v>
      </c>
      <c r="P297" s="24">
        <v>1</v>
      </c>
      <c r="Q297" s="25" t="s">
        <v>912</v>
      </c>
      <c r="R297" s="24"/>
      <c r="S297" s="26" t="str">
        <f>GET_OK_GROUP(tbStoryEnemy[[#This Row],[Camp]],tbStoryEnemy[[#This Row],[Difficulty]],tbStoryEnemy[[#This Row],[IsBoss]],tbStoryEnemy[[#This Row],[Hero1]:[Soldier3]],tbStoryEnemy[[#This Row],[GroupID]])</f>
        <v>三国-普通-炼兵</v>
      </c>
    </row>
    <row r="298" spans="2:19">
      <c r="B298" s="24" t="s">
        <v>748</v>
      </c>
      <c r="C298" s="34" t="s">
        <v>1289</v>
      </c>
      <c r="D298" s="24">
        <v>2</v>
      </c>
      <c r="E298" s="24">
        <v>0</v>
      </c>
      <c r="F298" s="24" t="s">
        <v>151</v>
      </c>
      <c r="G298" s="24" t="s">
        <v>1169</v>
      </c>
      <c r="H298" s="24"/>
      <c r="I298" s="24" t="s">
        <v>380</v>
      </c>
      <c r="J298" s="24" t="s">
        <v>383</v>
      </c>
      <c r="K298" s="24"/>
      <c r="L298" s="24"/>
      <c r="M298" s="24"/>
      <c r="N298" s="24"/>
      <c r="O298" s="26">
        <f>GET_OK_GROUPS_COUNT(tbStoryEnemy[[#This Row],[Camp]],tbStoryEnemy[[#This Row],[Difficulty]],tbStoryEnemy[[#This Row],[IsBoss]],tbStoryEnemy[[#This Row],[Hero1]:[Soldier3]])</f>
        <v>1</v>
      </c>
      <c r="P298" s="24">
        <v>1</v>
      </c>
      <c r="Q298" s="25" t="s">
        <v>912</v>
      </c>
      <c r="R298" s="24"/>
      <c r="S298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299" spans="2:19">
      <c r="B299" s="24" t="s">
        <v>749</v>
      </c>
      <c r="C299" s="34" t="s">
        <v>1289</v>
      </c>
      <c r="D299" s="24">
        <v>1</v>
      </c>
      <c r="E299" s="24">
        <v>0</v>
      </c>
      <c r="F299" s="24" t="s">
        <v>151</v>
      </c>
      <c r="G299" s="24" t="s">
        <v>1338</v>
      </c>
      <c r="H299" s="24"/>
      <c r="I299" s="24"/>
      <c r="J299" s="24"/>
      <c r="K299" s="24"/>
      <c r="L299" s="24" t="s">
        <v>28</v>
      </c>
      <c r="M299" s="24"/>
      <c r="N299" s="24"/>
      <c r="O299" s="26">
        <f>GET_OK_GROUPS_COUNT(tbStoryEnemy[[#This Row],[Camp]],tbStoryEnemy[[#This Row],[Difficulty]],tbStoryEnemy[[#This Row],[IsBoss]],tbStoryEnemy[[#This Row],[Hero1]:[Soldier3]])</f>
        <v>3</v>
      </c>
      <c r="P299" s="24">
        <v>1</v>
      </c>
      <c r="Q299" s="25" t="s">
        <v>912</v>
      </c>
      <c r="R299" s="24"/>
      <c r="S299" s="26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300" spans="2:19">
      <c r="B300" s="24" t="s">
        <v>749</v>
      </c>
      <c r="C300" s="34" t="s">
        <v>1289</v>
      </c>
      <c r="D300" s="24">
        <v>2</v>
      </c>
      <c r="E300" s="24">
        <v>0</v>
      </c>
      <c r="F300" s="24" t="s">
        <v>151</v>
      </c>
      <c r="G300" s="24" t="s">
        <v>1169</v>
      </c>
      <c r="H300" s="24"/>
      <c r="I300" s="24" t="s">
        <v>382</v>
      </c>
      <c r="J300" s="24" t="s">
        <v>384</v>
      </c>
      <c r="K300" s="24"/>
      <c r="L300" s="24"/>
      <c r="M300" s="24"/>
      <c r="N300" s="24"/>
      <c r="O300" s="26">
        <f>GET_OK_GROUPS_COUNT(tbStoryEnemy[[#This Row],[Camp]],tbStoryEnemy[[#This Row],[Difficulty]],tbStoryEnemy[[#This Row],[IsBoss]],tbStoryEnemy[[#This Row],[Hero1]:[Soldier3]])</f>
        <v>1</v>
      </c>
      <c r="P300" s="24">
        <v>1</v>
      </c>
      <c r="Q300" s="25" t="s">
        <v>912</v>
      </c>
      <c r="R300" s="24"/>
      <c r="S300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301" spans="2:19">
      <c r="B301" s="24" t="s">
        <v>750</v>
      </c>
      <c r="C301" s="34" t="s">
        <v>1289</v>
      </c>
      <c r="D301" s="24">
        <v>1</v>
      </c>
      <c r="E301" s="24">
        <v>0</v>
      </c>
      <c r="F301" s="24" t="s">
        <v>151</v>
      </c>
      <c r="G301" s="24" t="s">
        <v>1169</v>
      </c>
      <c r="H301" s="24"/>
      <c r="I301" s="24" t="s">
        <v>385</v>
      </c>
      <c r="J301" s="24"/>
      <c r="K301" s="24"/>
      <c r="L301" s="24" t="s">
        <v>49</v>
      </c>
      <c r="M301" s="24"/>
      <c r="N301" s="24"/>
      <c r="O301" s="26">
        <f>GET_OK_GROUPS_COUNT(tbStoryEnemy[[#This Row],[Camp]],tbStoryEnemy[[#This Row],[Difficulty]],tbStoryEnemy[[#This Row],[IsBoss]],tbStoryEnemy[[#This Row],[Hero1]:[Soldier3]])</f>
        <v>1</v>
      </c>
      <c r="P301" s="24">
        <v>1</v>
      </c>
      <c r="Q301" s="25" t="s">
        <v>912</v>
      </c>
      <c r="R301" s="24"/>
      <c r="S301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302" spans="2:19">
      <c r="B302" s="24" t="s">
        <v>750</v>
      </c>
      <c r="C302" s="34" t="s">
        <v>1289</v>
      </c>
      <c r="D302" s="24">
        <v>2</v>
      </c>
      <c r="E302" s="24">
        <v>0</v>
      </c>
      <c r="F302" s="24" t="s">
        <v>151</v>
      </c>
      <c r="G302" s="24" t="s">
        <v>1169</v>
      </c>
      <c r="H302" s="24" t="b">
        <v>1</v>
      </c>
      <c r="I302" s="24" t="s">
        <v>428</v>
      </c>
      <c r="J302" s="24" t="s">
        <v>383</v>
      </c>
      <c r="K302" s="24"/>
      <c r="L302" s="24"/>
      <c r="M302" s="24"/>
      <c r="N302" s="24"/>
      <c r="O302" s="26">
        <f>GET_OK_GROUPS_COUNT(tbStoryEnemy[[#This Row],[Camp]],tbStoryEnemy[[#This Row],[Difficulty]],tbStoryEnemy[[#This Row],[IsBoss]],tbStoryEnemy[[#This Row],[Hero1]:[Soldier3]])</f>
        <v>1</v>
      </c>
      <c r="P302" s="24">
        <v>1</v>
      </c>
      <c r="Q302" s="25" t="s">
        <v>428</v>
      </c>
      <c r="R302" s="24"/>
      <c r="S302" s="26" t="str">
        <f>GET_OK_GROUP(tbStoryEnemy[[#This Row],[Camp]],tbStoryEnemy[[#This Row],[Difficulty]],tbStoryEnemy[[#This Row],[IsBoss]],tbStoryEnemy[[#This Row],[Hero1]:[Soldier3]],tbStoryEnemy[[#This Row],[GroupID]])</f>
        <v>三国-困难-[B]盾英+炼英</v>
      </c>
    </row>
    <row r="303" spans="2:19">
      <c r="B303" s="24" t="s">
        <v>751</v>
      </c>
      <c r="C303" s="34" t="s">
        <v>1289</v>
      </c>
      <c r="D303" s="24">
        <v>1</v>
      </c>
      <c r="E303" s="24">
        <v>0</v>
      </c>
      <c r="F303" s="24" t="s">
        <v>151</v>
      </c>
      <c r="G303" s="24" t="s">
        <v>1338</v>
      </c>
      <c r="H303" s="24"/>
      <c r="I303" s="24"/>
      <c r="J303" s="24"/>
      <c r="K303" s="24"/>
      <c r="L303" s="24" t="s">
        <v>26</v>
      </c>
      <c r="M303" s="24"/>
      <c r="N303" s="24"/>
      <c r="O303" s="26">
        <f>GET_OK_GROUPS_COUNT(tbStoryEnemy[[#This Row],[Camp]],tbStoryEnemy[[#This Row],[Difficulty]],tbStoryEnemy[[#This Row],[IsBoss]],tbStoryEnemy[[#This Row],[Hero1]:[Soldier3]])</f>
        <v>3</v>
      </c>
      <c r="P303" s="24">
        <v>2</v>
      </c>
      <c r="Q303" s="25" t="s">
        <v>912</v>
      </c>
      <c r="R303" s="24"/>
      <c r="S303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04" spans="2:19">
      <c r="B304" s="24" t="s">
        <v>751</v>
      </c>
      <c r="C304" s="34" t="s">
        <v>1289</v>
      </c>
      <c r="D304" s="24">
        <v>2</v>
      </c>
      <c r="E304" s="24">
        <v>0</v>
      </c>
      <c r="F304" s="24" t="s">
        <v>151</v>
      </c>
      <c r="G304" s="24" t="s">
        <v>1169</v>
      </c>
      <c r="H304" s="24"/>
      <c r="I304" s="24" t="s">
        <v>382</v>
      </c>
      <c r="J304" s="24" t="s">
        <v>381</v>
      </c>
      <c r="K304" s="24"/>
      <c r="L304" s="24"/>
      <c r="M304" s="24"/>
      <c r="N304" s="24"/>
      <c r="O304" s="26">
        <f>GET_OK_GROUPS_COUNT(tbStoryEnemy[[#This Row],[Camp]],tbStoryEnemy[[#This Row],[Difficulty]],tbStoryEnemy[[#This Row],[IsBoss]],tbStoryEnemy[[#This Row],[Hero1]:[Soldier3]])</f>
        <v>1</v>
      </c>
      <c r="P304" s="24">
        <v>1</v>
      </c>
      <c r="Q304" s="25" t="s">
        <v>912</v>
      </c>
      <c r="R304" s="24"/>
      <c r="S304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05" spans="2:19">
      <c r="B305" s="24" t="s">
        <v>752</v>
      </c>
      <c r="C305" s="34" t="s">
        <v>1289</v>
      </c>
      <c r="D305" s="24">
        <v>1</v>
      </c>
      <c r="E305" s="24">
        <v>0</v>
      </c>
      <c r="F305" s="24" t="s">
        <v>151</v>
      </c>
      <c r="G305" s="24" t="s">
        <v>1169</v>
      </c>
      <c r="H305" s="24"/>
      <c r="I305" s="24"/>
      <c r="J305" s="24"/>
      <c r="K305" s="24"/>
      <c r="L305" s="24" t="s">
        <v>25</v>
      </c>
      <c r="M305" s="24"/>
      <c r="N305" s="24"/>
      <c r="O305" s="26">
        <f>GET_OK_GROUPS_COUNT(tbStoryEnemy[[#This Row],[Camp]],tbStoryEnemy[[#This Row],[Difficulty]],tbStoryEnemy[[#This Row],[IsBoss]],tbStoryEnemy[[#This Row],[Hero1]:[Soldier3]])</f>
        <v>14</v>
      </c>
      <c r="P305" s="24">
        <v>5</v>
      </c>
      <c r="Q305" s="25" t="s">
        <v>912</v>
      </c>
      <c r="R305" s="24"/>
      <c r="S305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306" spans="2:19">
      <c r="B306" s="24" t="s">
        <v>752</v>
      </c>
      <c r="C306" s="34" t="s">
        <v>1289</v>
      </c>
      <c r="D306" s="24">
        <v>2</v>
      </c>
      <c r="E306" s="24">
        <v>0</v>
      </c>
      <c r="F306" s="24" t="s">
        <v>151</v>
      </c>
      <c r="G306" s="24" t="s">
        <v>1169</v>
      </c>
      <c r="H306" s="24"/>
      <c r="I306" s="24" t="s">
        <v>380</v>
      </c>
      <c r="J306" s="24"/>
      <c r="K306" s="24"/>
      <c r="L306" s="24"/>
      <c r="M306" s="24"/>
      <c r="N306" s="24"/>
      <c r="O306" s="26">
        <f>GET_OK_GROUPS_COUNT(tbStoryEnemy[[#This Row],[Camp]],tbStoryEnemy[[#This Row],[Difficulty]],tbStoryEnemy[[#This Row],[IsBoss]],tbStoryEnemy[[#This Row],[Hero1]:[Soldier3]])</f>
        <v>4</v>
      </c>
      <c r="P306" s="24">
        <v>2</v>
      </c>
      <c r="Q306" s="25" t="s">
        <v>912</v>
      </c>
      <c r="R306" s="24"/>
      <c r="S306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307" spans="2:19">
      <c r="B307" s="24" t="s">
        <v>753</v>
      </c>
      <c r="C307" s="34" t="s">
        <v>1289</v>
      </c>
      <c r="D307" s="24">
        <v>1</v>
      </c>
      <c r="E307" s="24">
        <v>0</v>
      </c>
      <c r="F307" s="24" t="s">
        <v>151</v>
      </c>
      <c r="G307" s="24" t="s">
        <v>1169</v>
      </c>
      <c r="H307" s="24"/>
      <c r="I307" s="24"/>
      <c r="J307" s="24"/>
      <c r="K307" s="24"/>
      <c r="L307" s="24" t="s">
        <v>26</v>
      </c>
      <c r="M307" s="24"/>
      <c r="N307" s="24"/>
      <c r="O307" s="26">
        <f>GET_OK_GROUPS_COUNT(tbStoryEnemy[[#This Row],[Camp]],tbStoryEnemy[[#This Row],[Difficulty]],tbStoryEnemy[[#This Row],[IsBoss]],tbStoryEnemy[[#This Row],[Hero1]:[Soldier3]])</f>
        <v>9</v>
      </c>
      <c r="P307" s="24">
        <v>3</v>
      </c>
      <c r="Q307" s="25" t="s">
        <v>912</v>
      </c>
      <c r="R307" s="24"/>
      <c r="S307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308" spans="2:19">
      <c r="B308" s="24" t="s">
        <v>753</v>
      </c>
      <c r="C308" s="34" t="s">
        <v>1289</v>
      </c>
      <c r="D308" s="24">
        <v>2</v>
      </c>
      <c r="E308" s="24">
        <v>0</v>
      </c>
      <c r="F308" s="24" t="s">
        <v>151</v>
      </c>
      <c r="G308" s="24" t="s">
        <v>1126</v>
      </c>
      <c r="H308" s="24" t="b">
        <v>1</v>
      </c>
      <c r="I308" s="24" t="s">
        <v>429</v>
      </c>
      <c r="J308" s="24" t="s">
        <v>380</v>
      </c>
      <c r="K308" s="24"/>
      <c r="L308" s="24"/>
      <c r="M308" s="24"/>
      <c r="N308" s="24"/>
      <c r="O308" s="26">
        <f>GET_OK_GROUPS_COUNT(tbStoryEnemy[[#This Row],[Camp]],tbStoryEnemy[[#This Row],[Difficulty]],tbStoryEnemy[[#This Row],[IsBoss]],tbStoryEnemy[[#This Row],[Hero1]:[Soldier3]])</f>
        <v>1</v>
      </c>
      <c r="P308" s="24">
        <v>1</v>
      </c>
      <c r="Q308" s="25" t="s">
        <v>429</v>
      </c>
      <c r="R308" s="24"/>
      <c r="S308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309" spans="2:19">
      <c r="B309" s="24" t="s">
        <v>754</v>
      </c>
      <c r="C309" s="34" t="s">
        <v>1289</v>
      </c>
      <c r="D309" s="24">
        <v>1</v>
      </c>
      <c r="E309" s="24">
        <v>0</v>
      </c>
      <c r="F309" s="24" t="s">
        <v>151</v>
      </c>
      <c r="G309" s="24" t="s">
        <v>1338</v>
      </c>
      <c r="H309" s="24"/>
      <c r="I309" s="24"/>
      <c r="J309" s="24"/>
      <c r="K309" s="24"/>
      <c r="L309" s="24" t="s">
        <v>34</v>
      </c>
      <c r="M309" s="24" t="s">
        <v>28</v>
      </c>
      <c r="N309" s="24"/>
      <c r="O309" s="26">
        <f>GET_OK_GROUPS_COUNT(tbStoryEnemy[[#This Row],[Camp]],tbStoryEnemy[[#This Row],[Difficulty]],tbStoryEnemy[[#This Row],[IsBoss]],tbStoryEnemy[[#This Row],[Hero1]:[Soldier3]])</f>
        <v>1</v>
      </c>
      <c r="P309" s="24">
        <v>1</v>
      </c>
      <c r="Q309" s="25" t="s">
        <v>912</v>
      </c>
      <c r="R309" s="24"/>
      <c r="S309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310" spans="2:19">
      <c r="B310" s="24" t="s">
        <v>754</v>
      </c>
      <c r="C310" s="34" t="s">
        <v>1289</v>
      </c>
      <c r="D310" s="24">
        <v>2</v>
      </c>
      <c r="E310" s="24">
        <v>0</v>
      </c>
      <c r="F310" s="24" t="s">
        <v>151</v>
      </c>
      <c r="G310" s="24" t="s">
        <v>1169</v>
      </c>
      <c r="H310" s="24"/>
      <c r="I310" s="24" t="s">
        <v>380</v>
      </c>
      <c r="J310" s="24"/>
      <c r="K310" s="24"/>
      <c r="L310" s="24" t="s">
        <v>26</v>
      </c>
      <c r="M310" s="24"/>
      <c r="N310" s="24"/>
      <c r="O310" s="26">
        <f>GET_OK_GROUPS_COUNT(tbStoryEnemy[[#This Row],[Camp]],tbStoryEnemy[[#This Row],[Difficulty]],tbStoryEnemy[[#This Row],[IsBoss]],tbStoryEnemy[[#This Row],[Hero1]:[Soldier3]])</f>
        <v>1</v>
      </c>
      <c r="P310" s="24">
        <v>1</v>
      </c>
      <c r="Q310" s="25" t="s">
        <v>912</v>
      </c>
      <c r="R310" s="24"/>
      <c r="S310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11" spans="2:19">
      <c r="B311" s="24" t="s">
        <v>755</v>
      </c>
      <c r="C311" s="34" t="s">
        <v>1289</v>
      </c>
      <c r="D311" s="24">
        <v>1</v>
      </c>
      <c r="E311" s="24">
        <v>0</v>
      </c>
      <c r="F311" s="24" t="s">
        <v>151</v>
      </c>
      <c r="G311" s="24" t="s">
        <v>1338</v>
      </c>
      <c r="H311" s="24"/>
      <c r="I311" s="24"/>
      <c r="J311" s="24"/>
      <c r="K311" s="24"/>
      <c r="L311" s="24" t="s">
        <v>448</v>
      </c>
      <c r="M311" s="24"/>
      <c r="N311" s="24"/>
      <c r="O311" s="26">
        <f>GET_OK_GROUPS_COUNT(tbStoryEnemy[[#This Row],[Camp]],tbStoryEnemy[[#This Row],[Difficulty]],tbStoryEnemy[[#This Row],[IsBoss]],tbStoryEnemy[[#This Row],[Hero1]:[Soldier3]])</f>
        <v>3</v>
      </c>
      <c r="P311" s="24">
        <v>1</v>
      </c>
      <c r="Q311" s="25" t="s">
        <v>912</v>
      </c>
      <c r="R311" s="24"/>
      <c r="S311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312" spans="2:19">
      <c r="B312" s="24" t="s">
        <v>755</v>
      </c>
      <c r="C312" s="34" t="s">
        <v>1289</v>
      </c>
      <c r="D312" s="24">
        <v>2</v>
      </c>
      <c r="E312" s="24">
        <v>0</v>
      </c>
      <c r="F312" s="24" t="s">
        <v>151</v>
      </c>
      <c r="G312" s="24" t="s">
        <v>1169</v>
      </c>
      <c r="H312" s="24"/>
      <c r="I312" s="24" t="s">
        <v>382</v>
      </c>
      <c r="J312" s="24" t="s">
        <v>382</v>
      </c>
      <c r="K312" s="24"/>
      <c r="L312" s="24"/>
      <c r="M312" s="24"/>
      <c r="N312" s="24"/>
      <c r="O312" s="26">
        <f>GET_OK_GROUPS_COUNT(tbStoryEnemy[[#This Row],[Camp]],tbStoryEnemy[[#This Row],[Difficulty]],tbStoryEnemy[[#This Row],[IsBoss]],tbStoryEnemy[[#This Row],[Hero1]:[Soldier3]])</f>
        <v>1</v>
      </c>
      <c r="P312" s="24">
        <v>1</v>
      </c>
      <c r="Q312" s="25" t="s">
        <v>912</v>
      </c>
      <c r="R312" s="24"/>
      <c r="S312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313" spans="2:19">
      <c r="B313" s="24" t="s">
        <v>756</v>
      </c>
      <c r="C313" s="34" t="s">
        <v>1289</v>
      </c>
      <c r="D313" s="24">
        <v>1</v>
      </c>
      <c r="E313" s="24">
        <v>0</v>
      </c>
      <c r="F313" s="24" t="s">
        <v>151</v>
      </c>
      <c r="G313" s="24" t="s">
        <v>1169</v>
      </c>
      <c r="H313" s="24"/>
      <c r="I313" s="24"/>
      <c r="J313" s="24"/>
      <c r="K313" s="24"/>
      <c r="L313" s="24" t="s">
        <v>447</v>
      </c>
      <c r="M313" s="24"/>
      <c r="N313" s="24"/>
      <c r="O313" s="26">
        <f>GET_OK_GROUPS_COUNT(tbStoryEnemy[[#This Row],[Camp]],tbStoryEnemy[[#This Row],[Difficulty]],tbStoryEnemy[[#This Row],[IsBoss]],tbStoryEnemy[[#This Row],[Hero1]:[Soldier3]])</f>
        <v>9</v>
      </c>
      <c r="P313" s="24">
        <v>3</v>
      </c>
      <c r="Q313" s="25" t="s">
        <v>912</v>
      </c>
      <c r="R313" s="24"/>
      <c r="S313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314" spans="2:19">
      <c r="B314" s="24" t="s">
        <v>756</v>
      </c>
      <c r="C314" s="34" t="s">
        <v>1289</v>
      </c>
      <c r="D314" s="24">
        <v>2</v>
      </c>
      <c r="E314" s="24">
        <v>0</v>
      </c>
      <c r="F314" s="24" t="s">
        <v>151</v>
      </c>
      <c r="G314" s="24" t="s">
        <v>1169</v>
      </c>
      <c r="H314" s="24" t="b">
        <v>1</v>
      </c>
      <c r="I314" s="24" t="s">
        <v>353</v>
      </c>
      <c r="J314" s="24"/>
      <c r="K314" s="24"/>
      <c r="L314" s="24" t="s">
        <v>34</v>
      </c>
      <c r="M314" s="24"/>
      <c r="N314" s="24"/>
      <c r="O314" s="26">
        <f>GET_OK_GROUPS_COUNT(tbStoryEnemy[[#This Row],[Camp]],tbStoryEnemy[[#This Row],[Difficulty]],tbStoryEnemy[[#This Row],[IsBoss]],tbStoryEnemy[[#This Row],[Hero1]:[Soldier3]])</f>
        <v>1</v>
      </c>
      <c r="P314" s="24">
        <v>1</v>
      </c>
      <c r="Q314" s="25" t="s">
        <v>353</v>
      </c>
      <c r="R314" s="24"/>
      <c r="S314" s="26" t="str">
        <f>GET_OK_GROUP(tbStoryEnemy[[#This Row],[Camp]],tbStoryEnemy[[#This Row],[Difficulty]],tbStoryEnemy[[#This Row],[IsBoss]],tbStoryEnemy[[#This Row],[Hero1]:[Soldier3]],tbStoryEnemy[[#This Row],[GroupID]])</f>
        <v>三国-困难-[B]刺英+盾兵</v>
      </c>
    </row>
    <row r="315" spans="2:19">
      <c r="B315" s="24" t="s">
        <v>757</v>
      </c>
      <c r="C315" s="34" t="s">
        <v>1289</v>
      </c>
      <c r="D315" s="24">
        <v>1</v>
      </c>
      <c r="E315" s="24">
        <v>0</v>
      </c>
      <c r="F315" s="24" t="s">
        <v>151</v>
      </c>
      <c r="G315" s="24" t="s">
        <v>1338</v>
      </c>
      <c r="H315" s="24"/>
      <c r="I315" s="24"/>
      <c r="J315" s="24"/>
      <c r="K315" s="24"/>
      <c r="L315" s="24" t="s">
        <v>28</v>
      </c>
      <c r="M315" s="24"/>
      <c r="N315" s="24"/>
      <c r="O315" s="26">
        <f>GET_OK_GROUPS_COUNT(tbStoryEnemy[[#This Row],[Camp]],tbStoryEnemy[[#This Row],[Difficulty]],tbStoryEnemy[[#This Row],[IsBoss]],tbStoryEnemy[[#This Row],[Hero1]:[Soldier3]])</f>
        <v>3</v>
      </c>
      <c r="P315" s="24">
        <v>2</v>
      </c>
      <c r="Q315" s="25" t="s">
        <v>912</v>
      </c>
      <c r="R315" s="24"/>
      <c r="S315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16" spans="2:19">
      <c r="B316" s="24" t="s">
        <v>757</v>
      </c>
      <c r="C316" s="34" t="s">
        <v>1289</v>
      </c>
      <c r="D316" s="24">
        <v>2</v>
      </c>
      <c r="E316" s="24">
        <v>0</v>
      </c>
      <c r="F316" s="24" t="s">
        <v>151</v>
      </c>
      <c r="G316" s="24" t="s">
        <v>1169</v>
      </c>
      <c r="H316" s="24"/>
      <c r="I316" s="24" t="s">
        <v>380</v>
      </c>
      <c r="J316" s="24" t="s">
        <v>384</v>
      </c>
      <c r="K316" s="24"/>
      <c r="L316" s="24"/>
      <c r="M316" s="24"/>
      <c r="N316" s="24"/>
      <c r="O316" s="26">
        <f>GET_OK_GROUPS_COUNT(tbStoryEnemy[[#This Row],[Camp]],tbStoryEnemy[[#This Row],[Difficulty]],tbStoryEnemy[[#This Row],[IsBoss]],tbStoryEnemy[[#This Row],[Hero1]:[Soldier3]])</f>
        <v>1</v>
      </c>
      <c r="P316" s="24">
        <v>1</v>
      </c>
      <c r="Q316" s="25" t="s">
        <v>912</v>
      </c>
      <c r="R316" s="24"/>
      <c r="S316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317" spans="2:19">
      <c r="B317" s="24" t="s">
        <v>758</v>
      </c>
      <c r="C317" s="34" t="s">
        <v>1289</v>
      </c>
      <c r="D317" s="24">
        <v>1</v>
      </c>
      <c r="E317" s="24">
        <v>0</v>
      </c>
      <c r="F317" s="24" t="s">
        <v>151</v>
      </c>
      <c r="G317" s="24" t="s">
        <v>1169</v>
      </c>
      <c r="H317" s="24"/>
      <c r="I317" s="24"/>
      <c r="J317" s="24"/>
      <c r="K317" s="24"/>
      <c r="L317" s="24" t="s">
        <v>34</v>
      </c>
      <c r="M317" s="24"/>
      <c r="N317" s="24"/>
      <c r="O317" s="26">
        <f>GET_OK_GROUPS_COUNT(tbStoryEnemy[[#This Row],[Camp]],tbStoryEnemy[[#This Row],[Difficulty]],tbStoryEnemy[[#This Row],[IsBoss]],tbStoryEnemy[[#This Row],[Hero1]:[Soldier3]])</f>
        <v>14</v>
      </c>
      <c r="P317" s="24">
        <v>5</v>
      </c>
      <c r="Q317" s="25" t="s">
        <v>912</v>
      </c>
      <c r="R317" s="24"/>
      <c r="S317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318" spans="2:19">
      <c r="B318" s="24" t="s">
        <v>758</v>
      </c>
      <c r="C318" s="34" t="s">
        <v>1289</v>
      </c>
      <c r="D318" s="24">
        <v>2</v>
      </c>
      <c r="E318" s="24">
        <v>0</v>
      </c>
      <c r="F318" s="24" t="s">
        <v>151</v>
      </c>
      <c r="G318" s="24" t="s">
        <v>1169</v>
      </c>
      <c r="H318" s="24"/>
      <c r="I318" s="24" t="s">
        <v>381</v>
      </c>
      <c r="J318" s="24" t="s">
        <v>381</v>
      </c>
      <c r="K318" s="24"/>
      <c r="L318" s="24"/>
      <c r="M318" s="24"/>
      <c r="N318" s="24"/>
      <c r="O318" s="26">
        <f>GET_OK_GROUPS_COUNT(tbStoryEnemy[[#This Row],[Camp]],tbStoryEnemy[[#This Row],[Difficulty]],tbStoryEnemy[[#This Row],[IsBoss]],tbStoryEnemy[[#This Row],[Hero1]:[Soldier3]])</f>
        <v>1</v>
      </c>
      <c r="P318" s="24">
        <v>1</v>
      </c>
      <c r="Q318" s="25" t="s">
        <v>912</v>
      </c>
      <c r="R318" s="24"/>
      <c r="S318" s="26" t="str">
        <f>GET_OK_GROUP(tbStoryEnemy[[#This Row],[Camp]],tbStoryEnemy[[#This Row],[Difficulty]],tbStoryEnemy[[#This Row],[IsBoss]],tbStoryEnemy[[#This Row],[Hero1]:[Soldier3]],tbStoryEnemy[[#This Row],[GroupID]])</f>
        <v>三国-困难-强英+强英</v>
      </c>
    </row>
    <row r="319" spans="2:19">
      <c r="B319" s="24" t="s">
        <v>759</v>
      </c>
      <c r="C319" s="34" t="s">
        <v>1289</v>
      </c>
      <c r="D319" s="24">
        <v>1</v>
      </c>
      <c r="E319" s="24">
        <v>0</v>
      </c>
      <c r="F319" s="24" t="s">
        <v>151</v>
      </c>
      <c r="G319" s="24" t="s">
        <v>1169</v>
      </c>
      <c r="H319" s="24"/>
      <c r="I319" s="24" t="s">
        <v>382</v>
      </c>
      <c r="J319" s="24"/>
      <c r="K319" s="24"/>
      <c r="L319" s="24"/>
      <c r="M319" s="24"/>
      <c r="N319" s="24"/>
      <c r="O319" s="26">
        <f>GET_OK_GROUPS_COUNT(tbStoryEnemy[[#This Row],[Camp]],tbStoryEnemy[[#This Row],[Difficulty]],tbStoryEnemy[[#This Row],[IsBoss]],tbStoryEnemy[[#This Row],[Hero1]:[Soldier3]])</f>
        <v>4</v>
      </c>
      <c r="P319" s="24">
        <v>1</v>
      </c>
      <c r="Q319" s="25" t="s">
        <v>912</v>
      </c>
      <c r="R319" s="24"/>
      <c r="S319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320" spans="2:19">
      <c r="B320" s="24" t="s">
        <v>759</v>
      </c>
      <c r="C320" s="34" t="s">
        <v>1289</v>
      </c>
      <c r="D320" s="24">
        <v>2</v>
      </c>
      <c r="E320" s="24">
        <v>0</v>
      </c>
      <c r="F320" s="24" t="s">
        <v>151</v>
      </c>
      <c r="G320" s="24" t="s">
        <v>1126</v>
      </c>
      <c r="H320" s="24" t="b">
        <v>1</v>
      </c>
      <c r="I320" s="24" t="s">
        <v>410</v>
      </c>
      <c r="J320" s="24" t="s">
        <v>382</v>
      </c>
      <c r="K320" s="24" t="s">
        <v>381</v>
      </c>
      <c r="L320" s="24"/>
      <c r="M320" s="24"/>
      <c r="N320" s="24"/>
      <c r="O320" s="26">
        <f>GET_OK_GROUPS_COUNT(tbStoryEnemy[[#This Row],[Camp]],tbStoryEnemy[[#This Row],[Difficulty]],tbStoryEnemy[[#This Row],[IsBoss]],tbStoryEnemy[[#This Row],[Hero1]:[Soldier3]])</f>
        <v>1</v>
      </c>
      <c r="P320" s="24">
        <v>1</v>
      </c>
      <c r="Q320" s="25" t="s">
        <v>410</v>
      </c>
      <c r="R320" s="24"/>
      <c r="S320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321" spans="2:19">
      <c r="B321" s="24" t="s">
        <v>760</v>
      </c>
      <c r="C321" s="34" t="s">
        <v>1289</v>
      </c>
      <c r="D321" s="24">
        <v>1</v>
      </c>
      <c r="E321" s="24">
        <v>0</v>
      </c>
      <c r="F321" s="24" t="s">
        <v>151</v>
      </c>
      <c r="G321" s="24" t="s">
        <v>1338</v>
      </c>
      <c r="H321" s="24"/>
      <c r="I321" s="24"/>
      <c r="J321" s="24"/>
      <c r="K321" s="24"/>
      <c r="L321" s="24" t="s">
        <v>34</v>
      </c>
      <c r="M321" s="24"/>
      <c r="N321" s="24"/>
      <c r="O321" s="26">
        <f>GET_OK_GROUPS_COUNT(tbStoryEnemy[[#This Row],[Camp]],tbStoryEnemy[[#This Row],[Difficulty]],tbStoryEnemy[[#This Row],[IsBoss]],tbStoryEnemy[[#This Row],[Hero1]:[Soldier3]])</f>
        <v>5</v>
      </c>
      <c r="P321" s="24">
        <v>1</v>
      </c>
      <c r="Q321" s="25" t="s">
        <v>912</v>
      </c>
      <c r="R321" s="24"/>
      <c r="S321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322" spans="2:19">
      <c r="B322" s="24" t="s">
        <v>760</v>
      </c>
      <c r="C322" s="34" t="s">
        <v>1289</v>
      </c>
      <c r="D322" s="24">
        <v>2</v>
      </c>
      <c r="E322" s="24">
        <v>0</v>
      </c>
      <c r="F322" s="24" t="s">
        <v>151</v>
      </c>
      <c r="G322" s="24" t="s">
        <v>1169</v>
      </c>
      <c r="H322" s="24"/>
      <c r="I322" s="24" t="s">
        <v>385</v>
      </c>
      <c r="J322" s="24"/>
      <c r="K322" s="24"/>
      <c r="L322" s="24"/>
      <c r="M322" s="24"/>
      <c r="N322" s="24"/>
      <c r="O322" s="26">
        <f>GET_OK_GROUPS_COUNT(tbStoryEnemy[[#This Row],[Camp]],tbStoryEnemy[[#This Row],[Difficulty]],tbStoryEnemy[[#This Row],[IsBoss]],tbStoryEnemy[[#This Row],[Hero1]:[Soldier3]])</f>
        <v>3</v>
      </c>
      <c r="P322" s="24">
        <v>3</v>
      </c>
      <c r="Q322" s="25" t="s">
        <v>912</v>
      </c>
      <c r="R322" s="24"/>
      <c r="S322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323" spans="2:19">
      <c r="B323" s="24" t="s">
        <v>761</v>
      </c>
      <c r="C323" s="34" t="s">
        <v>1289</v>
      </c>
      <c r="D323" s="24">
        <v>1</v>
      </c>
      <c r="E323" s="24">
        <v>0</v>
      </c>
      <c r="F323" s="24" t="s">
        <v>151</v>
      </c>
      <c r="G323" s="24" t="s">
        <v>1169</v>
      </c>
      <c r="H323" s="24"/>
      <c r="I323" s="24"/>
      <c r="J323" s="24"/>
      <c r="K323" s="24"/>
      <c r="L323" s="24" t="s">
        <v>25</v>
      </c>
      <c r="M323" s="24" t="s">
        <v>26</v>
      </c>
      <c r="N323" s="24"/>
      <c r="O323" s="26">
        <f>GET_OK_GROUPS_COUNT(tbStoryEnemy[[#This Row],[Camp]],tbStoryEnemy[[#This Row],[Difficulty]],tbStoryEnemy[[#This Row],[IsBoss]],tbStoryEnemy[[#This Row],[Hero1]:[Soldier3]])</f>
        <v>5</v>
      </c>
      <c r="P323" s="24">
        <v>1</v>
      </c>
      <c r="Q323" s="25" t="s">
        <v>912</v>
      </c>
      <c r="R323" s="24"/>
      <c r="S323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324" spans="2:19">
      <c r="B324" s="24" t="s">
        <v>761</v>
      </c>
      <c r="C324" s="34" t="s">
        <v>1289</v>
      </c>
      <c r="D324" s="24">
        <v>2</v>
      </c>
      <c r="E324" s="24">
        <v>0</v>
      </c>
      <c r="F324" s="24" t="s">
        <v>151</v>
      </c>
      <c r="G324" s="24" t="s">
        <v>1169</v>
      </c>
      <c r="H324" s="24"/>
      <c r="I324" s="24" t="s">
        <v>382</v>
      </c>
      <c r="J324" s="24" t="s">
        <v>381</v>
      </c>
      <c r="K324" s="24"/>
      <c r="L324" s="24"/>
      <c r="M324" s="24"/>
      <c r="N324" s="24"/>
      <c r="O324" s="26">
        <f>GET_OK_GROUPS_COUNT(tbStoryEnemy[[#This Row],[Camp]],tbStoryEnemy[[#This Row],[Difficulty]],tbStoryEnemy[[#This Row],[IsBoss]],tbStoryEnemy[[#This Row],[Hero1]:[Soldier3]])</f>
        <v>1</v>
      </c>
      <c r="P324" s="24">
        <v>1</v>
      </c>
      <c r="Q324" s="25" t="s">
        <v>912</v>
      </c>
      <c r="R324" s="24"/>
      <c r="S324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25" spans="2:19">
      <c r="B325" s="24" t="s">
        <v>762</v>
      </c>
      <c r="C325" s="34" t="s">
        <v>1289</v>
      </c>
      <c r="D325" s="24">
        <v>1</v>
      </c>
      <c r="E325" s="24">
        <v>0</v>
      </c>
      <c r="F325" s="24" t="s">
        <v>151</v>
      </c>
      <c r="G325" s="24" t="s">
        <v>1169</v>
      </c>
      <c r="H325" s="24"/>
      <c r="I325" s="24"/>
      <c r="J325" s="24"/>
      <c r="K325" s="24"/>
      <c r="L325" s="24" t="s">
        <v>448</v>
      </c>
      <c r="M325" s="24"/>
      <c r="N325" s="24"/>
      <c r="O325" s="26">
        <f>GET_OK_GROUPS_COUNT(tbStoryEnemy[[#This Row],[Camp]],tbStoryEnemy[[#This Row],[Difficulty]],tbStoryEnemy[[#This Row],[IsBoss]],tbStoryEnemy[[#This Row],[Hero1]:[Soldier3]])</f>
        <v>10</v>
      </c>
      <c r="P325" s="24">
        <v>1</v>
      </c>
      <c r="Q325" s="25" t="s">
        <v>912</v>
      </c>
      <c r="R325" s="24"/>
      <c r="S325" s="26" t="str">
        <f>GET_OK_GROUP(tbStoryEnemy[[#This Row],[Camp]],tbStoryEnemy[[#This Row],[Difficulty]],tbStoryEnemy[[#This Row],[IsBoss]],tbStoryEnemy[[#This Row],[Hero1]:[Soldier3]],tbStoryEnemy[[#This Row],[GroupID]])</f>
        <v>三国-困难-刺兵</v>
      </c>
    </row>
    <row r="326" spans="2:19">
      <c r="B326" s="24" t="s">
        <v>762</v>
      </c>
      <c r="C326" s="34" t="s">
        <v>1289</v>
      </c>
      <c r="D326" s="24">
        <v>2</v>
      </c>
      <c r="E326" s="24">
        <v>0</v>
      </c>
      <c r="F326" s="24" t="s">
        <v>151</v>
      </c>
      <c r="G326" s="24" t="s">
        <v>1126</v>
      </c>
      <c r="H326" s="24" t="b">
        <v>1</v>
      </c>
      <c r="I326" s="24" t="s">
        <v>389</v>
      </c>
      <c r="J326" s="24" t="s">
        <v>382</v>
      </c>
      <c r="K326" s="24" t="s">
        <v>381</v>
      </c>
      <c r="L326" s="24"/>
      <c r="M326" s="24"/>
      <c r="N326" s="24"/>
      <c r="O326" s="26">
        <f>GET_OK_GROUPS_COUNT(tbStoryEnemy[[#This Row],[Camp]],tbStoryEnemy[[#This Row],[Difficulty]],tbStoryEnemy[[#This Row],[IsBoss]],tbStoryEnemy[[#This Row],[Hero1]:[Soldier3]])</f>
        <v>1</v>
      </c>
      <c r="P326" s="24">
        <v>1</v>
      </c>
      <c r="Q326" s="25" t="s">
        <v>389</v>
      </c>
      <c r="R326" s="24"/>
      <c r="S326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327" spans="2:19">
      <c r="B327" s="24" t="s">
        <v>763</v>
      </c>
      <c r="C327" s="34" t="s">
        <v>1289</v>
      </c>
      <c r="D327" s="24">
        <v>1</v>
      </c>
      <c r="E327" s="24">
        <v>0</v>
      </c>
      <c r="F327" s="24" t="s">
        <v>151</v>
      </c>
      <c r="G327" s="24" t="s">
        <v>1169</v>
      </c>
      <c r="H327" s="24"/>
      <c r="I327" s="24"/>
      <c r="J327" s="24"/>
      <c r="K327" s="24"/>
      <c r="L327" s="24" t="s">
        <v>28</v>
      </c>
      <c r="M327" s="24"/>
      <c r="N327" s="24"/>
      <c r="O327" s="26">
        <f>GET_OK_GROUPS_COUNT(tbStoryEnemy[[#This Row],[Camp]],tbStoryEnemy[[#This Row],[Difficulty]],tbStoryEnemy[[#This Row],[IsBoss]],tbStoryEnemy[[#This Row],[Hero1]:[Soldier3]])</f>
        <v>9</v>
      </c>
      <c r="P327" s="24">
        <v>1</v>
      </c>
      <c r="Q327" s="25" t="s">
        <v>912</v>
      </c>
      <c r="R327" s="24"/>
      <c r="S327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328" spans="2:19">
      <c r="B328" s="24" t="s">
        <v>763</v>
      </c>
      <c r="C328" s="34" t="s">
        <v>1289</v>
      </c>
      <c r="D328" s="24">
        <v>2</v>
      </c>
      <c r="E328" s="24">
        <v>0</v>
      </c>
      <c r="F328" s="24" t="s">
        <v>151</v>
      </c>
      <c r="G328" s="24" t="s">
        <v>1169</v>
      </c>
      <c r="H328" s="24"/>
      <c r="I328" s="24" t="s">
        <v>380</v>
      </c>
      <c r="J328" s="24" t="s">
        <v>381</v>
      </c>
      <c r="K328" s="24"/>
      <c r="L328" s="24"/>
      <c r="M328" s="24"/>
      <c r="N328" s="24"/>
      <c r="O328" s="26">
        <f>GET_OK_GROUPS_COUNT(tbStoryEnemy[[#This Row],[Camp]],tbStoryEnemy[[#This Row],[Difficulty]],tbStoryEnemy[[#This Row],[IsBoss]],tbStoryEnemy[[#This Row],[Hero1]:[Soldier3]])</f>
        <v>1</v>
      </c>
      <c r="P328" s="24">
        <v>1</v>
      </c>
      <c r="Q328" s="25" t="s">
        <v>912</v>
      </c>
      <c r="R328" s="24"/>
      <c r="S328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329" spans="2:19">
      <c r="B329" s="24" t="s">
        <v>764</v>
      </c>
      <c r="C329" s="34" t="s">
        <v>1289</v>
      </c>
      <c r="D329" s="24">
        <v>1</v>
      </c>
      <c r="E329" s="24">
        <v>0</v>
      </c>
      <c r="F329" s="24" t="s">
        <v>151</v>
      </c>
      <c r="G329" s="24" t="s">
        <v>1169</v>
      </c>
      <c r="H329" s="24"/>
      <c r="I329" s="24"/>
      <c r="J329" s="24"/>
      <c r="K329" s="24"/>
      <c r="L329" s="24" t="s">
        <v>25</v>
      </c>
      <c r="M329" s="24"/>
      <c r="N329" s="24"/>
      <c r="O329" s="26">
        <f>GET_OK_GROUPS_COUNT(tbStoryEnemy[[#This Row],[Camp]],tbStoryEnemy[[#This Row],[Difficulty]],tbStoryEnemy[[#This Row],[IsBoss]],tbStoryEnemy[[#This Row],[Hero1]:[Soldier3]])</f>
        <v>14</v>
      </c>
      <c r="P329" s="24">
        <v>1</v>
      </c>
      <c r="Q329" s="25" t="s">
        <v>912</v>
      </c>
      <c r="R329" s="24"/>
      <c r="S329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330" spans="2:19">
      <c r="B330" s="24" t="s">
        <v>764</v>
      </c>
      <c r="C330" s="34" t="s">
        <v>1289</v>
      </c>
      <c r="D330" s="24">
        <v>2</v>
      </c>
      <c r="E330" s="24">
        <v>0</v>
      </c>
      <c r="F330" s="24" t="s">
        <v>151</v>
      </c>
      <c r="G330" s="24" t="s">
        <v>1126</v>
      </c>
      <c r="H330" s="24"/>
      <c r="I330" s="24" t="s">
        <v>385</v>
      </c>
      <c r="J330" s="24" t="s">
        <v>385</v>
      </c>
      <c r="K330" s="24"/>
      <c r="L330" s="24"/>
      <c r="M330" s="24"/>
      <c r="N330" s="24"/>
      <c r="O330" s="26">
        <f>GET_OK_GROUPS_COUNT(tbStoryEnemy[[#This Row],[Camp]],tbStoryEnemy[[#This Row],[Difficulty]],tbStoryEnemy[[#This Row],[IsBoss]],tbStoryEnemy[[#This Row],[Hero1]:[Soldier3]])</f>
        <v>1</v>
      </c>
      <c r="P330" s="24">
        <v>1</v>
      </c>
      <c r="Q330" s="25" t="s">
        <v>912</v>
      </c>
      <c r="R330" s="24"/>
      <c r="S330" s="26" t="str">
        <f>GET_OK_GROUP(tbStoryEnemy[[#This Row],[Camp]],tbStoryEnemy[[#This Row],[Difficulty]],tbStoryEnemy[[#This Row],[IsBoss]],tbStoryEnemy[[#This Row],[Hero1]:[Soldier3]],tbStoryEnemy[[#This Row],[GroupID]])</f>
        <v>三国-超难-刺英+刺英</v>
      </c>
    </row>
    <row r="331" spans="2:19">
      <c r="B331" s="24" t="s">
        <v>765</v>
      </c>
      <c r="C331" s="34" t="s">
        <v>1289</v>
      </c>
      <c r="D331" s="24">
        <v>1</v>
      </c>
      <c r="E331" s="24">
        <v>0</v>
      </c>
      <c r="F331" s="24" t="s">
        <v>151</v>
      </c>
      <c r="G331" s="24" t="s">
        <v>1126</v>
      </c>
      <c r="H331" s="24"/>
      <c r="I331" s="34" t="s">
        <v>1173</v>
      </c>
      <c r="J331" s="34" t="s">
        <v>1166</v>
      </c>
      <c r="K331" s="24"/>
      <c r="L331" s="24"/>
      <c r="M331" s="24"/>
      <c r="N331" s="24"/>
      <c r="O331" s="26">
        <f>GET_OK_GROUPS_COUNT(tbStoryEnemy[[#This Row],[Camp]],tbStoryEnemy[[#This Row],[Difficulty]],tbStoryEnemy[[#This Row],[IsBoss]],tbStoryEnemy[[#This Row],[Hero1]:[Soldier3]])</f>
        <v>1</v>
      </c>
      <c r="P331" s="24">
        <v>1</v>
      </c>
      <c r="Q331" s="25" t="s">
        <v>912</v>
      </c>
      <c r="R331" s="24"/>
      <c r="S331" s="26" t="str">
        <f>GET_OK_GROUP(tbStoryEnemy[[#This Row],[Camp]],tbStoryEnemy[[#This Row],[Difficulty]],tbStoryEnemy[[#This Row],[IsBoss]],tbStoryEnemy[[#This Row],[Hero1]:[Soldier3]],tbStoryEnemy[[#This Row],[GroupID]])</f>
        <v>三国-超难-铁英+法英</v>
      </c>
    </row>
    <row r="332" spans="2:19">
      <c r="B332" s="24" t="s">
        <v>765</v>
      </c>
      <c r="C332" s="34" t="s">
        <v>1289</v>
      </c>
      <c r="D332" s="24">
        <v>2</v>
      </c>
      <c r="E332" s="24">
        <v>0</v>
      </c>
      <c r="F332" s="24" t="s">
        <v>151</v>
      </c>
      <c r="G332" s="24" t="s">
        <v>1126</v>
      </c>
      <c r="H332" s="24" t="b">
        <v>1</v>
      </c>
      <c r="I332" s="24" t="s">
        <v>433</v>
      </c>
      <c r="J332" s="24" t="s">
        <v>384</v>
      </c>
      <c r="K332" s="24"/>
      <c r="L332" s="24"/>
      <c r="M332" s="24"/>
      <c r="N332" s="24"/>
      <c r="O332" s="26">
        <f>GET_OK_GROUPS_COUNT(tbStoryEnemy[[#This Row],[Camp]],tbStoryEnemy[[#This Row],[Difficulty]],tbStoryEnemy[[#This Row],[IsBoss]],tbStoryEnemy[[#This Row],[Hero1]:[Soldier3]])</f>
        <v>1</v>
      </c>
      <c r="P332" s="24">
        <v>1</v>
      </c>
      <c r="Q332" s="25" t="s">
        <v>433</v>
      </c>
      <c r="R332" s="24"/>
      <c r="S332" s="26" t="str">
        <f>GET_OK_GROUP(tbStoryEnemy[[#This Row],[Camp]],tbStoryEnemy[[#This Row],[Difficulty]],tbStoryEnemy[[#This Row],[IsBoss]],tbStoryEnemy[[#This Row],[Hero1]:[Soldier3]],tbStoryEnemy[[#This Row],[GroupID]])</f>
        <v>三国-超难-[B]炼英+法英</v>
      </c>
    </row>
    <row r="333" spans="2:19">
      <c r="B333" s="24" t="s">
        <v>766</v>
      </c>
      <c r="C333" s="34" t="s">
        <v>1289</v>
      </c>
      <c r="D333" s="24">
        <v>1</v>
      </c>
      <c r="E333" s="24">
        <v>0</v>
      </c>
      <c r="F333" s="24" t="s">
        <v>151</v>
      </c>
      <c r="G333" s="24" t="s">
        <v>1338</v>
      </c>
      <c r="H333" s="24"/>
      <c r="I333" s="24"/>
      <c r="J333" s="24"/>
      <c r="K333" s="24"/>
      <c r="L333" s="24" t="s">
        <v>28</v>
      </c>
      <c r="M333" s="24"/>
      <c r="N333" s="24"/>
      <c r="O333" s="26">
        <f>GET_OK_GROUPS_COUNT(tbStoryEnemy[[#This Row],[Camp]],tbStoryEnemy[[#This Row],[Difficulty]],tbStoryEnemy[[#This Row],[IsBoss]],tbStoryEnemy[[#This Row],[Hero1]:[Soldier3]])</f>
        <v>3</v>
      </c>
      <c r="P333" s="24">
        <v>1</v>
      </c>
      <c r="Q333" s="25" t="s">
        <v>912</v>
      </c>
      <c r="R333" s="24"/>
      <c r="S333" s="26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334" spans="2:19">
      <c r="B334" s="24" t="s">
        <v>766</v>
      </c>
      <c r="C334" s="34" t="s">
        <v>1289</v>
      </c>
      <c r="D334" s="24">
        <v>2</v>
      </c>
      <c r="E334" s="24">
        <v>0</v>
      </c>
      <c r="F334" s="24" t="s">
        <v>151</v>
      </c>
      <c r="G334" s="24" t="s">
        <v>1169</v>
      </c>
      <c r="H334" s="24"/>
      <c r="I334" s="24" t="s">
        <v>382</v>
      </c>
      <c r="J334" s="24" t="s">
        <v>385</v>
      </c>
      <c r="K334" s="24"/>
      <c r="L334" s="24"/>
      <c r="M334" s="24"/>
      <c r="N334" s="24"/>
      <c r="O334" s="26">
        <f>GET_OK_GROUPS_COUNT(tbStoryEnemy[[#This Row],[Camp]],tbStoryEnemy[[#This Row],[Difficulty]],tbStoryEnemy[[#This Row],[IsBoss]],tbStoryEnemy[[#This Row],[Hero1]:[Soldier3]])</f>
        <v>1</v>
      </c>
      <c r="P334" s="24">
        <v>1</v>
      </c>
      <c r="Q334" s="25" t="s">
        <v>912</v>
      </c>
      <c r="R334" s="24"/>
      <c r="S334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335" spans="2:19">
      <c r="B335" s="24" t="s">
        <v>767</v>
      </c>
      <c r="C335" s="34" t="s">
        <v>1289</v>
      </c>
      <c r="D335" s="24">
        <v>1</v>
      </c>
      <c r="E335" s="24">
        <v>0</v>
      </c>
      <c r="F335" s="24" t="s">
        <v>151</v>
      </c>
      <c r="G335" s="24" t="s">
        <v>1338</v>
      </c>
      <c r="H335" s="24"/>
      <c r="I335" s="24"/>
      <c r="J335" s="24"/>
      <c r="K335" s="24"/>
      <c r="L335" s="24" t="s">
        <v>25</v>
      </c>
      <c r="M335" s="24"/>
      <c r="N335" s="24"/>
      <c r="O335" s="26">
        <f>GET_OK_GROUPS_COUNT(tbStoryEnemy[[#This Row],[Camp]],tbStoryEnemy[[#This Row],[Difficulty]],tbStoryEnemy[[#This Row],[IsBoss]],tbStoryEnemy[[#This Row],[Hero1]:[Soldier3]])</f>
        <v>5</v>
      </c>
      <c r="P335" s="24">
        <v>4</v>
      </c>
      <c r="Q335" s="25" t="s">
        <v>912</v>
      </c>
      <c r="R335" s="24"/>
      <c r="S335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36" spans="2:19">
      <c r="B336" s="24" t="s">
        <v>767</v>
      </c>
      <c r="C336" s="34" t="s">
        <v>1289</v>
      </c>
      <c r="D336" s="24">
        <v>2</v>
      </c>
      <c r="E336" s="24">
        <v>0</v>
      </c>
      <c r="F336" s="24" t="s">
        <v>151</v>
      </c>
      <c r="G336" s="24" t="s">
        <v>1169</v>
      </c>
      <c r="H336" s="24"/>
      <c r="I336" s="24" t="s">
        <v>381</v>
      </c>
      <c r="J336" s="24"/>
      <c r="K336" s="24"/>
      <c r="L336" s="24" t="s">
        <v>34</v>
      </c>
      <c r="M336" s="24"/>
      <c r="N336" s="24"/>
      <c r="O336" s="26">
        <f>GET_OK_GROUPS_COUNT(tbStoryEnemy[[#This Row],[Camp]],tbStoryEnemy[[#This Row],[Difficulty]],tbStoryEnemy[[#This Row],[IsBoss]],tbStoryEnemy[[#This Row],[Hero1]:[Soldier3]])</f>
        <v>1</v>
      </c>
      <c r="P336" s="24">
        <v>1</v>
      </c>
      <c r="Q336" s="25" t="s">
        <v>912</v>
      </c>
      <c r="R336" s="24"/>
      <c r="S336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337" spans="2:19">
      <c r="B337" s="24" t="s">
        <v>768</v>
      </c>
      <c r="C337" s="34" t="s">
        <v>1289</v>
      </c>
      <c r="D337" s="24">
        <v>1</v>
      </c>
      <c r="E337" s="24">
        <v>0</v>
      </c>
      <c r="F337" s="24" t="s">
        <v>151</v>
      </c>
      <c r="G337" s="24" t="s">
        <v>1169</v>
      </c>
      <c r="H337" s="24"/>
      <c r="I337" s="24"/>
      <c r="J337" s="24"/>
      <c r="K337" s="24"/>
      <c r="L337" s="24" t="s">
        <v>34</v>
      </c>
      <c r="M337" s="24" t="s">
        <v>28</v>
      </c>
      <c r="N337" s="24"/>
      <c r="O337" s="26">
        <f>GET_OK_GROUPS_COUNT(tbStoryEnemy[[#This Row],[Camp]],tbStoryEnemy[[#This Row],[Difficulty]],tbStoryEnemy[[#This Row],[IsBoss]],tbStoryEnemy[[#This Row],[Hero1]:[Soldier3]])</f>
        <v>5</v>
      </c>
      <c r="P337" s="24">
        <v>1</v>
      </c>
      <c r="Q337" s="25" t="s">
        <v>912</v>
      </c>
      <c r="R337" s="24"/>
      <c r="S337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338" spans="2:19">
      <c r="B338" s="24" t="s">
        <v>768</v>
      </c>
      <c r="C338" s="34" t="s">
        <v>1289</v>
      </c>
      <c r="D338" s="24">
        <v>2</v>
      </c>
      <c r="E338" s="24">
        <v>0</v>
      </c>
      <c r="F338" s="24" t="s">
        <v>151</v>
      </c>
      <c r="G338" s="24" t="s">
        <v>1169</v>
      </c>
      <c r="H338" s="24" t="b">
        <v>1</v>
      </c>
      <c r="I338" s="24" t="s">
        <v>432</v>
      </c>
      <c r="J338" s="24" t="s">
        <v>381</v>
      </c>
      <c r="K338" s="24"/>
      <c r="L338" s="24"/>
      <c r="M338" s="24"/>
      <c r="N338" s="24"/>
      <c r="O338" s="26">
        <f>GET_OK_GROUPS_COUNT(tbStoryEnemy[[#This Row],[Camp]],tbStoryEnemy[[#This Row],[Difficulty]],tbStoryEnemy[[#This Row],[IsBoss]],tbStoryEnemy[[#This Row],[Hero1]:[Soldier3]])</f>
        <v>1</v>
      </c>
      <c r="P338" s="24">
        <v>1</v>
      </c>
      <c r="Q338" s="25" t="s">
        <v>432</v>
      </c>
      <c r="R338" s="24"/>
      <c r="S338" s="26" t="str">
        <f>GET_OK_GROUP(tbStoryEnemy[[#This Row],[Camp]],tbStoryEnemy[[#This Row],[Difficulty]],tbStoryEnemy[[#This Row],[IsBoss]],tbStoryEnemy[[#This Row],[Hero1]:[Soldier3]],tbStoryEnemy[[#This Row],[GroupID]])</f>
        <v>三国-困难-[B]强英+刺英</v>
      </c>
    </row>
    <row r="339" spans="2:19">
      <c r="B339" s="24" t="s">
        <v>769</v>
      </c>
      <c r="C339" s="34" t="s">
        <v>1289</v>
      </c>
      <c r="D339" s="24">
        <v>1</v>
      </c>
      <c r="E339" s="24">
        <v>0</v>
      </c>
      <c r="F339" s="24" t="s">
        <v>151</v>
      </c>
      <c r="G339" s="24" t="s">
        <v>1338</v>
      </c>
      <c r="H339" s="24"/>
      <c r="I339" s="24"/>
      <c r="J339" s="24"/>
      <c r="K339" s="24"/>
      <c r="L339" s="24" t="s">
        <v>28</v>
      </c>
      <c r="M339" s="24"/>
      <c r="N339" s="24"/>
      <c r="O339" s="26">
        <f>GET_OK_GROUPS_COUNT(tbStoryEnemy[[#This Row],[Camp]],tbStoryEnemy[[#This Row],[Difficulty]],tbStoryEnemy[[#This Row],[IsBoss]],tbStoryEnemy[[#This Row],[Hero1]:[Soldier3]])</f>
        <v>3</v>
      </c>
      <c r="P339" s="24">
        <v>3</v>
      </c>
      <c r="Q339" s="25" t="s">
        <v>912</v>
      </c>
      <c r="R339" s="24"/>
      <c r="S339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340" spans="2:19">
      <c r="B340" s="24" t="s">
        <v>769</v>
      </c>
      <c r="C340" s="34" t="s">
        <v>1289</v>
      </c>
      <c r="D340" s="24">
        <v>2</v>
      </c>
      <c r="E340" s="24">
        <v>0</v>
      </c>
      <c r="F340" s="24" t="s">
        <v>151</v>
      </c>
      <c r="G340" s="24" t="s">
        <v>1169</v>
      </c>
      <c r="H340" s="24"/>
      <c r="I340" s="24" t="s">
        <v>380</v>
      </c>
      <c r="J340" s="24" t="s">
        <v>380</v>
      </c>
      <c r="K340" s="24"/>
      <c r="L340" s="24"/>
      <c r="M340" s="24"/>
      <c r="N340" s="24"/>
      <c r="O340" s="26">
        <f>GET_OK_GROUPS_COUNT(tbStoryEnemy[[#This Row],[Camp]],tbStoryEnemy[[#This Row],[Difficulty]],tbStoryEnemy[[#This Row],[IsBoss]],tbStoryEnemy[[#This Row],[Hero1]:[Soldier3]])</f>
        <v>1</v>
      </c>
      <c r="P340" s="24">
        <v>1</v>
      </c>
      <c r="Q340" s="25" t="s">
        <v>912</v>
      </c>
      <c r="R340" s="24"/>
      <c r="S340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341" spans="2:19">
      <c r="B341" s="24" t="s">
        <v>770</v>
      </c>
      <c r="C341" s="34" t="s">
        <v>1289</v>
      </c>
      <c r="D341" s="24">
        <v>1</v>
      </c>
      <c r="E341" s="24">
        <v>0</v>
      </c>
      <c r="F341" s="24" t="s">
        <v>151</v>
      </c>
      <c r="G341" s="24" t="s">
        <v>1169</v>
      </c>
      <c r="H341" s="24"/>
      <c r="I341" s="24" t="s">
        <v>380</v>
      </c>
      <c r="J341" s="24"/>
      <c r="K341" s="24"/>
      <c r="L341" s="24"/>
      <c r="M341" s="24"/>
      <c r="N341" s="24"/>
      <c r="O341" s="26">
        <f>GET_OK_GROUPS_COUNT(tbStoryEnemy[[#This Row],[Camp]],tbStoryEnemy[[#This Row],[Difficulty]],tbStoryEnemy[[#This Row],[IsBoss]],tbStoryEnemy[[#This Row],[Hero1]:[Soldier3]])</f>
        <v>4</v>
      </c>
      <c r="P341" s="24">
        <v>2</v>
      </c>
      <c r="Q341" s="25" t="s">
        <v>912</v>
      </c>
      <c r="R341" s="24"/>
      <c r="S341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342" spans="2:19">
      <c r="B342" s="24" t="s">
        <v>770</v>
      </c>
      <c r="C342" s="34" t="s">
        <v>1289</v>
      </c>
      <c r="D342" s="24">
        <v>2</v>
      </c>
      <c r="E342" s="24">
        <v>0</v>
      </c>
      <c r="F342" s="24" t="s">
        <v>151</v>
      </c>
      <c r="G342" s="24" t="s">
        <v>1169</v>
      </c>
      <c r="H342" s="24"/>
      <c r="I342" s="24" t="s">
        <v>382</v>
      </c>
      <c r="J342" s="24" t="s">
        <v>383</v>
      </c>
      <c r="K342" s="24"/>
      <c r="L342" s="24"/>
      <c r="M342" s="24"/>
      <c r="N342" s="24"/>
      <c r="O342" s="26">
        <f>GET_OK_GROUPS_COUNT(tbStoryEnemy[[#This Row],[Camp]],tbStoryEnemy[[#This Row],[Difficulty]],tbStoryEnemy[[#This Row],[IsBoss]],tbStoryEnemy[[#This Row],[Hero1]:[Soldier3]])</f>
        <v>1</v>
      </c>
      <c r="P342" s="24">
        <v>1</v>
      </c>
      <c r="Q342" s="25" t="s">
        <v>912</v>
      </c>
      <c r="R342" s="24"/>
      <c r="S342" s="26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343" spans="2:19">
      <c r="B343" s="24" t="s">
        <v>771</v>
      </c>
      <c r="C343" s="34" t="s">
        <v>1289</v>
      </c>
      <c r="D343" s="24">
        <v>1</v>
      </c>
      <c r="E343" s="24">
        <v>0</v>
      </c>
      <c r="F343" s="24" t="s">
        <v>151</v>
      </c>
      <c r="G343" s="24" t="s">
        <v>1169</v>
      </c>
      <c r="H343" s="24"/>
      <c r="I343" s="24" t="s">
        <v>381</v>
      </c>
      <c r="J343" s="24"/>
      <c r="K343" s="24"/>
      <c r="L343" s="24" t="s">
        <v>49</v>
      </c>
      <c r="M343" s="24"/>
      <c r="N343" s="24"/>
      <c r="O343" s="26">
        <f>GET_OK_GROUPS_COUNT(tbStoryEnemy[[#This Row],[Camp]],tbStoryEnemy[[#This Row],[Difficulty]],tbStoryEnemy[[#This Row],[IsBoss]],tbStoryEnemy[[#This Row],[Hero1]:[Soldier3]])</f>
        <v>1</v>
      </c>
      <c r="P343" s="24">
        <v>1</v>
      </c>
      <c r="Q343" s="25" t="s">
        <v>912</v>
      </c>
      <c r="R343" s="24"/>
      <c r="S343" s="26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344" spans="2:19">
      <c r="B344" s="24" t="s">
        <v>771</v>
      </c>
      <c r="C344" s="34" t="s">
        <v>1289</v>
      </c>
      <c r="D344" s="24">
        <v>2</v>
      </c>
      <c r="E344" s="24">
        <v>0</v>
      </c>
      <c r="F344" s="24" t="s">
        <v>151</v>
      </c>
      <c r="G344" s="24" t="s">
        <v>1126</v>
      </c>
      <c r="H344" s="24" t="b">
        <v>1</v>
      </c>
      <c r="I344" s="24" t="s">
        <v>1189</v>
      </c>
      <c r="J344" s="24" t="s">
        <v>383</v>
      </c>
      <c r="K344" s="24"/>
      <c r="L344" s="24"/>
      <c r="M344" s="24"/>
      <c r="N344" s="24"/>
      <c r="O344" s="26">
        <f>GET_OK_GROUPS_COUNT(tbStoryEnemy[[#This Row],[Camp]],tbStoryEnemy[[#This Row],[Difficulty]],tbStoryEnemy[[#This Row],[IsBoss]],tbStoryEnemy[[#This Row],[Hero1]:[Soldier3]])</f>
        <v>1</v>
      </c>
      <c r="P344" s="24">
        <v>1</v>
      </c>
      <c r="Q344" s="25" t="s">
        <v>1189</v>
      </c>
      <c r="R344" s="24"/>
      <c r="S344" s="26" t="str">
        <f>GET_OK_GROUP(tbStoryEnemy[[#This Row],[Camp]],tbStoryEnemy[[#This Row],[Difficulty]],tbStoryEnemy[[#This Row],[IsBoss]],tbStoryEnemy[[#This Row],[Hero1]:[Soldier3]],tbStoryEnemy[[#This Row],[GroupID]])</f>
        <v>三国-超难-[B]盾英+炼英</v>
      </c>
    </row>
    <row r="345" spans="2:19">
      <c r="B345" s="24" t="s">
        <v>1220</v>
      </c>
      <c r="C345" s="34" t="s">
        <v>1289</v>
      </c>
      <c r="D345" s="24">
        <v>1</v>
      </c>
      <c r="E345" s="24">
        <v>0</v>
      </c>
      <c r="F345" s="24" t="s">
        <v>151</v>
      </c>
      <c r="G345" s="24" t="s">
        <v>1338</v>
      </c>
      <c r="H345" s="24"/>
      <c r="I345" s="24"/>
      <c r="J345" s="24"/>
      <c r="K345" s="24"/>
      <c r="L345" s="24" t="s">
        <v>49</v>
      </c>
      <c r="M345" s="24"/>
      <c r="N345" s="24"/>
      <c r="O345" s="26">
        <f>GET_OK_GROUPS_COUNT(tbStoryEnemy[[#This Row],[Camp]],tbStoryEnemy[[#This Row],[Difficulty]],tbStoryEnemy[[#This Row],[IsBoss]],tbStoryEnemy[[#This Row],[Hero1]:[Soldier3]])</f>
        <v>1</v>
      </c>
      <c r="P345" s="24">
        <v>1</v>
      </c>
      <c r="Q345" s="25" t="s">
        <v>912</v>
      </c>
      <c r="R345" s="24"/>
      <c r="S345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346" spans="2:19">
      <c r="B346" s="24" t="s">
        <v>1220</v>
      </c>
      <c r="C346" s="34" t="s">
        <v>1289</v>
      </c>
      <c r="D346" s="24">
        <v>2</v>
      </c>
      <c r="E346" s="24">
        <v>0</v>
      </c>
      <c r="F346" s="24" t="s">
        <v>151</v>
      </c>
      <c r="G346" s="24" t="s">
        <v>1169</v>
      </c>
      <c r="H346" s="24"/>
      <c r="I346" s="24" t="s">
        <v>382</v>
      </c>
      <c r="J346" s="24" t="s">
        <v>385</v>
      </c>
      <c r="K346" s="24"/>
      <c r="L346" s="24"/>
      <c r="M346" s="24"/>
      <c r="N346" s="24"/>
      <c r="O346" s="26">
        <f>GET_OK_GROUPS_COUNT(tbStoryEnemy[[#This Row],[Camp]],tbStoryEnemy[[#This Row],[Difficulty]],tbStoryEnemy[[#This Row],[IsBoss]],tbStoryEnemy[[#This Row],[Hero1]:[Soldier3]])</f>
        <v>1</v>
      </c>
      <c r="P346" s="24">
        <v>1</v>
      </c>
      <c r="Q346" s="25" t="s">
        <v>912</v>
      </c>
      <c r="R346" s="24"/>
      <c r="S346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347" spans="2:19">
      <c r="B347" s="24" t="s">
        <v>1221</v>
      </c>
      <c r="C347" s="34" t="s">
        <v>1289</v>
      </c>
      <c r="D347" s="24">
        <v>1</v>
      </c>
      <c r="E347" s="24">
        <v>0</v>
      </c>
      <c r="F347" s="24" t="s">
        <v>151</v>
      </c>
      <c r="G347" s="24" t="s">
        <v>1338</v>
      </c>
      <c r="H347" s="24"/>
      <c r="I347" s="24"/>
      <c r="J347" s="24"/>
      <c r="K347" s="24"/>
      <c r="L347" s="24" t="s">
        <v>49</v>
      </c>
      <c r="M347" s="24"/>
      <c r="N347" s="24"/>
      <c r="O347" s="26">
        <f>GET_OK_GROUPS_COUNT(tbStoryEnemy[[#This Row],[Camp]],tbStoryEnemy[[#This Row],[Difficulty]],tbStoryEnemy[[#This Row],[IsBoss]],tbStoryEnemy[[#This Row],[Hero1]:[Soldier3]])</f>
        <v>1</v>
      </c>
      <c r="P347" s="24">
        <v>1</v>
      </c>
      <c r="Q347" s="25" t="s">
        <v>912</v>
      </c>
      <c r="R347" s="24"/>
      <c r="S347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348" spans="2:19">
      <c r="B348" s="24" t="s">
        <v>1221</v>
      </c>
      <c r="C348" s="34" t="s">
        <v>1289</v>
      </c>
      <c r="D348" s="24">
        <v>2</v>
      </c>
      <c r="E348" s="24">
        <v>0</v>
      </c>
      <c r="F348" s="24" t="s">
        <v>151</v>
      </c>
      <c r="G348" s="24" t="s">
        <v>1169</v>
      </c>
      <c r="H348" s="24"/>
      <c r="I348" s="24" t="s">
        <v>382</v>
      </c>
      <c r="J348" s="24" t="s">
        <v>384</v>
      </c>
      <c r="K348" s="24"/>
      <c r="L348" s="24"/>
      <c r="M348" s="24"/>
      <c r="N348" s="24"/>
      <c r="O348" s="26">
        <f>GET_OK_GROUPS_COUNT(tbStoryEnemy[[#This Row],[Camp]],tbStoryEnemy[[#This Row],[Difficulty]],tbStoryEnemy[[#This Row],[IsBoss]],tbStoryEnemy[[#This Row],[Hero1]:[Soldier3]])</f>
        <v>1</v>
      </c>
      <c r="P348" s="24">
        <v>1</v>
      </c>
      <c r="Q348" s="25" t="s">
        <v>912</v>
      </c>
      <c r="R348" s="24"/>
      <c r="S348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349" spans="2:19">
      <c r="B349" s="24" t="s">
        <v>1222</v>
      </c>
      <c r="C349" s="34" t="s">
        <v>1289</v>
      </c>
      <c r="D349" s="24">
        <v>1</v>
      </c>
      <c r="E349" s="24">
        <v>0</v>
      </c>
      <c r="F349" s="24" t="s">
        <v>151</v>
      </c>
      <c r="G349" s="24" t="s">
        <v>1169</v>
      </c>
      <c r="H349" s="24"/>
      <c r="I349" s="24"/>
      <c r="J349" s="24"/>
      <c r="K349" s="24"/>
      <c r="L349" s="24" t="s">
        <v>34</v>
      </c>
      <c r="M349" s="24" t="s">
        <v>26</v>
      </c>
      <c r="N349" s="24"/>
      <c r="O349" s="26">
        <f>GET_OK_GROUPS_COUNT(tbStoryEnemy[[#This Row],[Camp]],tbStoryEnemy[[#This Row],[Difficulty]],tbStoryEnemy[[#This Row],[IsBoss]],tbStoryEnemy[[#This Row],[Hero1]:[Soldier3]])</f>
        <v>5</v>
      </c>
      <c r="P349" s="24">
        <v>1</v>
      </c>
      <c r="Q349" s="25" t="s">
        <v>912</v>
      </c>
      <c r="R349" s="24"/>
      <c r="S349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350" spans="2:19">
      <c r="B350" s="24" t="s">
        <v>1222</v>
      </c>
      <c r="C350" s="34" t="s">
        <v>1289</v>
      </c>
      <c r="D350" s="24">
        <v>2</v>
      </c>
      <c r="E350" s="24">
        <v>0</v>
      </c>
      <c r="F350" s="24" t="s">
        <v>151</v>
      </c>
      <c r="G350" s="24" t="s">
        <v>1169</v>
      </c>
      <c r="H350" s="24" t="b">
        <v>1</v>
      </c>
      <c r="I350" s="24" t="s">
        <v>37</v>
      </c>
      <c r="J350" s="24" t="s">
        <v>381</v>
      </c>
      <c r="K350" s="24"/>
      <c r="L350" s="24"/>
      <c r="M350" s="24"/>
      <c r="N350" s="24"/>
      <c r="O350" s="26">
        <f>GET_OK_GROUPS_COUNT(tbStoryEnemy[[#This Row],[Camp]],tbStoryEnemy[[#This Row],[Difficulty]],tbStoryEnemy[[#This Row],[IsBoss]],tbStoryEnemy[[#This Row],[Hero1]:[Soldier3]])</f>
        <v>1</v>
      </c>
      <c r="P350" s="24">
        <v>1</v>
      </c>
      <c r="Q350" s="25" t="s">
        <v>37</v>
      </c>
      <c r="R350" s="24"/>
      <c r="S350" s="26" t="str">
        <f>GET_OK_GROUP(tbStoryEnemy[[#This Row],[Camp]],tbStoryEnemy[[#This Row],[Difficulty]],tbStoryEnemy[[#This Row],[IsBoss]],tbStoryEnemy[[#This Row],[Hero1]:[Soldier3]],tbStoryEnemy[[#This Row],[GroupID]])</f>
        <v>三国-困难-[B]强英+法英</v>
      </c>
    </row>
    <row r="351" spans="2:19">
      <c r="B351" s="24" t="s">
        <v>1223</v>
      </c>
      <c r="C351" s="34" t="s">
        <v>1289</v>
      </c>
      <c r="D351" s="24">
        <v>1</v>
      </c>
      <c r="E351" s="24">
        <v>0</v>
      </c>
      <c r="F351" s="24" t="s">
        <v>151</v>
      </c>
      <c r="G351" s="24" t="s">
        <v>1338</v>
      </c>
      <c r="H351" s="24"/>
      <c r="I351" s="24"/>
      <c r="J351" s="24"/>
      <c r="K351" s="24"/>
      <c r="L351" s="24" t="s">
        <v>447</v>
      </c>
      <c r="M351" s="24"/>
      <c r="N351" s="24"/>
      <c r="O351" s="26">
        <f>GET_OK_GROUPS_COUNT(tbStoryEnemy[[#This Row],[Camp]],tbStoryEnemy[[#This Row],[Difficulty]],tbStoryEnemy[[#This Row],[IsBoss]],tbStoryEnemy[[#This Row],[Hero1]:[Soldier3]])</f>
        <v>3</v>
      </c>
      <c r="P351" s="24">
        <v>3</v>
      </c>
      <c r="Q351" s="25" t="s">
        <v>912</v>
      </c>
      <c r="R351" s="24"/>
      <c r="S351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352" spans="2:19">
      <c r="B352" s="24" t="s">
        <v>1223</v>
      </c>
      <c r="C352" s="34" t="s">
        <v>1289</v>
      </c>
      <c r="D352" s="24">
        <v>2</v>
      </c>
      <c r="E352" s="24">
        <v>0</v>
      </c>
      <c r="F352" s="24" t="s">
        <v>151</v>
      </c>
      <c r="G352" s="24" t="s">
        <v>1169</v>
      </c>
      <c r="H352" s="24"/>
      <c r="I352" s="24" t="s">
        <v>380</v>
      </c>
      <c r="J352" s="24" t="s">
        <v>380</v>
      </c>
      <c r="K352" s="24"/>
      <c r="L352" s="24"/>
      <c r="M352" s="24"/>
      <c r="N352" s="24"/>
      <c r="O352" s="26">
        <f>GET_OK_GROUPS_COUNT(tbStoryEnemy[[#This Row],[Camp]],tbStoryEnemy[[#This Row],[Difficulty]],tbStoryEnemy[[#This Row],[IsBoss]],tbStoryEnemy[[#This Row],[Hero1]:[Soldier3]])</f>
        <v>1</v>
      </c>
      <c r="P352" s="24">
        <v>1</v>
      </c>
      <c r="Q352" s="25" t="s">
        <v>912</v>
      </c>
      <c r="R352" s="24"/>
      <c r="S352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353" spans="2:19">
      <c r="B353" s="24" t="s">
        <v>1224</v>
      </c>
      <c r="C353" s="34" t="s">
        <v>1289</v>
      </c>
      <c r="D353" s="24">
        <v>1</v>
      </c>
      <c r="E353" s="24">
        <v>0</v>
      </c>
      <c r="F353" s="24" t="s">
        <v>151</v>
      </c>
      <c r="G353" s="24" t="s">
        <v>1169</v>
      </c>
      <c r="H353" s="24"/>
      <c r="I353" s="24" t="s">
        <v>382</v>
      </c>
      <c r="J353" s="24"/>
      <c r="K353" s="24"/>
      <c r="L353" s="24" t="s">
        <v>447</v>
      </c>
      <c r="M353" s="24"/>
      <c r="N353" s="24"/>
      <c r="O353" s="26">
        <f>GET_OK_GROUPS_COUNT(tbStoryEnemy[[#This Row],[Camp]],tbStoryEnemy[[#This Row],[Difficulty]],tbStoryEnemy[[#This Row],[IsBoss]],tbStoryEnemy[[#This Row],[Hero1]:[Soldier3]])</f>
        <v>1</v>
      </c>
      <c r="P353" s="24">
        <v>1</v>
      </c>
      <c r="Q353" s="25" t="s">
        <v>912</v>
      </c>
      <c r="R353" s="24"/>
      <c r="S353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354" spans="2:19">
      <c r="B354" s="24" t="s">
        <v>1224</v>
      </c>
      <c r="C354" s="34" t="s">
        <v>1289</v>
      </c>
      <c r="D354" s="24">
        <v>2</v>
      </c>
      <c r="E354" s="24">
        <v>0</v>
      </c>
      <c r="F354" s="24" t="s">
        <v>151</v>
      </c>
      <c r="G354" s="24" t="s">
        <v>1169</v>
      </c>
      <c r="H354" s="24"/>
      <c r="I354" s="24" t="s">
        <v>384</v>
      </c>
      <c r="J354" s="24" t="s">
        <v>384</v>
      </c>
      <c r="K354" s="24"/>
      <c r="L354" s="24"/>
      <c r="M354" s="24"/>
      <c r="N354" s="24"/>
      <c r="O354" s="26">
        <f>GET_OK_GROUPS_COUNT(tbStoryEnemy[[#This Row],[Camp]],tbStoryEnemy[[#This Row],[Difficulty]],tbStoryEnemy[[#This Row],[IsBoss]],tbStoryEnemy[[#This Row],[Hero1]:[Soldier3]])</f>
        <v>1</v>
      </c>
      <c r="P354" s="24">
        <v>1</v>
      </c>
      <c r="Q354" s="25" t="s">
        <v>912</v>
      </c>
      <c r="R354" s="24"/>
      <c r="S354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355" spans="2:19">
      <c r="B355" s="24" t="s">
        <v>1225</v>
      </c>
      <c r="C355" s="34" t="s">
        <v>1289</v>
      </c>
      <c r="D355" s="24">
        <v>1</v>
      </c>
      <c r="E355" s="24">
        <v>0</v>
      </c>
      <c r="F355" s="24" t="s">
        <v>151</v>
      </c>
      <c r="G355" s="24" t="s">
        <v>1169</v>
      </c>
      <c r="H355" s="24"/>
      <c r="I355" s="24" t="s">
        <v>384</v>
      </c>
      <c r="J355" s="24"/>
      <c r="K355" s="24"/>
      <c r="L355" s="24" t="s">
        <v>34</v>
      </c>
      <c r="M355" s="24"/>
      <c r="N355" s="24"/>
      <c r="O355" s="26">
        <f>GET_OK_GROUPS_COUNT(tbStoryEnemy[[#This Row],[Camp]],tbStoryEnemy[[#This Row],[Difficulty]],tbStoryEnemy[[#This Row],[IsBoss]],tbStoryEnemy[[#This Row],[Hero1]:[Soldier3]])</f>
        <v>1</v>
      </c>
      <c r="P355" s="24">
        <v>1</v>
      </c>
      <c r="Q355" s="25" t="s">
        <v>912</v>
      </c>
      <c r="R355" s="24"/>
      <c r="S355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356" spans="2:19">
      <c r="B356" s="24" t="s">
        <v>1225</v>
      </c>
      <c r="C356" s="34" t="s">
        <v>1289</v>
      </c>
      <c r="D356" s="24">
        <v>2</v>
      </c>
      <c r="E356" s="24">
        <v>0</v>
      </c>
      <c r="F356" s="24" t="s">
        <v>151</v>
      </c>
      <c r="G356" s="24" t="s">
        <v>1126</v>
      </c>
      <c r="H356" s="24" t="b">
        <v>1</v>
      </c>
      <c r="I356" s="24" t="s">
        <v>432</v>
      </c>
      <c r="J356" s="24" t="s">
        <v>382</v>
      </c>
      <c r="K356" s="24"/>
      <c r="L356" s="24"/>
      <c r="M356" s="24"/>
      <c r="N356" s="24"/>
      <c r="O356" s="26">
        <f>GET_OK_GROUPS_COUNT(tbStoryEnemy[[#This Row],[Camp]],tbStoryEnemy[[#This Row],[Difficulty]],tbStoryEnemy[[#This Row],[IsBoss]],tbStoryEnemy[[#This Row],[Hero1]:[Soldier3]])</f>
        <v>1</v>
      </c>
      <c r="P356" s="24">
        <v>1</v>
      </c>
      <c r="Q356" s="25" t="s">
        <v>432</v>
      </c>
      <c r="R356" s="24"/>
      <c r="S356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357" spans="2:19">
      <c r="B357" s="24" t="s">
        <v>772</v>
      </c>
      <c r="C357" s="34" t="s">
        <v>1289</v>
      </c>
      <c r="D357" s="24">
        <v>1</v>
      </c>
      <c r="E357" s="24">
        <v>0</v>
      </c>
      <c r="F357" s="24" t="s">
        <v>151</v>
      </c>
      <c r="G357" s="24" t="s">
        <v>1338</v>
      </c>
      <c r="H357" s="24"/>
      <c r="I357" s="24"/>
      <c r="J357" s="24"/>
      <c r="K357" s="24"/>
      <c r="L357" s="24" t="s">
        <v>26</v>
      </c>
      <c r="M357" s="24"/>
      <c r="N357" s="24"/>
      <c r="O357" s="26">
        <f>GET_OK_GROUPS_COUNT(tbStoryEnemy[[#This Row],[Camp]],tbStoryEnemy[[#This Row],[Difficulty]],tbStoryEnemy[[#This Row],[IsBoss]],tbStoryEnemy[[#This Row],[Hero1]:[Soldier3]])</f>
        <v>3</v>
      </c>
      <c r="P357" s="24">
        <v>2</v>
      </c>
      <c r="Q357" s="25" t="s">
        <v>912</v>
      </c>
      <c r="R357" s="24"/>
      <c r="S357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58" spans="2:19">
      <c r="B358" s="24" t="s">
        <v>772</v>
      </c>
      <c r="C358" s="34" t="s">
        <v>1289</v>
      </c>
      <c r="D358" s="24">
        <v>2</v>
      </c>
      <c r="E358" s="24">
        <v>0</v>
      </c>
      <c r="F358" s="24" t="s">
        <v>151</v>
      </c>
      <c r="G358" s="24" t="s">
        <v>1169</v>
      </c>
      <c r="H358" s="24"/>
      <c r="I358" s="24" t="s">
        <v>381</v>
      </c>
      <c r="J358" s="24"/>
      <c r="K358" s="24"/>
      <c r="L358" s="24" t="s">
        <v>49</v>
      </c>
      <c r="M358" s="24"/>
      <c r="N358" s="24"/>
      <c r="O358" s="26">
        <f>GET_OK_GROUPS_COUNT(tbStoryEnemy[[#This Row],[Camp]],tbStoryEnemy[[#This Row],[Difficulty]],tbStoryEnemy[[#This Row],[IsBoss]],tbStoryEnemy[[#This Row],[Hero1]:[Soldier3]])</f>
        <v>1</v>
      </c>
      <c r="P358" s="24">
        <v>1</v>
      </c>
      <c r="Q358" s="25" t="s">
        <v>912</v>
      </c>
      <c r="R358" s="24"/>
      <c r="S358" s="26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359" spans="2:19">
      <c r="B359" s="24" t="s">
        <v>773</v>
      </c>
      <c r="C359" s="34" t="s">
        <v>1289</v>
      </c>
      <c r="D359" s="24">
        <v>1</v>
      </c>
      <c r="E359" s="24">
        <v>0</v>
      </c>
      <c r="F359" s="24" t="s">
        <v>151</v>
      </c>
      <c r="G359" s="24" t="s">
        <v>1169</v>
      </c>
      <c r="H359" s="24"/>
      <c r="I359" s="24"/>
      <c r="J359" s="24"/>
      <c r="K359" s="24"/>
      <c r="L359" s="24" t="s">
        <v>25</v>
      </c>
      <c r="M359" s="24" t="s">
        <v>28</v>
      </c>
      <c r="N359" s="24"/>
      <c r="O359" s="26">
        <f>GET_OK_GROUPS_COUNT(tbStoryEnemy[[#This Row],[Camp]],tbStoryEnemy[[#This Row],[Difficulty]],tbStoryEnemy[[#This Row],[IsBoss]],tbStoryEnemy[[#This Row],[Hero1]:[Soldier3]])</f>
        <v>5</v>
      </c>
      <c r="P359" s="24">
        <v>1</v>
      </c>
      <c r="Q359" s="25" t="s">
        <v>912</v>
      </c>
      <c r="R359" s="24"/>
      <c r="S359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360" spans="2:19">
      <c r="B360" s="24" t="s">
        <v>773</v>
      </c>
      <c r="C360" s="34" t="s">
        <v>1289</v>
      </c>
      <c r="D360" s="24">
        <v>2</v>
      </c>
      <c r="E360" s="24">
        <v>0</v>
      </c>
      <c r="F360" s="24" t="s">
        <v>151</v>
      </c>
      <c r="G360" s="24" t="s">
        <v>1169</v>
      </c>
      <c r="H360" s="24"/>
      <c r="I360" s="24" t="s">
        <v>382</v>
      </c>
      <c r="J360" s="24" t="s">
        <v>381</v>
      </c>
      <c r="K360" s="24"/>
      <c r="L360" s="24"/>
      <c r="M360" s="24"/>
      <c r="N360" s="24"/>
      <c r="O360" s="26">
        <f>GET_OK_GROUPS_COUNT(tbStoryEnemy[[#This Row],[Camp]],tbStoryEnemy[[#This Row],[Difficulty]],tbStoryEnemy[[#This Row],[IsBoss]],tbStoryEnemy[[#This Row],[Hero1]:[Soldier3]])</f>
        <v>1</v>
      </c>
      <c r="P360" s="24">
        <v>1</v>
      </c>
      <c r="Q360" s="25" t="s">
        <v>912</v>
      </c>
      <c r="R360" s="24"/>
      <c r="S360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61" spans="2:19">
      <c r="B361" s="24" t="s">
        <v>774</v>
      </c>
      <c r="C361" s="34" t="s">
        <v>1289</v>
      </c>
      <c r="D361" s="24">
        <v>1</v>
      </c>
      <c r="E361" s="24">
        <v>0</v>
      </c>
      <c r="F361" s="24" t="s">
        <v>151</v>
      </c>
      <c r="G361" s="24" t="s">
        <v>1169</v>
      </c>
      <c r="H361" s="24"/>
      <c r="I361" s="24"/>
      <c r="J361" s="24"/>
      <c r="K361" s="24"/>
      <c r="L361" s="24" t="s">
        <v>25</v>
      </c>
      <c r="M361" s="24" t="s">
        <v>447</v>
      </c>
      <c r="N361" s="24"/>
      <c r="O361" s="26">
        <f>GET_OK_GROUPS_COUNT(tbStoryEnemy[[#This Row],[Camp]],tbStoryEnemy[[#This Row],[Difficulty]],tbStoryEnemy[[#This Row],[IsBoss]],tbStoryEnemy[[#This Row],[Hero1]:[Soldier3]])</f>
        <v>5</v>
      </c>
      <c r="P361" s="24">
        <v>1</v>
      </c>
      <c r="Q361" s="25" t="s">
        <v>912</v>
      </c>
      <c r="R361" s="24"/>
      <c r="S361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362" spans="2:19">
      <c r="B362" s="24" t="s">
        <v>774</v>
      </c>
      <c r="C362" s="34" t="s">
        <v>1289</v>
      </c>
      <c r="D362" s="24">
        <v>2</v>
      </c>
      <c r="E362" s="24">
        <v>0</v>
      </c>
      <c r="F362" s="24" t="s">
        <v>151</v>
      </c>
      <c r="G362" s="24" t="s">
        <v>1126</v>
      </c>
      <c r="H362" s="24" t="b">
        <v>1</v>
      </c>
      <c r="I362" s="24" t="s">
        <v>431</v>
      </c>
      <c r="J362" s="24" t="s">
        <v>382</v>
      </c>
      <c r="K362" s="24"/>
      <c r="L362" s="24"/>
      <c r="M362" s="24"/>
      <c r="N362" s="24"/>
      <c r="O362" s="26">
        <f>GET_OK_GROUPS_COUNT(tbStoryEnemy[[#This Row],[Camp]],tbStoryEnemy[[#This Row],[Difficulty]],tbStoryEnemy[[#This Row],[IsBoss]],tbStoryEnemy[[#This Row],[Hero1]:[Soldier3]])</f>
        <v>1</v>
      </c>
      <c r="P362" s="24">
        <v>1</v>
      </c>
      <c r="Q362" s="25" t="s">
        <v>431</v>
      </c>
      <c r="R362" s="24"/>
      <c r="S362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363" spans="2:19">
      <c r="B363" s="24" t="s">
        <v>775</v>
      </c>
      <c r="C363" s="34" t="s">
        <v>1289</v>
      </c>
      <c r="D363" s="24">
        <v>1</v>
      </c>
      <c r="E363" s="24">
        <v>0</v>
      </c>
      <c r="F363" s="24" t="s">
        <v>151</v>
      </c>
      <c r="G363" s="24" t="s">
        <v>1169</v>
      </c>
      <c r="H363" s="24"/>
      <c r="I363" s="24" t="s">
        <v>385</v>
      </c>
      <c r="J363" s="24"/>
      <c r="K363" s="24"/>
      <c r="L363" s="24" t="s">
        <v>49</v>
      </c>
      <c r="M363" s="24"/>
      <c r="N363" s="24"/>
      <c r="O363" s="26">
        <f>GET_OK_GROUPS_COUNT(tbStoryEnemy[[#This Row],[Camp]],tbStoryEnemy[[#This Row],[Difficulty]],tbStoryEnemy[[#This Row],[IsBoss]],tbStoryEnemy[[#This Row],[Hero1]:[Soldier3]])</f>
        <v>1</v>
      </c>
      <c r="P363" s="24">
        <v>1</v>
      </c>
      <c r="Q363" s="25" t="s">
        <v>912</v>
      </c>
      <c r="R363" s="24"/>
      <c r="S363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364" spans="2:19">
      <c r="B364" s="24" t="s">
        <v>775</v>
      </c>
      <c r="C364" s="34" t="s">
        <v>1289</v>
      </c>
      <c r="D364" s="24">
        <v>2</v>
      </c>
      <c r="E364" s="24">
        <v>0</v>
      </c>
      <c r="F364" s="24" t="s">
        <v>151</v>
      </c>
      <c r="G364" s="24" t="s">
        <v>1169</v>
      </c>
      <c r="H364" s="24"/>
      <c r="I364" s="24" t="s">
        <v>382</v>
      </c>
      <c r="J364" s="24" t="s">
        <v>381</v>
      </c>
      <c r="K364" s="24"/>
      <c r="L364" s="24"/>
      <c r="M364" s="24"/>
      <c r="N364" s="24"/>
      <c r="O364" s="26">
        <f>GET_OK_GROUPS_COUNT(tbStoryEnemy[[#This Row],[Camp]],tbStoryEnemy[[#This Row],[Difficulty]],tbStoryEnemy[[#This Row],[IsBoss]],tbStoryEnemy[[#This Row],[Hero1]:[Soldier3]])</f>
        <v>1</v>
      </c>
      <c r="P364" s="24">
        <v>1</v>
      </c>
      <c r="Q364" s="25" t="s">
        <v>912</v>
      </c>
      <c r="R364" s="24"/>
      <c r="S364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65" spans="2:19">
      <c r="B365" s="24" t="s">
        <v>776</v>
      </c>
      <c r="C365" s="34" t="s">
        <v>1289</v>
      </c>
      <c r="D365" s="24">
        <v>1</v>
      </c>
      <c r="E365" s="24">
        <v>0</v>
      </c>
      <c r="F365" s="24" t="s">
        <v>151</v>
      </c>
      <c r="G365" s="24" t="s">
        <v>1169</v>
      </c>
      <c r="H365" s="24"/>
      <c r="I365" s="24" t="s">
        <v>382</v>
      </c>
      <c r="J365" s="24"/>
      <c r="K365" s="24"/>
      <c r="L365" s="24" t="s">
        <v>447</v>
      </c>
      <c r="M365" s="24"/>
      <c r="N365" s="24"/>
      <c r="O365" s="26">
        <f>GET_OK_GROUPS_COUNT(tbStoryEnemy[[#This Row],[Camp]],tbStoryEnemy[[#This Row],[Difficulty]],tbStoryEnemy[[#This Row],[IsBoss]],tbStoryEnemy[[#This Row],[Hero1]:[Soldier3]])</f>
        <v>1</v>
      </c>
      <c r="P365" s="24">
        <v>1</v>
      </c>
      <c r="Q365" s="25" t="s">
        <v>912</v>
      </c>
      <c r="R365" s="24"/>
      <c r="S365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366" spans="2:19">
      <c r="B366" s="24" t="s">
        <v>776</v>
      </c>
      <c r="C366" s="34" t="s">
        <v>1289</v>
      </c>
      <c r="D366" s="24">
        <v>2</v>
      </c>
      <c r="E366" s="24">
        <v>0</v>
      </c>
      <c r="F366" s="24" t="s">
        <v>151</v>
      </c>
      <c r="G366" s="24" t="s">
        <v>1126</v>
      </c>
      <c r="H366" s="24"/>
      <c r="I366" s="24" t="s">
        <v>382</v>
      </c>
      <c r="J366" s="24" t="s">
        <v>382</v>
      </c>
      <c r="K366" s="24"/>
      <c r="L366" s="24"/>
      <c r="M366" s="24"/>
      <c r="N366" s="24"/>
      <c r="O366" s="26">
        <f>GET_OK_GROUPS_COUNT(tbStoryEnemy[[#This Row],[Camp]],tbStoryEnemy[[#This Row],[Difficulty]],tbStoryEnemy[[#This Row],[IsBoss]],tbStoryEnemy[[#This Row],[Hero1]:[Soldier3]])</f>
        <v>1</v>
      </c>
      <c r="P366" s="24">
        <v>1</v>
      </c>
      <c r="Q366" s="25" t="s">
        <v>912</v>
      </c>
      <c r="R366" s="24"/>
      <c r="S366" s="26" t="str">
        <f>GET_OK_GROUP(tbStoryEnemy[[#This Row],[Camp]],tbStoryEnemy[[#This Row],[Difficulty]],tbStoryEnemy[[#This Row],[IsBoss]],tbStoryEnemy[[#This Row],[Hero1]:[Soldier3]],tbStoryEnemy[[#This Row],[GroupID]])</f>
        <v>三国-超难-铁英+铁英</v>
      </c>
    </row>
    <row r="367" spans="2:19">
      <c r="B367" s="24" t="s">
        <v>777</v>
      </c>
      <c r="C367" s="34" t="s">
        <v>1289</v>
      </c>
      <c r="D367" s="24">
        <v>1</v>
      </c>
      <c r="E367" s="24">
        <v>0</v>
      </c>
      <c r="F367" s="24" t="s">
        <v>151</v>
      </c>
      <c r="G367" s="24" t="s">
        <v>1126</v>
      </c>
      <c r="H367" s="24"/>
      <c r="I367" s="34" t="s">
        <v>1173</v>
      </c>
      <c r="J367" s="34" t="s">
        <v>1173</v>
      </c>
      <c r="K367" s="34" t="s">
        <v>1166</v>
      </c>
      <c r="L367" s="24"/>
      <c r="M367" s="24"/>
      <c r="N367" s="24"/>
      <c r="O367" s="26">
        <f>GET_OK_GROUPS_COUNT(tbStoryEnemy[[#This Row],[Camp]],tbStoryEnemy[[#This Row],[Difficulty]],tbStoryEnemy[[#This Row],[IsBoss]],tbStoryEnemy[[#This Row],[Hero1]:[Soldier3]])</f>
        <v>1</v>
      </c>
      <c r="P367" s="24">
        <v>1</v>
      </c>
      <c r="Q367" s="25" t="s">
        <v>912</v>
      </c>
      <c r="R367" s="24"/>
      <c r="S367" s="26" t="str">
        <f>GET_OK_GROUP(tbStoryEnemy[[#This Row],[Camp]],tbStoryEnemy[[#This Row],[Difficulty]],tbStoryEnemy[[#This Row],[IsBoss]],tbStoryEnemy[[#This Row],[Hero1]:[Soldier3]],tbStoryEnemy[[#This Row],[GroupID]])</f>
        <v>三国-超难-铁英+铁英+法英</v>
      </c>
    </row>
    <row r="368" spans="2:19">
      <c r="B368" s="24" t="s">
        <v>777</v>
      </c>
      <c r="C368" s="34" t="s">
        <v>1289</v>
      </c>
      <c r="D368" s="24">
        <v>2</v>
      </c>
      <c r="E368" s="24">
        <v>0</v>
      </c>
      <c r="F368" s="24" t="s">
        <v>151</v>
      </c>
      <c r="G368" s="24" t="s">
        <v>1126</v>
      </c>
      <c r="H368" s="24" t="b">
        <v>1</v>
      </c>
      <c r="I368" s="24" t="s">
        <v>355</v>
      </c>
      <c r="J368" s="24" t="s">
        <v>383</v>
      </c>
      <c r="K368" s="24"/>
      <c r="L368" s="24"/>
      <c r="M368" s="24"/>
      <c r="N368" s="24"/>
      <c r="O368" s="26">
        <f>GET_OK_GROUPS_COUNT(tbStoryEnemy[[#This Row],[Camp]],tbStoryEnemy[[#This Row],[Difficulty]],tbStoryEnemy[[#This Row],[IsBoss]],tbStoryEnemy[[#This Row],[Hero1]:[Soldier3]])</f>
        <v>1</v>
      </c>
      <c r="P368" s="24">
        <v>1</v>
      </c>
      <c r="Q368" s="25" t="s">
        <v>355</v>
      </c>
      <c r="R368" s="24"/>
      <c r="S368" s="26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369" spans="2:19">
      <c r="B369" s="24" t="s">
        <v>778</v>
      </c>
      <c r="C369" s="34" t="s">
        <v>1289</v>
      </c>
      <c r="D369" s="24">
        <v>1</v>
      </c>
      <c r="E369" s="24">
        <v>0</v>
      </c>
      <c r="F369" s="24" t="s">
        <v>151</v>
      </c>
      <c r="G369" s="24" t="s">
        <v>1338</v>
      </c>
      <c r="H369" s="24"/>
      <c r="I369" s="24"/>
      <c r="J369" s="24"/>
      <c r="K369" s="24"/>
      <c r="L369" s="24" t="s">
        <v>34</v>
      </c>
      <c r="M369" s="24"/>
      <c r="N369" s="24"/>
      <c r="O369" s="26">
        <f>GET_OK_GROUPS_COUNT(tbStoryEnemy[[#This Row],[Camp]],tbStoryEnemy[[#This Row],[Difficulty]],tbStoryEnemy[[#This Row],[IsBoss]],tbStoryEnemy[[#This Row],[Hero1]:[Soldier3]])</f>
        <v>5</v>
      </c>
      <c r="P369" s="24">
        <v>1</v>
      </c>
      <c r="Q369" s="25" t="s">
        <v>912</v>
      </c>
      <c r="R369" s="24"/>
      <c r="S369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370" spans="2:19">
      <c r="B370" s="24" t="s">
        <v>778</v>
      </c>
      <c r="C370" s="34" t="s">
        <v>1289</v>
      </c>
      <c r="D370" s="24">
        <v>2</v>
      </c>
      <c r="E370" s="24">
        <v>0</v>
      </c>
      <c r="F370" s="24" t="s">
        <v>151</v>
      </c>
      <c r="G370" s="24" t="s">
        <v>1169</v>
      </c>
      <c r="H370" s="24"/>
      <c r="I370" s="24" t="s">
        <v>382</v>
      </c>
      <c r="J370" s="24" t="s">
        <v>384</v>
      </c>
      <c r="K370" s="24"/>
      <c r="L370" s="24"/>
      <c r="M370" s="24"/>
      <c r="N370" s="24"/>
      <c r="O370" s="26">
        <f>GET_OK_GROUPS_COUNT(tbStoryEnemy[[#This Row],[Camp]],tbStoryEnemy[[#This Row],[Difficulty]],tbStoryEnemy[[#This Row],[IsBoss]],tbStoryEnemy[[#This Row],[Hero1]:[Soldier3]])</f>
        <v>1</v>
      </c>
      <c r="P370" s="24">
        <v>1</v>
      </c>
      <c r="Q370" s="25" t="s">
        <v>912</v>
      </c>
      <c r="R370" s="24"/>
      <c r="S370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371" spans="2:19">
      <c r="B371" s="24" t="s">
        <v>779</v>
      </c>
      <c r="C371" s="34" t="s">
        <v>1289</v>
      </c>
      <c r="D371" s="24">
        <v>1</v>
      </c>
      <c r="E371" s="24">
        <v>0</v>
      </c>
      <c r="F371" s="24" t="s">
        <v>151</v>
      </c>
      <c r="G371" s="24" t="s">
        <v>1338</v>
      </c>
      <c r="H371" s="24"/>
      <c r="I371" s="24"/>
      <c r="J371" s="24"/>
      <c r="K371" s="24"/>
      <c r="L371" s="24" t="s">
        <v>34</v>
      </c>
      <c r="M371" s="24"/>
      <c r="N371" s="24"/>
      <c r="O371" s="26">
        <f>GET_OK_GROUPS_COUNT(tbStoryEnemy[[#This Row],[Camp]],tbStoryEnemy[[#This Row],[Difficulty]],tbStoryEnemy[[#This Row],[IsBoss]],tbStoryEnemy[[#This Row],[Hero1]:[Soldier3]])</f>
        <v>5</v>
      </c>
      <c r="P371" s="24">
        <v>2</v>
      </c>
      <c r="Q371" s="25" t="s">
        <v>912</v>
      </c>
      <c r="R371" s="24"/>
      <c r="S371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372" spans="2:19">
      <c r="B372" s="24" t="s">
        <v>779</v>
      </c>
      <c r="C372" s="34" t="s">
        <v>1289</v>
      </c>
      <c r="D372" s="24">
        <v>2</v>
      </c>
      <c r="E372" s="24">
        <v>0</v>
      </c>
      <c r="F372" s="24" t="s">
        <v>151</v>
      </c>
      <c r="G372" s="24" t="s">
        <v>1169</v>
      </c>
      <c r="H372" s="24"/>
      <c r="I372" s="24" t="s">
        <v>380</v>
      </c>
      <c r="J372" s="24" t="s">
        <v>383</v>
      </c>
      <c r="K372" s="24"/>
      <c r="L372" s="24"/>
      <c r="M372" s="24"/>
      <c r="N372" s="24"/>
      <c r="O372" s="26">
        <f>GET_OK_GROUPS_COUNT(tbStoryEnemy[[#This Row],[Camp]],tbStoryEnemy[[#This Row],[Difficulty]],tbStoryEnemy[[#This Row],[IsBoss]],tbStoryEnemy[[#This Row],[Hero1]:[Soldier3]])</f>
        <v>1</v>
      </c>
      <c r="P372" s="24">
        <v>1</v>
      </c>
      <c r="Q372" s="25" t="s">
        <v>912</v>
      </c>
      <c r="R372" s="24"/>
      <c r="S372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373" spans="2:19">
      <c r="B373" s="24" t="s">
        <v>780</v>
      </c>
      <c r="C373" s="34" t="s">
        <v>1289</v>
      </c>
      <c r="D373" s="24">
        <v>1</v>
      </c>
      <c r="E373" s="24">
        <v>0</v>
      </c>
      <c r="F373" s="24" t="s">
        <v>151</v>
      </c>
      <c r="G373" s="24" t="s">
        <v>1169</v>
      </c>
      <c r="H373" s="24"/>
      <c r="I373" s="24"/>
      <c r="J373" s="24"/>
      <c r="K373" s="24"/>
      <c r="L373" s="24" t="s">
        <v>25</v>
      </c>
      <c r="M373" s="24" t="s">
        <v>26</v>
      </c>
      <c r="N373" s="24"/>
      <c r="O373" s="26">
        <f>GET_OK_GROUPS_COUNT(tbStoryEnemy[[#This Row],[Camp]],tbStoryEnemy[[#This Row],[Difficulty]],tbStoryEnemy[[#This Row],[IsBoss]],tbStoryEnemy[[#This Row],[Hero1]:[Soldier3]])</f>
        <v>5</v>
      </c>
      <c r="P373" s="24">
        <v>1</v>
      </c>
      <c r="Q373" s="25" t="s">
        <v>912</v>
      </c>
      <c r="R373" s="24"/>
      <c r="S373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374" spans="2:19">
      <c r="B374" s="24" t="s">
        <v>780</v>
      </c>
      <c r="C374" s="34" t="s">
        <v>1289</v>
      </c>
      <c r="D374" s="24">
        <v>2</v>
      </c>
      <c r="E374" s="24">
        <v>0</v>
      </c>
      <c r="F374" s="24" t="s">
        <v>151</v>
      </c>
      <c r="G374" s="24" t="s">
        <v>1169</v>
      </c>
      <c r="H374" s="24" t="b">
        <v>1</v>
      </c>
      <c r="I374" s="24" t="s">
        <v>417</v>
      </c>
      <c r="J374" s="24" t="s">
        <v>385</v>
      </c>
      <c r="K374" s="24"/>
      <c r="L374" s="24"/>
      <c r="M374" s="24"/>
      <c r="N374" s="24"/>
      <c r="O374" s="26">
        <f>GET_OK_GROUPS_COUNT(tbStoryEnemy[[#This Row],[Camp]],tbStoryEnemy[[#This Row],[Difficulty]],tbStoryEnemy[[#This Row],[IsBoss]],tbStoryEnemy[[#This Row],[Hero1]:[Soldier3]])</f>
        <v>1</v>
      </c>
      <c r="P374" s="24">
        <v>1</v>
      </c>
      <c r="Q374" s="25" t="s">
        <v>417</v>
      </c>
      <c r="R374" s="24"/>
      <c r="S374" s="26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375" spans="2:19">
      <c r="B375" s="24" t="s">
        <v>781</v>
      </c>
      <c r="C375" s="34" t="s">
        <v>1289</v>
      </c>
      <c r="D375" s="24">
        <v>1</v>
      </c>
      <c r="E375" s="24">
        <v>0</v>
      </c>
      <c r="F375" s="24" t="s">
        <v>151</v>
      </c>
      <c r="G375" s="24" t="s">
        <v>1338</v>
      </c>
      <c r="H375" s="24"/>
      <c r="I375" s="24"/>
      <c r="J375" s="24"/>
      <c r="K375" s="24"/>
      <c r="L375" s="24" t="s">
        <v>34</v>
      </c>
      <c r="M375" s="24"/>
      <c r="N375" s="24"/>
      <c r="O375" s="26">
        <f>GET_OK_GROUPS_COUNT(tbStoryEnemy[[#This Row],[Camp]],tbStoryEnemy[[#This Row],[Difficulty]],tbStoryEnemy[[#This Row],[IsBoss]],tbStoryEnemy[[#This Row],[Hero1]:[Soldier3]])</f>
        <v>5</v>
      </c>
      <c r="P375" s="24">
        <v>3</v>
      </c>
      <c r="Q375" s="25" t="s">
        <v>912</v>
      </c>
      <c r="R375" s="24"/>
      <c r="S375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376" spans="2:19">
      <c r="B376" s="24" t="s">
        <v>781</v>
      </c>
      <c r="C376" s="34" t="s">
        <v>1289</v>
      </c>
      <c r="D376" s="24">
        <v>2</v>
      </c>
      <c r="E376" s="24">
        <v>0</v>
      </c>
      <c r="F376" s="24" t="s">
        <v>151</v>
      </c>
      <c r="G376" s="24" t="s">
        <v>1169</v>
      </c>
      <c r="H376" s="24"/>
      <c r="I376" s="24" t="s">
        <v>385</v>
      </c>
      <c r="J376" s="24"/>
      <c r="K376" s="24"/>
      <c r="L376" s="24" t="s">
        <v>25</v>
      </c>
      <c r="M376" s="24"/>
      <c r="N376" s="24"/>
      <c r="O376" s="26">
        <f>GET_OK_GROUPS_COUNT(tbStoryEnemy[[#This Row],[Camp]],tbStoryEnemy[[#This Row],[Difficulty]],tbStoryEnemy[[#This Row],[IsBoss]],tbStoryEnemy[[#This Row],[Hero1]:[Soldier3]])</f>
        <v>1</v>
      </c>
      <c r="P376" s="24">
        <v>1</v>
      </c>
      <c r="Q376" s="25" t="s">
        <v>912</v>
      </c>
      <c r="R376" s="24"/>
      <c r="S376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377" spans="2:19">
      <c r="B377" s="24" t="s">
        <v>782</v>
      </c>
      <c r="C377" s="34" t="s">
        <v>1289</v>
      </c>
      <c r="D377" s="24">
        <v>1</v>
      </c>
      <c r="E377" s="24">
        <v>0</v>
      </c>
      <c r="F377" s="24" t="s">
        <v>151</v>
      </c>
      <c r="G377" s="24" t="s">
        <v>1169</v>
      </c>
      <c r="H377" s="24"/>
      <c r="I377" s="24"/>
      <c r="J377" s="24"/>
      <c r="K377" s="24"/>
      <c r="L377" s="24" t="s">
        <v>448</v>
      </c>
      <c r="M377" s="24"/>
      <c r="N377" s="24"/>
      <c r="O377" s="26">
        <f>GET_OK_GROUPS_COUNT(tbStoryEnemy[[#This Row],[Camp]],tbStoryEnemy[[#This Row],[Difficulty]],tbStoryEnemy[[#This Row],[IsBoss]],tbStoryEnemy[[#This Row],[Hero1]:[Soldier3]])</f>
        <v>10</v>
      </c>
      <c r="P377" s="24">
        <v>1</v>
      </c>
      <c r="Q377" s="25" t="s">
        <v>912</v>
      </c>
      <c r="R377" s="24"/>
      <c r="S377" s="26" t="str">
        <f>GET_OK_GROUP(tbStoryEnemy[[#This Row],[Camp]],tbStoryEnemy[[#This Row],[Difficulty]],tbStoryEnemy[[#This Row],[IsBoss]],tbStoryEnemy[[#This Row],[Hero1]:[Soldier3]],tbStoryEnemy[[#This Row],[GroupID]])</f>
        <v>三国-困难-刺兵</v>
      </c>
    </row>
    <row r="378" spans="2:19">
      <c r="B378" s="24" t="s">
        <v>782</v>
      </c>
      <c r="C378" s="34" t="s">
        <v>1289</v>
      </c>
      <c r="D378" s="24">
        <v>2</v>
      </c>
      <c r="E378" s="24">
        <v>0</v>
      </c>
      <c r="F378" s="24" t="s">
        <v>151</v>
      </c>
      <c r="G378" s="24" t="s">
        <v>1169</v>
      </c>
      <c r="H378" s="24"/>
      <c r="I378" s="24" t="s">
        <v>384</v>
      </c>
      <c r="J378" s="24"/>
      <c r="K378" s="24"/>
      <c r="L378" s="24" t="s">
        <v>25</v>
      </c>
      <c r="M378" s="24"/>
      <c r="N378" s="24"/>
      <c r="O378" s="26">
        <f>GET_OK_GROUPS_COUNT(tbStoryEnemy[[#This Row],[Camp]],tbStoryEnemy[[#This Row],[Difficulty]],tbStoryEnemy[[#This Row],[IsBoss]],tbStoryEnemy[[#This Row],[Hero1]:[Soldier3]])</f>
        <v>1</v>
      </c>
      <c r="P378" s="24">
        <v>1</v>
      </c>
      <c r="Q378" s="25" t="s">
        <v>912</v>
      </c>
      <c r="R378" s="24"/>
      <c r="S378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379" spans="2:19">
      <c r="B379" s="24" t="s">
        <v>783</v>
      </c>
      <c r="C379" s="34" t="s">
        <v>1289</v>
      </c>
      <c r="D379" s="24">
        <v>1</v>
      </c>
      <c r="E379" s="24">
        <v>0</v>
      </c>
      <c r="F379" s="24" t="s">
        <v>151</v>
      </c>
      <c r="G379" s="24" t="s">
        <v>1169</v>
      </c>
      <c r="H379" s="24"/>
      <c r="I379" s="24"/>
      <c r="J379" s="24"/>
      <c r="K379" s="24"/>
      <c r="L379" s="24" t="s">
        <v>25</v>
      </c>
      <c r="M379" s="24" t="s">
        <v>28</v>
      </c>
      <c r="N379" s="24"/>
      <c r="O379" s="26">
        <f>GET_OK_GROUPS_COUNT(tbStoryEnemy[[#This Row],[Camp]],tbStoryEnemy[[#This Row],[Difficulty]],tbStoryEnemy[[#This Row],[IsBoss]],tbStoryEnemy[[#This Row],[Hero1]:[Soldier3]])</f>
        <v>5</v>
      </c>
      <c r="P379" s="24">
        <v>1</v>
      </c>
      <c r="Q379" s="25" t="s">
        <v>912</v>
      </c>
      <c r="R379" s="24"/>
      <c r="S379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380" spans="2:19">
      <c r="B380" s="24" t="s">
        <v>783</v>
      </c>
      <c r="C380" s="34" t="s">
        <v>1289</v>
      </c>
      <c r="D380" s="24">
        <v>2</v>
      </c>
      <c r="E380" s="24">
        <v>0</v>
      </c>
      <c r="F380" s="24" t="s">
        <v>151</v>
      </c>
      <c r="G380" s="24" t="s">
        <v>1126</v>
      </c>
      <c r="H380" s="24" t="b">
        <v>1</v>
      </c>
      <c r="I380" s="24" t="s">
        <v>356</v>
      </c>
      <c r="J380" s="24" t="s">
        <v>381</v>
      </c>
      <c r="K380" s="24"/>
      <c r="L380" s="24"/>
      <c r="M380" s="24"/>
      <c r="N380" s="24"/>
      <c r="O380" s="26">
        <f>GET_OK_GROUPS_COUNT(tbStoryEnemy[[#This Row],[Camp]],tbStoryEnemy[[#This Row],[Difficulty]],tbStoryEnemy[[#This Row],[IsBoss]],tbStoryEnemy[[#This Row],[Hero1]:[Soldier3]])</f>
        <v>1</v>
      </c>
      <c r="P380" s="24">
        <v>1</v>
      </c>
      <c r="Q380" s="25" t="s">
        <v>356</v>
      </c>
      <c r="R380" s="24"/>
      <c r="S380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381" spans="2:19">
      <c r="B381" s="24" t="s">
        <v>784</v>
      </c>
      <c r="C381" s="34" t="s">
        <v>1289</v>
      </c>
      <c r="D381" s="24">
        <v>1</v>
      </c>
      <c r="E381" s="24">
        <v>0</v>
      </c>
      <c r="F381" s="24" t="s">
        <v>151</v>
      </c>
      <c r="G381" s="24" t="s">
        <v>1338</v>
      </c>
      <c r="H381" s="24"/>
      <c r="I381" s="24"/>
      <c r="J381" s="24"/>
      <c r="K381" s="24"/>
      <c r="L381" s="24" t="s">
        <v>25</v>
      </c>
      <c r="M381" s="24"/>
      <c r="N381" s="24"/>
      <c r="O381" s="26">
        <f>GET_OK_GROUPS_COUNT(tbStoryEnemy[[#This Row],[Camp]],tbStoryEnemy[[#This Row],[Difficulty]],tbStoryEnemy[[#This Row],[IsBoss]],tbStoryEnemy[[#This Row],[Hero1]:[Soldier3]])</f>
        <v>5</v>
      </c>
      <c r="P381" s="24">
        <v>4</v>
      </c>
      <c r="Q381" s="25" t="s">
        <v>912</v>
      </c>
      <c r="R381" s="24"/>
      <c r="S381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82" spans="2:19">
      <c r="B382" s="24" t="s">
        <v>784</v>
      </c>
      <c r="C382" s="34" t="s">
        <v>1289</v>
      </c>
      <c r="D382" s="24">
        <v>2</v>
      </c>
      <c r="E382" s="24">
        <v>0</v>
      </c>
      <c r="F382" s="24" t="s">
        <v>151</v>
      </c>
      <c r="G382" s="24" t="s">
        <v>1169</v>
      </c>
      <c r="H382" s="24"/>
      <c r="I382" s="24" t="s">
        <v>380</v>
      </c>
      <c r="J382" s="24"/>
      <c r="K382" s="24"/>
      <c r="L382" s="24"/>
      <c r="M382" s="24"/>
      <c r="N382" s="24"/>
      <c r="O382" s="26">
        <f>GET_OK_GROUPS_COUNT(tbStoryEnemy[[#This Row],[Camp]],tbStoryEnemy[[#This Row],[Difficulty]],tbStoryEnemy[[#This Row],[IsBoss]],tbStoryEnemy[[#This Row],[Hero1]:[Soldier3]])</f>
        <v>4</v>
      </c>
      <c r="P382" s="24">
        <v>3</v>
      </c>
      <c r="Q382" s="25" t="s">
        <v>912</v>
      </c>
      <c r="R382" s="24"/>
      <c r="S382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83" spans="2:19">
      <c r="B383" s="24" t="s">
        <v>785</v>
      </c>
      <c r="C383" s="34" t="s">
        <v>1289</v>
      </c>
      <c r="D383" s="24">
        <v>1</v>
      </c>
      <c r="E383" s="24">
        <v>0</v>
      </c>
      <c r="F383" s="24" t="s">
        <v>151</v>
      </c>
      <c r="G383" s="24" t="s">
        <v>1338</v>
      </c>
      <c r="H383" s="24"/>
      <c r="I383" s="24"/>
      <c r="J383" s="24"/>
      <c r="K383" s="24"/>
      <c r="L383" s="24" t="s">
        <v>26</v>
      </c>
      <c r="M383" s="24"/>
      <c r="N383" s="24"/>
      <c r="O383" s="26">
        <f>GET_OK_GROUPS_COUNT(tbStoryEnemy[[#This Row],[Camp]],tbStoryEnemy[[#This Row],[Difficulty]],tbStoryEnemy[[#This Row],[IsBoss]],tbStoryEnemy[[#This Row],[Hero1]:[Soldier3]])</f>
        <v>3</v>
      </c>
      <c r="P383" s="24">
        <v>2</v>
      </c>
      <c r="Q383" s="25" t="s">
        <v>912</v>
      </c>
      <c r="R383" s="24"/>
      <c r="S383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84" spans="2:19">
      <c r="B384" s="24" t="s">
        <v>785</v>
      </c>
      <c r="C384" s="34" t="s">
        <v>1289</v>
      </c>
      <c r="D384" s="24">
        <v>2</v>
      </c>
      <c r="E384" s="24">
        <v>0</v>
      </c>
      <c r="F384" s="24" t="s">
        <v>151</v>
      </c>
      <c r="G384" s="24" t="s">
        <v>1169</v>
      </c>
      <c r="H384" s="24"/>
      <c r="I384" s="24" t="s">
        <v>384</v>
      </c>
      <c r="J384" s="24" t="s">
        <v>384</v>
      </c>
      <c r="K384" s="24"/>
      <c r="L384" s="24"/>
      <c r="M384" s="24"/>
      <c r="N384" s="24"/>
      <c r="O384" s="26">
        <f>GET_OK_GROUPS_COUNT(tbStoryEnemy[[#This Row],[Camp]],tbStoryEnemy[[#This Row],[Difficulty]],tbStoryEnemy[[#This Row],[IsBoss]],tbStoryEnemy[[#This Row],[Hero1]:[Soldier3]])</f>
        <v>1</v>
      </c>
      <c r="P384" s="24">
        <v>1</v>
      </c>
      <c r="Q384" s="25" t="s">
        <v>912</v>
      </c>
      <c r="R384" s="24"/>
      <c r="S384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385" spans="2:19">
      <c r="B385" s="24" t="s">
        <v>786</v>
      </c>
      <c r="C385" s="34" t="s">
        <v>1289</v>
      </c>
      <c r="D385" s="24">
        <v>1</v>
      </c>
      <c r="E385" s="24">
        <v>0</v>
      </c>
      <c r="F385" s="24" t="s">
        <v>151</v>
      </c>
      <c r="G385" s="24" t="s">
        <v>1169</v>
      </c>
      <c r="H385" s="24"/>
      <c r="I385" s="24"/>
      <c r="J385" s="24"/>
      <c r="K385" s="24"/>
      <c r="L385" s="24" t="s">
        <v>25</v>
      </c>
      <c r="M385" s="24" t="s">
        <v>447</v>
      </c>
      <c r="N385" s="24"/>
      <c r="O385" s="26">
        <f>GET_OK_GROUPS_COUNT(tbStoryEnemy[[#This Row],[Camp]],tbStoryEnemy[[#This Row],[Difficulty]],tbStoryEnemy[[#This Row],[IsBoss]],tbStoryEnemy[[#This Row],[Hero1]:[Soldier3]])</f>
        <v>5</v>
      </c>
      <c r="P385" s="24">
        <v>1</v>
      </c>
      <c r="Q385" s="25" t="s">
        <v>912</v>
      </c>
      <c r="R385" s="24"/>
      <c r="S385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386" spans="2:19">
      <c r="B386" s="24" t="s">
        <v>786</v>
      </c>
      <c r="C386" s="34" t="s">
        <v>1289</v>
      </c>
      <c r="D386" s="24">
        <v>2</v>
      </c>
      <c r="E386" s="24">
        <v>0</v>
      </c>
      <c r="F386" s="24" t="s">
        <v>151</v>
      </c>
      <c r="G386" s="24" t="s">
        <v>1169</v>
      </c>
      <c r="H386" s="24" t="b">
        <v>1</v>
      </c>
      <c r="I386" s="24" t="s">
        <v>1185</v>
      </c>
      <c r="J386" s="24"/>
      <c r="K386" s="24"/>
      <c r="L386" s="24"/>
      <c r="M386" s="24"/>
      <c r="N386" s="24"/>
      <c r="O386" s="26">
        <f>GET_OK_GROUPS_COUNT(tbStoryEnemy[[#This Row],[Camp]],tbStoryEnemy[[#This Row],[Difficulty]],tbStoryEnemy[[#This Row],[IsBoss]],tbStoryEnemy[[#This Row],[Hero1]:[Soldier3]])</f>
        <v>3</v>
      </c>
      <c r="P386" s="24">
        <v>1</v>
      </c>
      <c r="Q386" s="25" t="s">
        <v>1185</v>
      </c>
      <c r="R386" s="24"/>
      <c r="S386" s="26" t="str">
        <f>GET_OK_GROUP(tbStoryEnemy[[#This Row],[Camp]],tbStoryEnemy[[#This Row],[Difficulty]],tbStoryEnemy[[#This Row],[IsBoss]],tbStoryEnemy[[#This Row],[Hero1]:[Soldier3]],tbStoryEnemy[[#This Row],[GroupID]])</f>
        <v>三国-困难-[B]炼英+铁兵</v>
      </c>
    </row>
    <row r="387" spans="2:19">
      <c r="B387" s="24" t="s">
        <v>787</v>
      </c>
      <c r="C387" s="34" t="s">
        <v>1289</v>
      </c>
      <c r="D387" s="24">
        <v>1</v>
      </c>
      <c r="E387" s="24">
        <v>0</v>
      </c>
      <c r="F387" s="24" t="s">
        <v>151</v>
      </c>
      <c r="G387" s="24" t="s">
        <v>1338</v>
      </c>
      <c r="H387" s="24"/>
      <c r="I387" s="24"/>
      <c r="J387" s="24"/>
      <c r="K387" s="24"/>
      <c r="L387" s="24" t="s">
        <v>26</v>
      </c>
      <c r="M387" s="24"/>
      <c r="N387" s="24"/>
      <c r="O387" s="26">
        <f>GET_OK_GROUPS_COUNT(tbStoryEnemy[[#This Row],[Camp]],tbStoryEnemy[[#This Row],[Difficulty]],tbStoryEnemy[[#This Row],[IsBoss]],tbStoryEnemy[[#This Row],[Hero1]:[Soldier3]])</f>
        <v>3</v>
      </c>
      <c r="P387" s="24">
        <v>1</v>
      </c>
      <c r="Q387" s="25" t="s">
        <v>912</v>
      </c>
      <c r="R387" s="24"/>
      <c r="S387" s="26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388" spans="2:19">
      <c r="B388" s="24" t="s">
        <v>787</v>
      </c>
      <c r="C388" s="34" t="s">
        <v>1289</v>
      </c>
      <c r="D388" s="24">
        <v>2</v>
      </c>
      <c r="E388" s="24">
        <v>0</v>
      </c>
      <c r="F388" s="24" t="s">
        <v>151</v>
      </c>
      <c r="G388" s="24" t="s">
        <v>1169</v>
      </c>
      <c r="H388" s="24"/>
      <c r="I388" s="24" t="s">
        <v>382</v>
      </c>
      <c r="J388" s="24" t="s">
        <v>385</v>
      </c>
      <c r="K388" s="24"/>
      <c r="L388" s="24"/>
      <c r="M388" s="24"/>
      <c r="N388" s="24"/>
      <c r="O388" s="26">
        <f>GET_OK_GROUPS_COUNT(tbStoryEnemy[[#This Row],[Camp]],tbStoryEnemy[[#This Row],[Difficulty]],tbStoryEnemy[[#This Row],[IsBoss]],tbStoryEnemy[[#This Row],[Hero1]:[Soldier3]])</f>
        <v>1</v>
      </c>
      <c r="P388" s="24">
        <v>1</v>
      </c>
      <c r="Q388" s="25" t="s">
        <v>912</v>
      </c>
      <c r="R388" s="24"/>
      <c r="S388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389" spans="2:19">
      <c r="B389" s="24" t="s">
        <v>788</v>
      </c>
      <c r="C389" s="34" t="s">
        <v>1289</v>
      </c>
      <c r="D389" s="24">
        <v>1</v>
      </c>
      <c r="E389" s="24">
        <v>0</v>
      </c>
      <c r="F389" s="24" t="s">
        <v>151</v>
      </c>
      <c r="G389" s="24" t="s">
        <v>1169</v>
      </c>
      <c r="H389" s="24"/>
      <c r="I389" s="24"/>
      <c r="J389" s="24"/>
      <c r="K389" s="24"/>
      <c r="L389" s="24" t="s">
        <v>34</v>
      </c>
      <c r="M389" s="24"/>
      <c r="N389" s="24"/>
      <c r="O389" s="26">
        <f>GET_OK_GROUPS_COUNT(tbStoryEnemy[[#This Row],[Camp]],tbStoryEnemy[[#This Row],[Difficulty]],tbStoryEnemy[[#This Row],[IsBoss]],tbStoryEnemy[[#This Row],[Hero1]:[Soldier3]])</f>
        <v>14</v>
      </c>
      <c r="P389" s="24">
        <v>4</v>
      </c>
      <c r="Q389" s="25" t="s">
        <v>912</v>
      </c>
      <c r="R389" s="24"/>
      <c r="S389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390" spans="2:19">
      <c r="B390" s="24" t="s">
        <v>788</v>
      </c>
      <c r="C390" s="34" t="s">
        <v>1289</v>
      </c>
      <c r="D390" s="24">
        <v>2</v>
      </c>
      <c r="E390" s="24">
        <v>0</v>
      </c>
      <c r="F390" s="24" t="s">
        <v>151</v>
      </c>
      <c r="G390" s="24" t="s">
        <v>1169</v>
      </c>
      <c r="H390" s="24"/>
      <c r="I390" s="24" t="s">
        <v>384</v>
      </c>
      <c r="J390" s="24"/>
      <c r="K390" s="24"/>
      <c r="L390" s="24" t="s">
        <v>49</v>
      </c>
      <c r="M390" s="24"/>
      <c r="N390" s="24"/>
      <c r="O390" s="26">
        <f>GET_OK_GROUPS_COUNT(tbStoryEnemy[[#This Row],[Camp]],tbStoryEnemy[[#This Row],[Difficulty]],tbStoryEnemy[[#This Row],[IsBoss]],tbStoryEnemy[[#This Row],[Hero1]:[Soldier3]])</f>
        <v>1</v>
      </c>
      <c r="P390" s="24">
        <v>1</v>
      </c>
      <c r="Q390" s="25" t="s">
        <v>912</v>
      </c>
      <c r="R390" s="24"/>
      <c r="S390" s="26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391" spans="2:19">
      <c r="B391" s="24" t="s">
        <v>789</v>
      </c>
      <c r="C391" s="34" t="s">
        <v>1289</v>
      </c>
      <c r="D391" s="24">
        <v>1</v>
      </c>
      <c r="E391" s="24">
        <v>0</v>
      </c>
      <c r="F391" s="24" t="s">
        <v>151</v>
      </c>
      <c r="G391" s="24" t="s">
        <v>1169</v>
      </c>
      <c r="H391" s="24"/>
      <c r="I391" s="24"/>
      <c r="J391" s="24"/>
      <c r="K391" s="24"/>
      <c r="L391" s="24" t="s">
        <v>34</v>
      </c>
      <c r="M391" s="24"/>
      <c r="N391" s="24"/>
      <c r="O391" s="26">
        <f>GET_OK_GROUPS_COUNT(tbStoryEnemy[[#This Row],[Camp]],tbStoryEnemy[[#This Row],[Difficulty]],tbStoryEnemy[[#This Row],[IsBoss]],tbStoryEnemy[[#This Row],[Hero1]:[Soldier3]])</f>
        <v>14</v>
      </c>
      <c r="P391" s="24">
        <v>2</v>
      </c>
      <c r="Q391" s="25" t="s">
        <v>912</v>
      </c>
      <c r="R391" s="24"/>
      <c r="S391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392" spans="2:19">
      <c r="B392" s="24" t="s">
        <v>789</v>
      </c>
      <c r="C392" s="34" t="s">
        <v>1289</v>
      </c>
      <c r="D392" s="24">
        <v>2</v>
      </c>
      <c r="E392" s="24">
        <v>0</v>
      </c>
      <c r="F392" s="24" t="s">
        <v>151</v>
      </c>
      <c r="G392" s="24" t="s">
        <v>1126</v>
      </c>
      <c r="H392" s="24" t="b">
        <v>1</v>
      </c>
      <c r="I392" s="24" t="s">
        <v>408</v>
      </c>
      <c r="J392" s="24" t="s">
        <v>381</v>
      </c>
      <c r="K392" s="24"/>
      <c r="L392" s="24"/>
      <c r="M392" s="24"/>
      <c r="N392" s="24"/>
      <c r="O392" s="26">
        <f>GET_OK_GROUPS_COUNT(tbStoryEnemy[[#This Row],[Camp]],tbStoryEnemy[[#This Row],[Difficulty]],tbStoryEnemy[[#This Row],[IsBoss]],tbStoryEnemy[[#This Row],[Hero1]:[Soldier3]])</f>
        <v>1</v>
      </c>
      <c r="P392" s="24">
        <v>1</v>
      </c>
      <c r="Q392" s="25" t="s">
        <v>408</v>
      </c>
      <c r="R392" s="24"/>
      <c r="S392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393" spans="2:19">
      <c r="B393" s="24" t="s">
        <v>790</v>
      </c>
      <c r="C393" s="34" t="s">
        <v>1289</v>
      </c>
      <c r="D393" s="24">
        <v>1</v>
      </c>
      <c r="E393" s="24">
        <v>0</v>
      </c>
      <c r="F393" s="24" t="s">
        <v>151</v>
      </c>
      <c r="G393" s="24" t="s">
        <v>1338</v>
      </c>
      <c r="H393" s="24"/>
      <c r="I393" s="24"/>
      <c r="J393" s="24"/>
      <c r="K393" s="24"/>
      <c r="L393" s="24" t="s">
        <v>49</v>
      </c>
      <c r="M393" s="24"/>
      <c r="N393" s="24"/>
      <c r="O393" s="26">
        <f>GET_OK_GROUPS_COUNT(tbStoryEnemy[[#This Row],[Camp]],tbStoryEnemy[[#This Row],[Difficulty]],tbStoryEnemy[[#This Row],[IsBoss]],tbStoryEnemy[[#This Row],[Hero1]:[Soldier3]])</f>
        <v>1</v>
      </c>
      <c r="P393" s="24">
        <v>1</v>
      </c>
      <c r="Q393" s="25" t="s">
        <v>912</v>
      </c>
      <c r="R393" s="24"/>
      <c r="S393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394" spans="2:19">
      <c r="B394" s="24" t="s">
        <v>790</v>
      </c>
      <c r="C394" s="34" t="s">
        <v>1289</v>
      </c>
      <c r="D394" s="24">
        <v>2</v>
      </c>
      <c r="E394" s="24">
        <v>0</v>
      </c>
      <c r="F394" s="24" t="s">
        <v>151</v>
      </c>
      <c r="G394" s="24" t="s">
        <v>1169</v>
      </c>
      <c r="H394" s="24"/>
      <c r="I394" s="24" t="s">
        <v>380</v>
      </c>
      <c r="J394" s="24" t="s">
        <v>380</v>
      </c>
      <c r="K394" s="24"/>
      <c r="L394" s="24"/>
      <c r="M394" s="24"/>
      <c r="N394" s="24"/>
      <c r="O394" s="26">
        <f>GET_OK_GROUPS_COUNT(tbStoryEnemy[[#This Row],[Camp]],tbStoryEnemy[[#This Row],[Difficulty]],tbStoryEnemy[[#This Row],[IsBoss]],tbStoryEnemy[[#This Row],[Hero1]:[Soldier3]])</f>
        <v>1</v>
      </c>
      <c r="P394" s="24">
        <v>1</v>
      </c>
      <c r="Q394" s="25" t="s">
        <v>912</v>
      </c>
      <c r="R394" s="24"/>
      <c r="S394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395" spans="2:19">
      <c r="B395" s="24" t="s">
        <v>791</v>
      </c>
      <c r="C395" s="34" t="s">
        <v>1289</v>
      </c>
      <c r="D395" s="24">
        <v>1</v>
      </c>
      <c r="E395" s="24">
        <v>0</v>
      </c>
      <c r="F395" s="24" t="s">
        <v>151</v>
      </c>
      <c r="G395" s="24" t="s">
        <v>1169</v>
      </c>
      <c r="H395" s="24"/>
      <c r="I395" s="24" t="s">
        <v>380</v>
      </c>
      <c r="J395" s="24"/>
      <c r="K395" s="24"/>
      <c r="L395" s="24" t="s">
        <v>28</v>
      </c>
      <c r="M395" s="24"/>
      <c r="N395" s="24"/>
      <c r="O395" s="26">
        <f>GET_OK_GROUPS_COUNT(tbStoryEnemy[[#This Row],[Camp]],tbStoryEnemy[[#This Row],[Difficulty]],tbStoryEnemy[[#This Row],[IsBoss]],tbStoryEnemy[[#This Row],[Hero1]:[Soldier3]])</f>
        <v>1</v>
      </c>
      <c r="P395" s="24">
        <v>1</v>
      </c>
      <c r="Q395" s="25" t="s">
        <v>912</v>
      </c>
      <c r="R395" s="24"/>
      <c r="S395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96" spans="2:19">
      <c r="B396" s="24" t="s">
        <v>791</v>
      </c>
      <c r="C396" s="34" t="s">
        <v>1289</v>
      </c>
      <c r="D396" s="24">
        <v>2</v>
      </c>
      <c r="E396" s="24">
        <v>0</v>
      </c>
      <c r="F396" s="24" t="s">
        <v>151</v>
      </c>
      <c r="G396" s="24" t="s">
        <v>1169</v>
      </c>
      <c r="H396" s="24"/>
      <c r="I396" s="24" t="s">
        <v>382</v>
      </c>
      <c r="J396" s="24" t="s">
        <v>383</v>
      </c>
      <c r="K396" s="24"/>
      <c r="L396" s="24"/>
      <c r="M396" s="24"/>
      <c r="N396" s="24"/>
      <c r="O396" s="26">
        <f>GET_OK_GROUPS_COUNT(tbStoryEnemy[[#This Row],[Camp]],tbStoryEnemy[[#This Row],[Difficulty]],tbStoryEnemy[[#This Row],[IsBoss]],tbStoryEnemy[[#This Row],[Hero1]:[Soldier3]])</f>
        <v>1</v>
      </c>
      <c r="P396" s="24">
        <v>1</v>
      </c>
      <c r="Q396" s="25" t="s">
        <v>912</v>
      </c>
      <c r="R396" s="24"/>
      <c r="S396" s="26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397" spans="2:19">
      <c r="B397" s="24" t="s">
        <v>792</v>
      </c>
      <c r="C397" s="34" t="s">
        <v>1289</v>
      </c>
      <c r="D397" s="24">
        <v>1</v>
      </c>
      <c r="E397" s="24">
        <v>0</v>
      </c>
      <c r="F397" s="24" t="s">
        <v>151</v>
      </c>
      <c r="G397" s="24" t="s">
        <v>1169</v>
      </c>
      <c r="H397" s="24"/>
      <c r="I397" s="24"/>
      <c r="J397" s="24"/>
      <c r="K397" s="24"/>
      <c r="L397" s="24" t="s">
        <v>34</v>
      </c>
      <c r="M397" s="24" t="s">
        <v>447</v>
      </c>
      <c r="N397" s="24"/>
      <c r="O397" s="26">
        <f>GET_OK_GROUPS_COUNT(tbStoryEnemy[[#This Row],[Camp]],tbStoryEnemy[[#This Row],[Difficulty]],tbStoryEnemy[[#This Row],[IsBoss]],tbStoryEnemy[[#This Row],[Hero1]:[Soldier3]])</f>
        <v>5</v>
      </c>
      <c r="P397" s="24">
        <v>1</v>
      </c>
      <c r="Q397" s="25" t="s">
        <v>912</v>
      </c>
      <c r="R397" s="24"/>
      <c r="S397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398" spans="2:19">
      <c r="B398" s="24" t="s">
        <v>792</v>
      </c>
      <c r="C398" s="34" t="s">
        <v>1289</v>
      </c>
      <c r="D398" s="24">
        <v>2</v>
      </c>
      <c r="E398" s="24">
        <v>0</v>
      </c>
      <c r="F398" s="24" t="s">
        <v>151</v>
      </c>
      <c r="G398" s="24" t="s">
        <v>1126</v>
      </c>
      <c r="H398" s="24" t="b">
        <v>1</v>
      </c>
      <c r="I398" s="24" t="s">
        <v>408</v>
      </c>
      <c r="J398" s="24" t="s">
        <v>384</v>
      </c>
      <c r="K398" s="24"/>
      <c r="L398" s="24"/>
      <c r="M398" s="24"/>
      <c r="N398" s="24"/>
      <c r="O398" s="26">
        <f>GET_OK_GROUPS_COUNT(tbStoryEnemy[[#This Row],[Camp]],tbStoryEnemy[[#This Row],[Difficulty]],tbStoryEnemy[[#This Row],[IsBoss]],tbStoryEnemy[[#This Row],[Hero1]:[Soldier3]])</f>
        <v>1</v>
      </c>
      <c r="P398" s="24">
        <v>1</v>
      </c>
      <c r="Q398" s="25" t="s">
        <v>408</v>
      </c>
      <c r="R398" s="24"/>
      <c r="S398" s="26" t="str">
        <f>GET_OK_GROUP(tbStoryEnemy[[#This Row],[Camp]],tbStoryEnemy[[#This Row],[Difficulty]],tbStoryEnemy[[#This Row],[IsBoss]],tbStoryEnemy[[#This Row],[Hero1]:[Soldier3]],tbStoryEnemy[[#This Row],[GroupID]])</f>
        <v>三国-超难-[B]盾英+法英</v>
      </c>
    </row>
    <row r="399" spans="2:19">
      <c r="B399" s="24" t="s">
        <v>793</v>
      </c>
      <c r="C399" s="34" t="s">
        <v>1289</v>
      </c>
      <c r="D399" s="24">
        <v>1</v>
      </c>
      <c r="E399" s="24">
        <v>0</v>
      </c>
      <c r="F399" s="24" t="s">
        <v>151</v>
      </c>
      <c r="G399" s="24" t="s">
        <v>1169</v>
      </c>
      <c r="H399" s="24"/>
      <c r="I399" s="24"/>
      <c r="J399" s="24"/>
      <c r="K399" s="24"/>
      <c r="L399" s="24" t="s">
        <v>25</v>
      </c>
      <c r="M399" s="24"/>
      <c r="N399" s="24"/>
      <c r="O399" s="26">
        <f>GET_OK_GROUPS_COUNT(tbStoryEnemy[[#This Row],[Camp]],tbStoryEnemy[[#This Row],[Difficulty]],tbStoryEnemy[[#This Row],[IsBoss]],tbStoryEnemy[[#This Row],[Hero1]:[Soldier3]])</f>
        <v>14</v>
      </c>
      <c r="P399" s="24">
        <v>2</v>
      </c>
      <c r="Q399" s="25" t="s">
        <v>912</v>
      </c>
      <c r="R399" s="24"/>
      <c r="S399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400" spans="2:19">
      <c r="B400" s="24" t="s">
        <v>793</v>
      </c>
      <c r="C400" s="34" t="s">
        <v>1289</v>
      </c>
      <c r="D400" s="24">
        <v>2</v>
      </c>
      <c r="E400" s="24">
        <v>0</v>
      </c>
      <c r="F400" s="24" t="s">
        <v>151</v>
      </c>
      <c r="G400" s="24" t="s">
        <v>1169</v>
      </c>
      <c r="H400" s="24"/>
      <c r="I400" s="24" t="s">
        <v>384</v>
      </c>
      <c r="J400" s="24" t="s">
        <v>384</v>
      </c>
      <c r="K400" s="24"/>
      <c r="L400" s="24"/>
      <c r="M400" s="24"/>
      <c r="N400" s="24"/>
      <c r="O400" s="26">
        <f>GET_OK_GROUPS_COUNT(tbStoryEnemy[[#This Row],[Camp]],tbStoryEnemy[[#This Row],[Difficulty]],tbStoryEnemy[[#This Row],[IsBoss]],tbStoryEnemy[[#This Row],[Hero1]:[Soldier3]])</f>
        <v>1</v>
      </c>
      <c r="P400" s="24">
        <v>1</v>
      </c>
      <c r="Q400" s="25" t="s">
        <v>912</v>
      </c>
      <c r="R400" s="24"/>
      <c r="S400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401" spans="2:19">
      <c r="B401" s="24" t="s">
        <v>794</v>
      </c>
      <c r="C401" s="34" t="s">
        <v>1289</v>
      </c>
      <c r="D401" s="24">
        <v>1</v>
      </c>
      <c r="E401" s="24">
        <v>0</v>
      </c>
      <c r="F401" s="24" t="s">
        <v>151</v>
      </c>
      <c r="G401" s="24" t="s">
        <v>1169</v>
      </c>
      <c r="H401" s="24"/>
      <c r="I401" s="24" t="s">
        <v>380</v>
      </c>
      <c r="J401" s="24"/>
      <c r="K401" s="24"/>
      <c r="L401" s="24" t="s">
        <v>447</v>
      </c>
      <c r="M401" s="24"/>
      <c r="N401" s="24"/>
      <c r="O401" s="26">
        <f>GET_OK_GROUPS_COUNT(tbStoryEnemy[[#This Row],[Camp]],tbStoryEnemy[[#This Row],[Difficulty]],tbStoryEnemy[[#This Row],[IsBoss]],tbStoryEnemy[[#This Row],[Hero1]:[Soldier3]])</f>
        <v>1</v>
      </c>
      <c r="P401" s="24">
        <v>1</v>
      </c>
      <c r="Q401" s="25" t="s">
        <v>912</v>
      </c>
      <c r="R401" s="24"/>
      <c r="S401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02" spans="2:19">
      <c r="B402" s="24" t="s">
        <v>794</v>
      </c>
      <c r="C402" s="34" t="s">
        <v>1289</v>
      </c>
      <c r="D402" s="24">
        <v>2</v>
      </c>
      <c r="E402" s="24">
        <v>0</v>
      </c>
      <c r="F402" s="24" t="s">
        <v>151</v>
      </c>
      <c r="G402" s="24" t="s">
        <v>1126</v>
      </c>
      <c r="H402" s="24"/>
      <c r="I402" s="24" t="s">
        <v>382</v>
      </c>
      <c r="J402" s="24" t="s">
        <v>383</v>
      </c>
      <c r="K402" s="24" t="s">
        <v>383</v>
      </c>
      <c r="L402" s="24"/>
      <c r="M402" s="24"/>
      <c r="N402" s="24"/>
      <c r="O402" s="26">
        <f>GET_OK_GROUPS_COUNT(tbStoryEnemy[[#This Row],[Camp]],tbStoryEnemy[[#This Row],[Difficulty]],tbStoryEnemy[[#This Row],[IsBoss]],tbStoryEnemy[[#This Row],[Hero1]:[Soldier3]])</f>
        <v>1</v>
      </c>
      <c r="P402" s="24">
        <v>1</v>
      </c>
      <c r="Q402" s="25" t="s">
        <v>912</v>
      </c>
      <c r="R402" s="24"/>
      <c r="S402" s="26" t="str">
        <f>GET_OK_GROUP(tbStoryEnemy[[#This Row],[Camp]],tbStoryEnemy[[#This Row],[Difficulty]],tbStoryEnemy[[#This Row],[IsBoss]],tbStoryEnemy[[#This Row],[Hero1]:[Soldier3]],tbStoryEnemy[[#This Row],[GroupID]])</f>
        <v>三国-超难-铁英+炼英+炼英</v>
      </c>
    </row>
    <row r="403" spans="2:19">
      <c r="B403" s="24" t="s">
        <v>795</v>
      </c>
      <c r="C403" s="34" t="s">
        <v>1289</v>
      </c>
      <c r="D403" s="24">
        <v>1</v>
      </c>
      <c r="E403" s="24">
        <v>0</v>
      </c>
      <c r="F403" s="24" t="s">
        <v>151</v>
      </c>
      <c r="G403" s="24" t="s">
        <v>1126</v>
      </c>
      <c r="H403" s="24"/>
      <c r="I403" s="34" t="s">
        <v>1173</v>
      </c>
      <c r="J403" s="34" t="s">
        <v>1179</v>
      </c>
      <c r="K403" s="24"/>
      <c r="L403" s="24"/>
      <c r="M403" s="24"/>
      <c r="N403" s="24"/>
      <c r="O403" s="26">
        <f>GET_OK_GROUPS_COUNT(tbStoryEnemy[[#This Row],[Camp]],tbStoryEnemy[[#This Row],[Difficulty]],tbStoryEnemy[[#This Row],[IsBoss]],tbStoryEnemy[[#This Row],[Hero1]:[Soldier3]])</f>
        <v>1</v>
      </c>
      <c r="P403" s="24">
        <v>1</v>
      </c>
      <c r="Q403" s="25" t="s">
        <v>912</v>
      </c>
      <c r="R403" s="24"/>
      <c r="S403" s="26" t="str">
        <f>GET_OK_GROUP(tbStoryEnemy[[#This Row],[Camp]],tbStoryEnemy[[#This Row],[Difficulty]],tbStoryEnemy[[#This Row],[IsBoss]],tbStoryEnemy[[#This Row],[Hero1]:[Soldier3]],tbStoryEnemy[[#This Row],[GroupID]])</f>
        <v>三国-超难-铁英+炼英</v>
      </c>
    </row>
    <row r="404" spans="2:19">
      <c r="B404" s="24" t="s">
        <v>795</v>
      </c>
      <c r="C404" s="34" t="s">
        <v>1289</v>
      </c>
      <c r="D404" s="24">
        <v>2</v>
      </c>
      <c r="E404" s="24">
        <v>0</v>
      </c>
      <c r="F404" s="24" t="s">
        <v>151</v>
      </c>
      <c r="G404" s="24" t="s">
        <v>1126</v>
      </c>
      <c r="H404" s="24" t="b">
        <v>1</v>
      </c>
      <c r="I404" s="24" t="s">
        <v>433</v>
      </c>
      <c r="J404" s="24" t="s">
        <v>381</v>
      </c>
      <c r="K404" s="24"/>
      <c r="L404" s="24"/>
      <c r="M404" s="24"/>
      <c r="N404" s="24"/>
      <c r="O404" s="26">
        <f>GET_OK_GROUPS_COUNT(tbStoryEnemy[[#This Row],[Camp]],tbStoryEnemy[[#This Row],[Difficulty]],tbStoryEnemy[[#This Row],[IsBoss]],tbStoryEnemy[[#This Row],[Hero1]:[Soldier3]])</f>
        <v>1</v>
      </c>
      <c r="P404" s="24">
        <v>1</v>
      </c>
      <c r="Q404" s="25" t="s">
        <v>433</v>
      </c>
      <c r="R404" s="24"/>
      <c r="S404" s="26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405" spans="2:19">
      <c r="B405" s="24" t="s">
        <v>796</v>
      </c>
      <c r="C405" s="34" t="s">
        <v>1289</v>
      </c>
      <c r="D405" s="24">
        <v>1</v>
      </c>
      <c r="E405" s="24">
        <v>0</v>
      </c>
      <c r="F405" s="24" t="s">
        <v>151</v>
      </c>
      <c r="G405" s="24" t="s">
        <v>1338</v>
      </c>
      <c r="H405" s="24"/>
      <c r="I405" s="24"/>
      <c r="J405" s="24"/>
      <c r="K405" s="24"/>
      <c r="L405" s="24" t="s">
        <v>25</v>
      </c>
      <c r="M405" s="24" t="s">
        <v>26</v>
      </c>
      <c r="N405" s="24"/>
      <c r="O405" s="26">
        <f>GET_OK_GROUPS_COUNT(tbStoryEnemy[[#This Row],[Camp]],tbStoryEnemy[[#This Row],[Difficulty]],tbStoryEnemy[[#This Row],[IsBoss]],tbStoryEnemy[[#This Row],[Hero1]:[Soldier3]])</f>
        <v>1</v>
      </c>
      <c r="P405" s="24">
        <v>1</v>
      </c>
      <c r="Q405" s="25" t="s">
        <v>912</v>
      </c>
      <c r="R405" s="24"/>
      <c r="S40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06" spans="2:19">
      <c r="B406" s="24" t="s">
        <v>796</v>
      </c>
      <c r="C406" s="34" t="s">
        <v>1289</v>
      </c>
      <c r="D406" s="24">
        <v>2</v>
      </c>
      <c r="E406" s="24">
        <v>0</v>
      </c>
      <c r="F406" s="24" t="s">
        <v>151</v>
      </c>
      <c r="G406" s="24" t="s">
        <v>1169</v>
      </c>
      <c r="H406" s="24"/>
      <c r="I406" s="24" t="s">
        <v>382</v>
      </c>
      <c r="J406" s="24" t="s">
        <v>381</v>
      </c>
      <c r="K406" s="24"/>
      <c r="L406" s="24"/>
      <c r="M406" s="24"/>
      <c r="N406" s="24"/>
      <c r="O406" s="26">
        <f>GET_OK_GROUPS_COUNT(tbStoryEnemy[[#This Row],[Camp]],tbStoryEnemy[[#This Row],[Difficulty]],tbStoryEnemy[[#This Row],[IsBoss]],tbStoryEnemy[[#This Row],[Hero1]:[Soldier3]])</f>
        <v>1</v>
      </c>
      <c r="P406" s="24">
        <v>1</v>
      </c>
      <c r="Q406" s="25" t="s">
        <v>912</v>
      </c>
      <c r="R406" s="24"/>
      <c r="S406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407" spans="2:19">
      <c r="B407" s="24" t="s">
        <v>797</v>
      </c>
      <c r="C407" s="34" t="s">
        <v>1289</v>
      </c>
      <c r="D407" s="24">
        <v>1</v>
      </c>
      <c r="E407" s="24">
        <v>0</v>
      </c>
      <c r="F407" s="24" t="s">
        <v>151</v>
      </c>
      <c r="G407" s="24" t="s">
        <v>1338</v>
      </c>
      <c r="H407" s="24"/>
      <c r="I407" s="24"/>
      <c r="J407" s="24"/>
      <c r="K407" s="24"/>
      <c r="L407" s="24" t="s">
        <v>34</v>
      </c>
      <c r="M407" s="24"/>
      <c r="N407" s="24"/>
      <c r="O407" s="26">
        <f>GET_OK_GROUPS_COUNT(tbStoryEnemy[[#This Row],[Camp]],tbStoryEnemy[[#This Row],[Difficulty]],tbStoryEnemy[[#This Row],[IsBoss]],tbStoryEnemy[[#This Row],[Hero1]:[Soldier3]])</f>
        <v>5</v>
      </c>
      <c r="P407" s="24">
        <v>3</v>
      </c>
      <c r="Q407" s="25" t="s">
        <v>912</v>
      </c>
      <c r="R407" s="24"/>
      <c r="S407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408" spans="2:19">
      <c r="B408" s="24" t="s">
        <v>797</v>
      </c>
      <c r="C408" s="34" t="s">
        <v>1289</v>
      </c>
      <c r="D408" s="24">
        <v>2</v>
      </c>
      <c r="E408" s="24">
        <v>0</v>
      </c>
      <c r="F408" s="24" t="s">
        <v>151</v>
      </c>
      <c r="G408" s="24" t="s">
        <v>1169</v>
      </c>
      <c r="H408" s="24"/>
      <c r="I408" s="24" t="s">
        <v>380</v>
      </c>
      <c r="J408" s="24"/>
      <c r="K408" s="24"/>
      <c r="L408" s="24" t="s">
        <v>447</v>
      </c>
      <c r="M408" s="24"/>
      <c r="N408" s="24"/>
      <c r="O408" s="26">
        <f>GET_OK_GROUPS_COUNT(tbStoryEnemy[[#This Row],[Camp]],tbStoryEnemy[[#This Row],[Difficulty]],tbStoryEnemy[[#This Row],[IsBoss]],tbStoryEnemy[[#This Row],[Hero1]:[Soldier3]])</f>
        <v>1</v>
      </c>
      <c r="P408" s="24">
        <v>1</v>
      </c>
      <c r="Q408" s="25" t="s">
        <v>912</v>
      </c>
      <c r="R408" s="24"/>
      <c r="S408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09" spans="2:19">
      <c r="B409" s="24" t="s">
        <v>798</v>
      </c>
      <c r="C409" s="34" t="s">
        <v>1289</v>
      </c>
      <c r="D409" s="24">
        <v>1</v>
      </c>
      <c r="E409" s="24">
        <v>0</v>
      </c>
      <c r="F409" s="24" t="s">
        <v>151</v>
      </c>
      <c r="G409" s="24" t="s">
        <v>1169</v>
      </c>
      <c r="H409" s="24"/>
      <c r="I409" s="24"/>
      <c r="J409" s="24"/>
      <c r="K409" s="24"/>
      <c r="L409" s="24" t="s">
        <v>26</v>
      </c>
      <c r="M409" s="24"/>
      <c r="N409" s="24"/>
      <c r="O409" s="26">
        <f>GET_OK_GROUPS_COUNT(tbStoryEnemy[[#This Row],[Camp]],tbStoryEnemy[[#This Row],[Difficulty]],tbStoryEnemy[[#This Row],[IsBoss]],tbStoryEnemy[[#This Row],[Hero1]:[Soldier3]])</f>
        <v>9</v>
      </c>
      <c r="P409" s="24">
        <v>2</v>
      </c>
      <c r="Q409" s="25" t="s">
        <v>912</v>
      </c>
      <c r="R409" s="24"/>
      <c r="S409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410" spans="2:19">
      <c r="B410" s="24" t="s">
        <v>798</v>
      </c>
      <c r="C410" s="34" t="s">
        <v>1289</v>
      </c>
      <c r="D410" s="24">
        <v>2</v>
      </c>
      <c r="E410" s="24">
        <v>0</v>
      </c>
      <c r="F410" s="24" t="s">
        <v>151</v>
      </c>
      <c r="G410" s="24" t="s">
        <v>1169</v>
      </c>
      <c r="H410" s="24" t="b">
        <v>1</v>
      </c>
      <c r="I410" s="24" t="s">
        <v>1186</v>
      </c>
      <c r="J410" s="24" t="s">
        <v>385</v>
      </c>
      <c r="K410" s="24"/>
      <c r="L410" s="24"/>
      <c r="M410" s="24"/>
      <c r="N410" s="24"/>
      <c r="O410" s="26">
        <f>GET_OK_GROUPS_COUNT(tbStoryEnemy[[#This Row],[Camp]],tbStoryEnemy[[#This Row],[Difficulty]],tbStoryEnemy[[#This Row],[IsBoss]],tbStoryEnemy[[#This Row],[Hero1]:[Soldier3]])</f>
        <v>1</v>
      </c>
      <c r="P410" s="24">
        <v>1</v>
      </c>
      <c r="Q410" s="25" t="s">
        <v>1186</v>
      </c>
      <c r="R410" s="24"/>
      <c r="S410" s="26" t="str">
        <f>GET_OK_GROUP(tbStoryEnemy[[#This Row],[Camp]],tbStoryEnemy[[#This Row],[Difficulty]],tbStoryEnemy[[#This Row],[IsBoss]],tbStoryEnemy[[#This Row],[Hero1]:[Soldier3]],tbStoryEnemy[[#This Row],[GroupID]])</f>
        <v>三国-困难-[B]刺英+刺英</v>
      </c>
    </row>
    <row r="411" spans="2:19">
      <c r="B411" s="24" t="s">
        <v>799</v>
      </c>
      <c r="C411" s="34" t="s">
        <v>1289</v>
      </c>
      <c r="D411" s="24">
        <v>1</v>
      </c>
      <c r="E411" s="24">
        <v>0</v>
      </c>
      <c r="F411" s="24" t="s">
        <v>151</v>
      </c>
      <c r="G411" s="24" t="s">
        <v>1338</v>
      </c>
      <c r="H411" s="24"/>
      <c r="I411" s="24"/>
      <c r="J411" s="24"/>
      <c r="K411" s="24"/>
      <c r="L411" s="24" t="s">
        <v>34</v>
      </c>
      <c r="M411" s="24"/>
      <c r="N411" s="24"/>
      <c r="O411" s="26">
        <f>GET_OK_GROUPS_COUNT(tbStoryEnemy[[#This Row],[Camp]],tbStoryEnemy[[#This Row],[Difficulty]],tbStoryEnemy[[#This Row],[IsBoss]],tbStoryEnemy[[#This Row],[Hero1]:[Soldier3]])</f>
        <v>5</v>
      </c>
      <c r="P411" s="24">
        <v>1</v>
      </c>
      <c r="Q411" s="25" t="s">
        <v>912</v>
      </c>
      <c r="R411" s="24"/>
      <c r="S411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412" spans="2:19">
      <c r="B412" s="24" t="s">
        <v>799</v>
      </c>
      <c r="C412" s="34" t="s">
        <v>1289</v>
      </c>
      <c r="D412" s="24">
        <v>2</v>
      </c>
      <c r="E412" s="24">
        <v>0</v>
      </c>
      <c r="F412" s="24" t="s">
        <v>151</v>
      </c>
      <c r="G412" s="24" t="s">
        <v>1169</v>
      </c>
      <c r="H412" s="24"/>
      <c r="I412" s="24" t="s">
        <v>380</v>
      </c>
      <c r="J412" s="24" t="s">
        <v>380</v>
      </c>
      <c r="K412" s="24"/>
      <c r="L412" s="24"/>
      <c r="M412" s="24"/>
      <c r="N412" s="24"/>
      <c r="O412" s="26">
        <f>GET_OK_GROUPS_COUNT(tbStoryEnemy[[#This Row],[Camp]],tbStoryEnemy[[#This Row],[Difficulty]],tbStoryEnemy[[#This Row],[IsBoss]],tbStoryEnemy[[#This Row],[Hero1]:[Soldier3]])</f>
        <v>1</v>
      </c>
      <c r="P412" s="24">
        <v>1</v>
      </c>
      <c r="Q412" s="25" t="s">
        <v>912</v>
      </c>
      <c r="R412" s="24"/>
      <c r="S412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413" spans="2:19">
      <c r="B413" s="24" t="s">
        <v>800</v>
      </c>
      <c r="C413" s="34" t="s">
        <v>1289</v>
      </c>
      <c r="D413" s="24">
        <v>1</v>
      </c>
      <c r="E413" s="24">
        <v>0</v>
      </c>
      <c r="F413" s="24" t="s">
        <v>151</v>
      </c>
      <c r="G413" s="24" t="s">
        <v>1169</v>
      </c>
      <c r="H413" s="24"/>
      <c r="I413" s="24" t="s">
        <v>382</v>
      </c>
      <c r="J413" s="24"/>
      <c r="K413" s="24"/>
      <c r="L413" s="24" t="s">
        <v>447</v>
      </c>
      <c r="M413" s="24"/>
      <c r="N413" s="24"/>
      <c r="O413" s="26">
        <f>GET_OK_GROUPS_COUNT(tbStoryEnemy[[#This Row],[Camp]],tbStoryEnemy[[#This Row],[Difficulty]],tbStoryEnemy[[#This Row],[IsBoss]],tbStoryEnemy[[#This Row],[Hero1]:[Soldier3]])</f>
        <v>1</v>
      </c>
      <c r="P413" s="24">
        <v>1</v>
      </c>
      <c r="Q413" s="25" t="s">
        <v>912</v>
      </c>
      <c r="R413" s="24"/>
      <c r="S413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414" spans="2:19">
      <c r="B414" s="24" t="s">
        <v>800</v>
      </c>
      <c r="C414" s="34" t="s">
        <v>1289</v>
      </c>
      <c r="D414" s="24">
        <v>2</v>
      </c>
      <c r="E414" s="24">
        <v>0</v>
      </c>
      <c r="F414" s="24" t="s">
        <v>151</v>
      </c>
      <c r="G414" s="24" t="s">
        <v>1169</v>
      </c>
      <c r="H414" s="24"/>
      <c r="I414" s="24" t="s">
        <v>384</v>
      </c>
      <c r="J414" s="24"/>
      <c r="K414" s="24"/>
      <c r="L414" s="24" t="s">
        <v>34</v>
      </c>
      <c r="M414" s="24"/>
      <c r="N414" s="24"/>
      <c r="O414" s="26">
        <f>GET_OK_GROUPS_COUNT(tbStoryEnemy[[#This Row],[Camp]],tbStoryEnemy[[#This Row],[Difficulty]],tbStoryEnemy[[#This Row],[IsBoss]],tbStoryEnemy[[#This Row],[Hero1]:[Soldier3]])</f>
        <v>1</v>
      </c>
      <c r="P414" s="24">
        <v>1</v>
      </c>
      <c r="Q414" s="25" t="s">
        <v>912</v>
      </c>
      <c r="R414" s="24"/>
      <c r="S414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415" spans="2:19">
      <c r="B415" s="24" t="s">
        <v>801</v>
      </c>
      <c r="C415" s="34" t="s">
        <v>1289</v>
      </c>
      <c r="D415" s="24">
        <v>1</v>
      </c>
      <c r="E415" s="24">
        <v>0</v>
      </c>
      <c r="F415" s="24" t="s">
        <v>151</v>
      </c>
      <c r="G415" s="24" t="s">
        <v>1169</v>
      </c>
      <c r="H415" s="24"/>
      <c r="I415" s="24" t="s">
        <v>383</v>
      </c>
      <c r="J415" s="24"/>
      <c r="K415" s="24"/>
      <c r="L415" s="24" t="s">
        <v>25</v>
      </c>
      <c r="M415" s="24"/>
      <c r="N415" s="24"/>
      <c r="O415" s="26">
        <f>GET_OK_GROUPS_COUNT(tbStoryEnemy[[#This Row],[Camp]],tbStoryEnemy[[#This Row],[Difficulty]],tbStoryEnemy[[#This Row],[IsBoss]],tbStoryEnemy[[#This Row],[Hero1]:[Soldier3]])</f>
        <v>1</v>
      </c>
      <c r="P415" s="24">
        <v>1</v>
      </c>
      <c r="Q415" s="25" t="s">
        <v>912</v>
      </c>
      <c r="R415" s="24"/>
      <c r="S415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416" spans="2:19">
      <c r="B416" s="24" t="s">
        <v>801</v>
      </c>
      <c r="C416" s="34" t="s">
        <v>1289</v>
      </c>
      <c r="D416" s="24">
        <v>2</v>
      </c>
      <c r="E416" s="24">
        <v>0</v>
      </c>
      <c r="F416" s="24" t="s">
        <v>151</v>
      </c>
      <c r="G416" s="24" t="s">
        <v>1126</v>
      </c>
      <c r="H416" s="24" t="b">
        <v>1</v>
      </c>
      <c r="I416" s="24" t="s">
        <v>357</v>
      </c>
      <c r="J416" s="24" t="s">
        <v>380</v>
      </c>
      <c r="K416" s="24"/>
      <c r="L416" s="24"/>
      <c r="M416" s="24"/>
      <c r="N416" s="24"/>
      <c r="O416" s="26">
        <f>GET_OK_GROUPS_COUNT(tbStoryEnemy[[#This Row],[Camp]],tbStoryEnemy[[#This Row],[Difficulty]],tbStoryEnemy[[#This Row],[IsBoss]],tbStoryEnemy[[#This Row],[Hero1]:[Soldier3]])</f>
        <v>1</v>
      </c>
      <c r="P416" s="24">
        <v>1</v>
      </c>
      <c r="Q416" s="25" t="s">
        <v>357</v>
      </c>
      <c r="R416" s="24"/>
      <c r="S416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417" spans="2:19">
      <c r="B417" s="24" t="s">
        <v>802</v>
      </c>
      <c r="C417" s="34" t="s">
        <v>1289</v>
      </c>
      <c r="D417" s="24">
        <v>1</v>
      </c>
      <c r="E417" s="24">
        <v>0</v>
      </c>
      <c r="F417" s="24" t="s">
        <v>151</v>
      </c>
      <c r="G417" s="24" t="s">
        <v>1338</v>
      </c>
      <c r="H417" s="24"/>
      <c r="I417" s="24"/>
      <c r="J417" s="24"/>
      <c r="K417" s="24"/>
      <c r="L417" s="24" t="s">
        <v>25</v>
      </c>
      <c r="M417" s="24"/>
      <c r="N417" s="24"/>
      <c r="O417" s="26">
        <f>GET_OK_GROUPS_COUNT(tbStoryEnemy[[#This Row],[Camp]],tbStoryEnemy[[#This Row],[Difficulty]],tbStoryEnemy[[#This Row],[IsBoss]],tbStoryEnemy[[#This Row],[Hero1]:[Soldier3]])</f>
        <v>5</v>
      </c>
      <c r="P417" s="24">
        <v>2</v>
      </c>
      <c r="Q417" s="25" t="s">
        <v>912</v>
      </c>
      <c r="R417" s="24"/>
      <c r="S417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418" spans="2:19">
      <c r="B418" s="24" t="s">
        <v>802</v>
      </c>
      <c r="C418" s="34" t="s">
        <v>1289</v>
      </c>
      <c r="D418" s="24">
        <v>2</v>
      </c>
      <c r="E418" s="24">
        <v>0</v>
      </c>
      <c r="F418" s="24" t="s">
        <v>151</v>
      </c>
      <c r="G418" s="24" t="s">
        <v>1169</v>
      </c>
      <c r="H418" s="24"/>
      <c r="I418" s="24" t="s">
        <v>382</v>
      </c>
      <c r="J418" s="24" t="s">
        <v>381</v>
      </c>
      <c r="K418" s="24"/>
      <c r="L418" s="24"/>
      <c r="M418" s="24"/>
      <c r="N418" s="24"/>
      <c r="O418" s="26">
        <f>GET_OK_GROUPS_COUNT(tbStoryEnemy[[#This Row],[Camp]],tbStoryEnemy[[#This Row],[Difficulty]],tbStoryEnemy[[#This Row],[IsBoss]],tbStoryEnemy[[#This Row],[Hero1]:[Soldier3]])</f>
        <v>1</v>
      </c>
      <c r="P418" s="24">
        <v>1</v>
      </c>
      <c r="Q418" s="25" t="s">
        <v>912</v>
      </c>
      <c r="R418" s="24"/>
      <c r="S418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419" spans="2:19">
      <c r="B419" s="24" t="s">
        <v>803</v>
      </c>
      <c r="C419" s="34" t="s">
        <v>1289</v>
      </c>
      <c r="D419" s="24">
        <v>1</v>
      </c>
      <c r="E419" s="24">
        <v>0</v>
      </c>
      <c r="F419" s="24" t="s">
        <v>151</v>
      </c>
      <c r="G419" s="24" t="s">
        <v>1338</v>
      </c>
      <c r="H419" s="24"/>
      <c r="I419" s="24"/>
      <c r="J419" s="24"/>
      <c r="K419" s="24"/>
      <c r="L419" s="24" t="s">
        <v>25</v>
      </c>
      <c r="M419" s="24"/>
      <c r="N419" s="24"/>
      <c r="O419" s="26">
        <f>GET_OK_GROUPS_COUNT(tbStoryEnemy[[#This Row],[Camp]],tbStoryEnemy[[#This Row],[Difficulty]],tbStoryEnemy[[#This Row],[IsBoss]],tbStoryEnemy[[#This Row],[Hero1]:[Soldier3]])</f>
        <v>5</v>
      </c>
      <c r="P419" s="24">
        <v>4</v>
      </c>
      <c r="Q419" s="25" t="s">
        <v>912</v>
      </c>
      <c r="R419" s="24"/>
      <c r="S419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20" spans="2:19">
      <c r="B420" s="24" t="s">
        <v>803</v>
      </c>
      <c r="C420" s="34" t="s">
        <v>1289</v>
      </c>
      <c r="D420" s="24">
        <v>2</v>
      </c>
      <c r="E420" s="24">
        <v>0</v>
      </c>
      <c r="F420" s="24" t="s">
        <v>151</v>
      </c>
      <c r="G420" s="24" t="s">
        <v>1169</v>
      </c>
      <c r="H420" s="24"/>
      <c r="I420" s="24" t="s">
        <v>382</v>
      </c>
      <c r="J420" s="24" t="s">
        <v>385</v>
      </c>
      <c r="K420" s="24"/>
      <c r="L420" s="24"/>
      <c r="M420" s="24"/>
      <c r="N420" s="24"/>
      <c r="O420" s="26">
        <f>GET_OK_GROUPS_COUNT(tbStoryEnemy[[#This Row],[Camp]],tbStoryEnemy[[#This Row],[Difficulty]],tbStoryEnemy[[#This Row],[IsBoss]],tbStoryEnemy[[#This Row],[Hero1]:[Soldier3]])</f>
        <v>1</v>
      </c>
      <c r="P420" s="24">
        <v>1</v>
      </c>
      <c r="Q420" s="25" t="s">
        <v>912</v>
      </c>
      <c r="R420" s="24"/>
      <c r="S420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421" spans="2:19">
      <c r="B421" s="24" t="s">
        <v>804</v>
      </c>
      <c r="C421" s="34" t="s">
        <v>1289</v>
      </c>
      <c r="D421" s="24">
        <v>1</v>
      </c>
      <c r="E421" s="24">
        <v>0</v>
      </c>
      <c r="F421" s="24" t="s">
        <v>151</v>
      </c>
      <c r="G421" s="24" t="s">
        <v>1169</v>
      </c>
      <c r="H421" s="24"/>
      <c r="I421" s="24"/>
      <c r="J421" s="24"/>
      <c r="K421" s="24"/>
      <c r="L421" s="24" t="s">
        <v>26</v>
      </c>
      <c r="M421" s="24"/>
      <c r="N421" s="24"/>
      <c r="O421" s="26">
        <f>GET_OK_GROUPS_COUNT(tbStoryEnemy[[#This Row],[Camp]],tbStoryEnemy[[#This Row],[Difficulty]],tbStoryEnemy[[#This Row],[IsBoss]],tbStoryEnemy[[#This Row],[Hero1]:[Soldier3]])</f>
        <v>9</v>
      </c>
      <c r="P421" s="24">
        <v>2</v>
      </c>
      <c r="Q421" s="25" t="s">
        <v>912</v>
      </c>
      <c r="R421" s="24"/>
      <c r="S421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422" spans="2:19">
      <c r="B422" s="24" t="s">
        <v>804</v>
      </c>
      <c r="C422" s="34" t="s">
        <v>1289</v>
      </c>
      <c r="D422" s="24">
        <v>2</v>
      </c>
      <c r="E422" s="24">
        <v>0</v>
      </c>
      <c r="F422" s="24" t="s">
        <v>151</v>
      </c>
      <c r="G422" s="24" t="s">
        <v>1169</v>
      </c>
      <c r="H422" s="24" t="b">
        <v>1</v>
      </c>
      <c r="I422" s="24" t="s">
        <v>1187</v>
      </c>
      <c r="J422" s="24"/>
      <c r="K422" s="24"/>
      <c r="L422" s="24"/>
      <c r="M422" s="24"/>
      <c r="N422" s="24"/>
      <c r="O422" s="26">
        <f>GET_OK_GROUPS_COUNT(tbStoryEnemy[[#This Row],[Camp]],tbStoryEnemy[[#This Row],[Difficulty]],tbStoryEnemy[[#This Row],[IsBoss]],tbStoryEnemy[[#This Row],[Hero1]:[Soldier3]])</f>
        <v>3</v>
      </c>
      <c r="P422" s="24">
        <v>1</v>
      </c>
      <c r="Q422" s="25" t="s">
        <v>1187</v>
      </c>
      <c r="R422" s="24"/>
      <c r="S422" s="26" t="str">
        <f>GET_OK_GROUP(tbStoryEnemy[[#This Row],[Camp]],tbStoryEnemy[[#This Row],[Difficulty]],tbStoryEnemy[[#This Row],[IsBoss]],tbStoryEnemy[[#This Row],[Hero1]:[Soldier3]],tbStoryEnemy[[#This Row],[GroupID]])</f>
        <v>三国-困难-[B]炼英+铁兵</v>
      </c>
    </row>
    <row r="423" spans="2:19">
      <c r="B423" s="24" t="s">
        <v>805</v>
      </c>
      <c r="C423" s="34" t="s">
        <v>1289</v>
      </c>
      <c r="D423" s="24">
        <v>1</v>
      </c>
      <c r="E423" s="24">
        <v>0</v>
      </c>
      <c r="F423" s="24" t="s">
        <v>151</v>
      </c>
      <c r="G423" s="24" t="s">
        <v>1338</v>
      </c>
      <c r="H423" s="24"/>
      <c r="I423" s="24"/>
      <c r="J423" s="24"/>
      <c r="K423" s="24"/>
      <c r="L423" s="24" t="s">
        <v>34</v>
      </c>
      <c r="M423" s="24"/>
      <c r="N423" s="24"/>
      <c r="O423" s="26">
        <f>GET_OK_GROUPS_COUNT(tbStoryEnemy[[#This Row],[Camp]],tbStoryEnemy[[#This Row],[Difficulty]],tbStoryEnemy[[#This Row],[IsBoss]],tbStoryEnemy[[#This Row],[Hero1]:[Soldier3]])</f>
        <v>5</v>
      </c>
      <c r="P423" s="24">
        <v>3</v>
      </c>
      <c r="Q423" s="25" t="s">
        <v>912</v>
      </c>
      <c r="R423" s="24"/>
      <c r="S423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424" spans="2:19">
      <c r="B424" s="24" t="s">
        <v>805</v>
      </c>
      <c r="C424" s="34" t="s">
        <v>1289</v>
      </c>
      <c r="D424" s="24">
        <v>2</v>
      </c>
      <c r="E424" s="24">
        <v>0</v>
      </c>
      <c r="F424" s="24" t="s">
        <v>151</v>
      </c>
      <c r="G424" s="24" t="s">
        <v>1169</v>
      </c>
      <c r="H424" s="24"/>
      <c r="I424" s="24" t="s">
        <v>382</v>
      </c>
      <c r="J424" s="24" t="s">
        <v>383</v>
      </c>
      <c r="K424" s="24"/>
      <c r="L424" s="24"/>
      <c r="M424" s="24"/>
      <c r="N424" s="24"/>
      <c r="O424" s="26">
        <f>GET_OK_GROUPS_COUNT(tbStoryEnemy[[#This Row],[Camp]],tbStoryEnemy[[#This Row],[Difficulty]],tbStoryEnemy[[#This Row],[IsBoss]],tbStoryEnemy[[#This Row],[Hero1]:[Soldier3]])</f>
        <v>1</v>
      </c>
      <c r="P424" s="24">
        <v>1</v>
      </c>
      <c r="Q424" s="25" t="s">
        <v>912</v>
      </c>
      <c r="R424" s="24"/>
      <c r="S424" s="26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425" spans="2:19">
      <c r="B425" s="24" t="s">
        <v>806</v>
      </c>
      <c r="C425" s="34" t="s">
        <v>1289</v>
      </c>
      <c r="D425" s="24">
        <v>1</v>
      </c>
      <c r="E425" s="24">
        <v>0</v>
      </c>
      <c r="F425" s="24" t="s">
        <v>151</v>
      </c>
      <c r="G425" s="24" t="s">
        <v>1169</v>
      </c>
      <c r="H425" s="24"/>
      <c r="I425" s="24" t="s">
        <v>382</v>
      </c>
      <c r="J425" s="24"/>
      <c r="K425" s="24"/>
      <c r="L425" s="24" t="s">
        <v>28</v>
      </c>
      <c r="M425" s="24"/>
      <c r="N425" s="24"/>
      <c r="O425" s="26">
        <f>GET_OK_GROUPS_COUNT(tbStoryEnemy[[#This Row],[Camp]],tbStoryEnemy[[#This Row],[Difficulty]],tbStoryEnemy[[#This Row],[IsBoss]],tbStoryEnemy[[#This Row],[Hero1]:[Soldier3]])</f>
        <v>1</v>
      </c>
      <c r="P425" s="24">
        <v>1</v>
      </c>
      <c r="Q425" s="25" t="s">
        <v>912</v>
      </c>
      <c r="R425" s="24"/>
      <c r="S425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426" spans="2:19">
      <c r="B426" s="24" t="s">
        <v>806</v>
      </c>
      <c r="C426" s="34" t="s">
        <v>1289</v>
      </c>
      <c r="D426" s="24">
        <v>2</v>
      </c>
      <c r="E426" s="24">
        <v>0</v>
      </c>
      <c r="F426" s="24" t="s">
        <v>151</v>
      </c>
      <c r="G426" s="24" t="s">
        <v>1169</v>
      </c>
      <c r="H426" s="24"/>
      <c r="I426" s="24" t="s">
        <v>381</v>
      </c>
      <c r="J426" s="24"/>
      <c r="K426" s="24"/>
      <c r="L426" s="24" t="s">
        <v>34</v>
      </c>
      <c r="M426" s="24"/>
      <c r="N426" s="24"/>
      <c r="O426" s="26">
        <f>GET_OK_GROUPS_COUNT(tbStoryEnemy[[#This Row],[Camp]],tbStoryEnemy[[#This Row],[Difficulty]],tbStoryEnemy[[#This Row],[IsBoss]],tbStoryEnemy[[#This Row],[Hero1]:[Soldier3]])</f>
        <v>1</v>
      </c>
      <c r="P426" s="24">
        <v>1</v>
      </c>
      <c r="Q426" s="25" t="s">
        <v>912</v>
      </c>
      <c r="R426" s="24"/>
      <c r="S426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427" spans="2:19">
      <c r="B427" s="24" t="s">
        <v>807</v>
      </c>
      <c r="C427" s="34" t="s">
        <v>1289</v>
      </c>
      <c r="D427" s="24">
        <v>1</v>
      </c>
      <c r="E427" s="24">
        <v>0</v>
      </c>
      <c r="F427" s="24" t="s">
        <v>151</v>
      </c>
      <c r="G427" s="24" t="s">
        <v>1169</v>
      </c>
      <c r="H427" s="24"/>
      <c r="I427" s="24"/>
      <c r="J427" s="24"/>
      <c r="K427" s="24"/>
      <c r="L427" s="24" t="s">
        <v>25</v>
      </c>
      <c r="M427" s="24" t="s">
        <v>28</v>
      </c>
      <c r="N427" s="24"/>
      <c r="O427" s="26">
        <f>GET_OK_GROUPS_COUNT(tbStoryEnemy[[#This Row],[Camp]],tbStoryEnemy[[#This Row],[Difficulty]],tbStoryEnemy[[#This Row],[IsBoss]],tbStoryEnemy[[#This Row],[Hero1]:[Soldier3]])</f>
        <v>5</v>
      </c>
      <c r="P427" s="24">
        <v>1</v>
      </c>
      <c r="Q427" s="25" t="s">
        <v>912</v>
      </c>
      <c r="R427" s="24"/>
      <c r="S427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428" spans="2:19">
      <c r="B428" s="24" t="s">
        <v>807</v>
      </c>
      <c r="C428" s="34" t="s">
        <v>1289</v>
      </c>
      <c r="D428" s="24">
        <v>2</v>
      </c>
      <c r="E428" s="24">
        <v>0</v>
      </c>
      <c r="F428" s="24" t="s">
        <v>151</v>
      </c>
      <c r="G428" s="24" t="s">
        <v>1126</v>
      </c>
      <c r="H428" s="24" t="b">
        <v>1</v>
      </c>
      <c r="I428" s="24" t="s">
        <v>363</v>
      </c>
      <c r="J428" s="24" t="s">
        <v>384</v>
      </c>
      <c r="K428" s="24"/>
      <c r="L428" s="24"/>
      <c r="M428" s="24"/>
      <c r="N428" s="24"/>
      <c r="O428" s="26">
        <f>GET_OK_GROUPS_COUNT(tbStoryEnemy[[#This Row],[Camp]],tbStoryEnemy[[#This Row],[Difficulty]],tbStoryEnemy[[#This Row],[IsBoss]],tbStoryEnemy[[#This Row],[Hero1]:[Soldier3]])</f>
        <v>1</v>
      </c>
      <c r="P428" s="24">
        <v>1</v>
      </c>
      <c r="Q428" s="25" t="s">
        <v>363</v>
      </c>
      <c r="R428" s="24"/>
      <c r="S428" s="26" t="str">
        <f>GET_OK_GROUP(tbStoryEnemy[[#This Row],[Camp]],tbStoryEnemy[[#This Row],[Difficulty]],tbStoryEnemy[[#This Row],[IsBoss]],tbStoryEnemy[[#This Row],[Hero1]:[Soldier3]],tbStoryEnemy[[#This Row],[GroupID]])</f>
        <v>三国-超难-[B]强英+法英</v>
      </c>
    </row>
    <row r="429" spans="2:19">
      <c r="B429" s="24" t="s">
        <v>808</v>
      </c>
      <c r="C429" s="34" t="s">
        <v>1289</v>
      </c>
      <c r="D429" s="24">
        <v>1</v>
      </c>
      <c r="E429" s="24">
        <v>0</v>
      </c>
      <c r="F429" s="24" t="s">
        <v>151</v>
      </c>
      <c r="G429" s="24" t="s">
        <v>1338</v>
      </c>
      <c r="H429" s="24"/>
      <c r="I429" s="24"/>
      <c r="J429" s="24"/>
      <c r="K429" s="24"/>
      <c r="L429" s="24" t="s">
        <v>49</v>
      </c>
      <c r="M429" s="24"/>
      <c r="N429" s="24"/>
      <c r="O429" s="26">
        <f>GET_OK_GROUPS_COUNT(tbStoryEnemy[[#This Row],[Camp]],tbStoryEnemy[[#This Row],[Difficulty]],tbStoryEnemy[[#This Row],[IsBoss]],tbStoryEnemy[[#This Row],[Hero1]:[Soldier3]])</f>
        <v>1</v>
      </c>
      <c r="P429" s="24">
        <v>1</v>
      </c>
      <c r="Q429" s="25" t="s">
        <v>912</v>
      </c>
      <c r="R429" s="24"/>
      <c r="S429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430" spans="2:19">
      <c r="B430" s="24" t="s">
        <v>808</v>
      </c>
      <c r="C430" s="34" t="s">
        <v>1289</v>
      </c>
      <c r="D430" s="24">
        <v>2</v>
      </c>
      <c r="E430" s="24">
        <v>0</v>
      </c>
      <c r="F430" s="24" t="s">
        <v>151</v>
      </c>
      <c r="G430" s="24" t="s">
        <v>1169</v>
      </c>
      <c r="H430" s="24"/>
      <c r="I430" s="24" t="s">
        <v>384</v>
      </c>
      <c r="J430" s="24" t="s">
        <v>384</v>
      </c>
      <c r="K430" s="24"/>
      <c r="L430" s="24"/>
      <c r="M430" s="24"/>
      <c r="N430" s="24"/>
      <c r="O430" s="26">
        <f>GET_OK_GROUPS_COUNT(tbStoryEnemy[[#This Row],[Camp]],tbStoryEnemy[[#This Row],[Difficulty]],tbStoryEnemy[[#This Row],[IsBoss]],tbStoryEnemy[[#This Row],[Hero1]:[Soldier3]])</f>
        <v>1</v>
      </c>
      <c r="P430" s="24">
        <v>1</v>
      </c>
      <c r="Q430" s="25" t="s">
        <v>912</v>
      </c>
      <c r="R430" s="24"/>
      <c r="S430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431" spans="2:19">
      <c r="B431" s="24" t="s">
        <v>809</v>
      </c>
      <c r="C431" s="34" t="s">
        <v>1289</v>
      </c>
      <c r="D431" s="24">
        <v>1</v>
      </c>
      <c r="E431" s="24">
        <v>0</v>
      </c>
      <c r="F431" s="24" t="s">
        <v>151</v>
      </c>
      <c r="G431" s="24" t="s">
        <v>1169</v>
      </c>
      <c r="H431" s="24"/>
      <c r="I431" s="24" t="s">
        <v>385</v>
      </c>
      <c r="J431" s="24"/>
      <c r="K431" s="24"/>
      <c r="L431" s="24" t="s">
        <v>25</v>
      </c>
      <c r="M431" s="24"/>
      <c r="N431" s="24"/>
      <c r="O431" s="26">
        <f>GET_OK_GROUPS_COUNT(tbStoryEnemy[[#This Row],[Camp]],tbStoryEnemy[[#This Row],[Difficulty]],tbStoryEnemy[[#This Row],[IsBoss]],tbStoryEnemy[[#This Row],[Hero1]:[Soldier3]])</f>
        <v>1</v>
      </c>
      <c r="P431" s="24">
        <v>1</v>
      </c>
      <c r="Q431" s="25" t="s">
        <v>912</v>
      </c>
      <c r="R431" s="24"/>
      <c r="S431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432" spans="2:19">
      <c r="B432" s="24" t="s">
        <v>809</v>
      </c>
      <c r="C432" s="34" t="s">
        <v>1289</v>
      </c>
      <c r="D432" s="24">
        <v>2</v>
      </c>
      <c r="E432" s="24">
        <v>0</v>
      </c>
      <c r="F432" s="24" t="s">
        <v>151</v>
      </c>
      <c r="G432" s="24" t="s">
        <v>1169</v>
      </c>
      <c r="H432" s="24"/>
      <c r="I432" s="24" t="s">
        <v>380</v>
      </c>
      <c r="J432" s="24" t="s">
        <v>381</v>
      </c>
      <c r="K432" s="24"/>
      <c r="L432" s="24"/>
      <c r="M432" s="24"/>
      <c r="N432" s="24"/>
      <c r="O432" s="26">
        <f>GET_OK_GROUPS_COUNT(tbStoryEnemy[[#This Row],[Camp]],tbStoryEnemy[[#This Row],[Difficulty]],tbStoryEnemy[[#This Row],[IsBoss]],tbStoryEnemy[[#This Row],[Hero1]:[Soldier3]])</f>
        <v>1</v>
      </c>
      <c r="P432" s="24">
        <v>1</v>
      </c>
      <c r="Q432" s="25" t="s">
        <v>912</v>
      </c>
      <c r="R432" s="24"/>
      <c r="S432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433" spans="2:19">
      <c r="B433" s="24" t="s">
        <v>810</v>
      </c>
      <c r="C433" s="34" t="s">
        <v>1289</v>
      </c>
      <c r="D433" s="24">
        <v>1</v>
      </c>
      <c r="E433" s="24">
        <v>0</v>
      </c>
      <c r="F433" s="24" t="s">
        <v>151</v>
      </c>
      <c r="G433" s="24" t="s">
        <v>1169</v>
      </c>
      <c r="H433" s="24"/>
      <c r="I433" s="24"/>
      <c r="J433" s="24"/>
      <c r="K433" s="24"/>
      <c r="L433" s="24" t="s">
        <v>25</v>
      </c>
      <c r="M433" s="24" t="s">
        <v>28</v>
      </c>
      <c r="N433" s="24"/>
      <c r="O433" s="26">
        <f>GET_OK_GROUPS_COUNT(tbStoryEnemy[[#This Row],[Camp]],tbStoryEnemy[[#This Row],[Difficulty]],tbStoryEnemy[[#This Row],[IsBoss]],tbStoryEnemy[[#This Row],[Hero1]:[Soldier3]])</f>
        <v>5</v>
      </c>
      <c r="P433" s="24">
        <v>1</v>
      </c>
      <c r="Q433" s="25" t="s">
        <v>912</v>
      </c>
      <c r="R433" s="24"/>
      <c r="S433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434" spans="2:19">
      <c r="B434" s="24" t="s">
        <v>810</v>
      </c>
      <c r="C434" s="34" t="s">
        <v>1289</v>
      </c>
      <c r="D434" s="24">
        <v>2</v>
      </c>
      <c r="E434" s="24">
        <v>0</v>
      </c>
      <c r="F434" s="24" t="s">
        <v>151</v>
      </c>
      <c r="G434" s="24" t="s">
        <v>1126</v>
      </c>
      <c r="H434" s="24" t="b">
        <v>1</v>
      </c>
      <c r="I434" s="24" t="s">
        <v>419</v>
      </c>
      <c r="J434" s="24" t="s">
        <v>384</v>
      </c>
      <c r="K434" s="24"/>
      <c r="L434" s="24"/>
      <c r="M434" s="24"/>
      <c r="N434" s="24"/>
      <c r="O434" s="26">
        <f>GET_OK_GROUPS_COUNT(tbStoryEnemy[[#This Row],[Camp]],tbStoryEnemy[[#This Row],[Difficulty]],tbStoryEnemy[[#This Row],[IsBoss]],tbStoryEnemy[[#This Row],[Hero1]:[Soldier3]])</f>
        <v>1</v>
      </c>
      <c r="P434" s="24">
        <v>1</v>
      </c>
      <c r="Q434" s="25" t="s">
        <v>419</v>
      </c>
      <c r="R434" s="24"/>
      <c r="S434" s="26" t="str">
        <f>GET_OK_GROUP(tbStoryEnemy[[#This Row],[Camp]],tbStoryEnemy[[#This Row],[Difficulty]],tbStoryEnemy[[#This Row],[IsBoss]],tbStoryEnemy[[#This Row],[Hero1]:[Soldier3]],tbStoryEnemy[[#This Row],[GroupID]])</f>
        <v>三国-超难-[B]强英+法英</v>
      </c>
    </row>
    <row r="435" spans="2:19">
      <c r="B435" s="24" t="s">
        <v>811</v>
      </c>
      <c r="C435" s="34" t="s">
        <v>1289</v>
      </c>
      <c r="D435" s="24">
        <v>1</v>
      </c>
      <c r="E435" s="24">
        <v>0</v>
      </c>
      <c r="F435" s="24" t="s">
        <v>151</v>
      </c>
      <c r="G435" s="24" t="s">
        <v>1169</v>
      </c>
      <c r="H435" s="24"/>
      <c r="I435" s="24"/>
      <c r="J435" s="24"/>
      <c r="K435" s="24"/>
      <c r="L435" s="24" t="s">
        <v>25</v>
      </c>
      <c r="M435" s="24"/>
      <c r="N435" s="24"/>
      <c r="O435" s="26">
        <f>GET_OK_GROUPS_COUNT(tbStoryEnemy[[#This Row],[Camp]],tbStoryEnemy[[#This Row],[Difficulty]],tbStoryEnemy[[#This Row],[IsBoss]],tbStoryEnemy[[#This Row],[Hero1]:[Soldier3]])</f>
        <v>14</v>
      </c>
      <c r="P435" s="24">
        <v>4</v>
      </c>
      <c r="Q435" s="25" t="s">
        <v>912</v>
      </c>
      <c r="R435" s="24"/>
      <c r="S435" s="26" t="str">
        <f>GET_OK_GROUP(tbStoryEnemy[[#This Row],[Camp]],tbStoryEnemy[[#This Row],[Difficulty]],tbStoryEnemy[[#This Row],[IsBoss]],tbStoryEnemy[[#This Row],[Hero1]:[Soldier3]],tbStoryEnemy[[#This Row],[GroupID]])</f>
        <v>三国-困难-铁兵+刺兵</v>
      </c>
    </row>
    <row r="436" spans="2:19">
      <c r="B436" s="24" t="s">
        <v>811</v>
      </c>
      <c r="C436" s="34" t="s">
        <v>1289</v>
      </c>
      <c r="D436" s="24">
        <v>2</v>
      </c>
      <c r="E436" s="24">
        <v>0</v>
      </c>
      <c r="F436" s="24" t="s">
        <v>151</v>
      </c>
      <c r="G436" s="24" t="s">
        <v>1169</v>
      </c>
      <c r="H436" s="24"/>
      <c r="I436" s="24" t="s">
        <v>382</v>
      </c>
      <c r="J436" s="24" t="s">
        <v>383</v>
      </c>
      <c r="K436" s="24"/>
      <c r="L436" s="24"/>
      <c r="M436" s="24"/>
      <c r="N436" s="24"/>
      <c r="O436" s="26">
        <f>GET_OK_GROUPS_COUNT(tbStoryEnemy[[#This Row],[Camp]],tbStoryEnemy[[#This Row],[Difficulty]],tbStoryEnemy[[#This Row],[IsBoss]],tbStoryEnemy[[#This Row],[Hero1]:[Soldier3]])</f>
        <v>1</v>
      </c>
      <c r="P436" s="24">
        <v>1</v>
      </c>
      <c r="Q436" s="25" t="s">
        <v>912</v>
      </c>
      <c r="R436" s="24"/>
      <c r="S436" s="26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437" spans="2:19">
      <c r="B437" s="24" t="s">
        <v>812</v>
      </c>
      <c r="C437" s="34" t="s">
        <v>1289</v>
      </c>
      <c r="D437" s="24">
        <v>1</v>
      </c>
      <c r="E437" s="24">
        <v>0</v>
      </c>
      <c r="F437" s="24" t="s">
        <v>151</v>
      </c>
      <c r="G437" s="24" t="s">
        <v>1169</v>
      </c>
      <c r="H437" s="24"/>
      <c r="I437" s="24"/>
      <c r="J437" s="24"/>
      <c r="K437" s="24"/>
      <c r="L437" s="24" t="s">
        <v>448</v>
      </c>
      <c r="M437" s="24"/>
      <c r="N437" s="24"/>
      <c r="O437" s="26">
        <f>GET_OK_GROUPS_COUNT(tbStoryEnemy[[#This Row],[Camp]],tbStoryEnemy[[#This Row],[Difficulty]],tbStoryEnemy[[#This Row],[IsBoss]],tbStoryEnemy[[#This Row],[Hero1]:[Soldier3]])</f>
        <v>10</v>
      </c>
      <c r="P437" s="24">
        <v>1</v>
      </c>
      <c r="Q437" s="25" t="s">
        <v>912</v>
      </c>
      <c r="R437" s="24"/>
      <c r="S437" s="26" t="str">
        <f>GET_OK_GROUP(tbStoryEnemy[[#This Row],[Camp]],tbStoryEnemy[[#This Row],[Difficulty]],tbStoryEnemy[[#This Row],[IsBoss]],tbStoryEnemy[[#This Row],[Hero1]:[Soldier3]],tbStoryEnemy[[#This Row],[GroupID]])</f>
        <v>三国-困难-刺兵</v>
      </c>
    </row>
    <row r="438" spans="2:19">
      <c r="B438" s="24" t="s">
        <v>812</v>
      </c>
      <c r="C438" s="34" t="s">
        <v>1289</v>
      </c>
      <c r="D438" s="24">
        <v>2</v>
      </c>
      <c r="E438" s="24">
        <v>0</v>
      </c>
      <c r="F438" s="24" t="s">
        <v>151</v>
      </c>
      <c r="G438" s="24" t="s">
        <v>1126</v>
      </c>
      <c r="H438" s="24"/>
      <c r="I438" s="24" t="s">
        <v>384</v>
      </c>
      <c r="J438" s="24" t="s">
        <v>380</v>
      </c>
      <c r="K438" s="24"/>
      <c r="L438" s="24"/>
      <c r="M438" s="24"/>
      <c r="N438" s="24"/>
      <c r="O438" s="26">
        <f>GET_OK_GROUPS_COUNT(tbStoryEnemy[[#This Row],[Camp]],tbStoryEnemy[[#This Row],[Difficulty]],tbStoryEnemy[[#This Row],[IsBoss]],tbStoryEnemy[[#This Row],[Hero1]:[Soldier3]])</f>
        <v>1</v>
      </c>
      <c r="P438" s="24">
        <v>1</v>
      </c>
      <c r="Q438" s="25" t="s">
        <v>912</v>
      </c>
      <c r="R438" s="24"/>
      <c r="S438" s="26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439" spans="2:19">
      <c r="B439" s="24" t="s">
        <v>813</v>
      </c>
      <c r="C439" s="34" t="s">
        <v>1289</v>
      </c>
      <c r="D439" s="24">
        <v>1</v>
      </c>
      <c r="E439" s="24">
        <v>0</v>
      </c>
      <c r="F439" s="24" t="s">
        <v>151</v>
      </c>
      <c r="G439" s="24" t="s">
        <v>1126</v>
      </c>
      <c r="H439" s="24"/>
      <c r="I439" s="34" t="s">
        <v>1177</v>
      </c>
      <c r="J439" s="34" t="s">
        <v>1166</v>
      </c>
      <c r="K439" s="24"/>
      <c r="L439" s="24"/>
      <c r="M439" s="24"/>
      <c r="N439" s="24"/>
      <c r="O439" s="26">
        <f>GET_OK_GROUPS_COUNT(tbStoryEnemy[[#This Row],[Camp]],tbStoryEnemy[[#This Row],[Difficulty]],tbStoryEnemy[[#This Row],[IsBoss]],tbStoryEnemy[[#This Row],[Hero1]:[Soldier3]])</f>
        <v>1</v>
      </c>
      <c r="P439" s="24">
        <v>1</v>
      </c>
      <c r="Q439" s="25" t="s">
        <v>912</v>
      </c>
      <c r="R439" s="24"/>
      <c r="S439" s="26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440" spans="2:19">
      <c r="B440" s="24" t="s">
        <v>813</v>
      </c>
      <c r="C440" s="34" t="s">
        <v>1289</v>
      </c>
      <c r="D440" s="24">
        <v>2</v>
      </c>
      <c r="E440" s="24">
        <v>0</v>
      </c>
      <c r="F440" s="24" t="s">
        <v>151</v>
      </c>
      <c r="G440" s="24" t="s">
        <v>1126</v>
      </c>
      <c r="H440" s="24" t="b">
        <v>1</v>
      </c>
      <c r="I440" s="24" t="s">
        <v>364</v>
      </c>
      <c r="J440" s="24" t="s">
        <v>384</v>
      </c>
      <c r="K440" s="24"/>
      <c r="L440" s="24"/>
      <c r="M440" s="24"/>
      <c r="N440" s="24"/>
      <c r="O440" s="26">
        <f>GET_OK_GROUPS_COUNT(tbStoryEnemy[[#This Row],[Camp]],tbStoryEnemy[[#This Row],[Difficulty]],tbStoryEnemy[[#This Row],[IsBoss]],tbStoryEnemy[[#This Row],[Hero1]:[Soldier3]])</f>
        <v>1</v>
      </c>
      <c r="P440" s="24">
        <v>1</v>
      </c>
      <c r="Q440" s="25" t="s">
        <v>364</v>
      </c>
      <c r="R440" s="24"/>
      <c r="S440" s="26" t="str">
        <f>GET_OK_GROUP(tbStoryEnemy[[#This Row],[Camp]],tbStoryEnemy[[#This Row],[Difficulty]],tbStoryEnemy[[#This Row],[IsBoss]],tbStoryEnemy[[#This Row],[Hero1]:[Soldier3]],tbStoryEnemy[[#This Row],[GroupID]])</f>
        <v>三国-超难-[B]盾英+法英</v>
      </c>
    </row>
    <row r="441" spans="2:19">
      <c r="B441" s="24" t="s">
        <v>814</v>
      </c>
      <c r="C441" s="34" t="s">
        <v>1289</v>
      </c>
      <c r="D441" s="24">
        <v>1</v>
      </c>
      <c r="E441" s="24">
        <v>0</v>
      </c>
      <c r="F441" s="24" t="s">
        <v>151</v>
      </c>
      <c r="G441" s="24" t="s">
        <v>1338</v>
      </c>
      <c r="H441" s="24"/>
      <c r="I441" s="24"/>
      <c r="J441" s="24"/>
      <c r="K441" s="24"/>
      <c r="L441" s="24" t="s">
        <v>25</v>
      </c>
      <c r="M441" s="24" t="s">
        <v>447</v>
      </c>
      <c r="N441" s="24"/>
      <c r="O441" s="26">
        <f>GET_OK_GROUPS_COUNT(tbStoryEnemy[[#This Row],[Camp]],tbStoryEnemy[[#This Row],[Difficulty]],tbStoryEnemy[[#This Row],[IsBoss]],tbStoryEnemy[[#This Row],[Hero1]:[Soldier3]])</f>
        <v>1</v>
      </c>
      <c r="P441" s="24">
        <v>1</v>
      </c>
      <c r="Q441" s="25" t="s">
        <v>912</v>
      </c>
      <c r="R441" s="24"/>
      <c r="S441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442" spans="2:19">
      <c r="B442" s="24" t="s">
        <v>814</v>
      </c>
      <c r="C442" s="34" t="s">
        <v>1289</v>
      </c>
      <c r="D442" s="24">
        <v>2</v>
      </c>
      <c r="E442" s="24">
        <v>0</v>
      </c>
      <c r="F442" s="24" t="s">
        <v>151</v>
      </c>
      <c r="G442" s="24" t="s">
        <v>1169</v>
      </c>
      <c r="H442" s="24"/>
      <c r="I442" s="24" t="s">
        <v>380</v>
      </c>
      <c r="J442" s="24" t="s">
        <v>383</v>
      </c>
      <c r="K442" s="24"/>
      <c r="L442" s="24"/>
      <c r="M442" s="24"/>
      <c r="N442" s="24"/>
      <c r="O442" s="26">
        <f>GET_OK_GROUPS_COUNT(tbStoryEnemy[[#This Row],[Camp]],tbStoryEnemy[[#This Row],[Difficulty]],tbStoryEnemy[[#This Row],[IsBoss]],tbStoryEnemy[[#This Row],[Hero1]:[Soldier3]])</f>
        <v>1</v>
      </c>
      <c r="P442" s="24">
        <v>1</v>
      </c>
      <c r="Q442" s="25" t="s">
        <v>912</v>
      </c>
      <c r="R442" s="24"/>
      <c r="S442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443" spans="2:19">
      <c r="B443" s="24" t="s">
        <v>815</v>
      </c>
      <c r="C443" s="34" t="s">
        <v>1289</v>
      </c>
      <c r="D443" s="24">
        <v>1</v>
      </c>
      <c r="E443" s="24">
        <v>0</v>
      </c>
      <c r="F443" s="24" t="s">
        <v>151</v>
      </c>
      <c r="G443" s="24" t="s">
        <v>1338</v>
      </c>
      <c r="H443" s="24"/>
      <c r="I443" s="24"/>
      <c r="J443" s="24"/>
      <c r="K443" s="24"/>
      <c r="L443" s="24" t="s">
        <v>26</v>
      </c>
      <c r="M443" s="24"/>
      <c r="N443" s="24"/>
      <c r="O443" s="26">
        <f>GET_OK_GROUPS_COUNT(tbStoryEnemy[[#This Row],[Camp]],tbStoryEnemy[[#This Row],[Difficulty]],tbStoryEnemy[[#This Row],[IsBoss]],tbStoryEnemy[[#This Row],[Hero1]:[Soldier3]])</f>
        <v>3</v>
      </c>
      <c r="P443" s="24">
        <v>3</v>
      </c>
      <c r="Q443" s="25" t="s">
        <v>912</v>
      </c>
      <c r="R443" s="24"/>
      <c r="S443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444" spans="2:19">
      <c r="B444" s="24" t="s">
        <v>815</v>
      </c>
      <c r="C444" s="34" t="s">
        <v>1289</v>
      </c>
      <c r="D444" s="24">
        <v>2</v>
      </c>
      <c r="E444" s="24">
        <v>0</v>
      </c>
      <c r="F444" s="24" t="s">
        <v>151</v>
      </c>
      <c r="G444" s="24" t="s">
        <v>1169</v>
      </c>
      <c r="H444" s="24"/>
      <c r="I444" s="24" t="s">
        <v>380</v>
      </c>
      <c r="J444" s="24" t="s">
        <v>384</v>
      </c>
      <c r="K444" s="24"/>
      <c r="L444" s="24"/>
      <c r="M444" s="24"/>
      <c r="N444" s="24"/>
      <c r="O444" s="26">
        <f>GET_OK_GROUPS_COUNT(tbStoryEnemy[[#This Row],[Camp]],tbStoryEnemy[[#This Row],[Difficulty]],tbStoryEnemy[[#This Row],[IsBoss]],tbStoryEnemy[[#This Row],[Hero1]:[Soldier3]])</f>
        <v>1</v>
      </c>
      <c r="P444" s="24">
        <v>1</v>
      </c>
      <c r="Q444" s="25" t="s">
        <v>912</v>
      </c>
      <c r="R444" s="24"/>
      <c r="S444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445" spans="2:19">
      <c r="B445" s="24" t="s">
        <v>816</v>
      </c>
      <c r="C445" s="34" t="s">
        <v>1289</v>
      </c>
      <c r="D445" s="24">
        <v>1</v>
      </c>
      <c r="E445" s="24">
        <v>0</v>
      </c>
      <c r="F445" s="24" t="s">
        <v>151</v>
      </c>
      <c r="G445" s="24" t="s">
        <v>1169</v>
      </c>
      <c r="H445" s="24"/>
      <c r="I445" s="24" t="s">
        <v>382</v>
      </c>
      <c r="J445" s="24"/>
      <c r="K445" s="24"/>
      <c r="L445" s="24" t="s">
        <v>447</v>
      </c>
      <c r="M445" s="24"/>
      <c r="N445" s="24"/>
      <c r="O445" s="26">
        <f>GET_OK_GROUPS_COUNT(tbStoryEnemy[[#This Row],[Camp]],tbStoryEnemy[[#This Row],[Difficulty]],tbStoryEnemy[[#This Row],[IsBoss]],tbStoryEnemy[[#This Row],[Hero1]:[Soldier3]])</f>
        <v>1</v>
      </c>
      <c r="P445" s="24">
        <v>1</v>
      </c>
      <c r="Q445" s="25" t="s">
        <v>912</v>
      </c>
      <c r="R445" s="24"/>
      <c r="S445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446" spans="2:19">
      <c r="B446" s="24" t="s">
        <v>816</v>
      </c>
      <c r="C446" s="34" t="s">
        <v>1289</v>
      </c>
      <c r="D446" s="24">
        <v>2</v>
      </c>
      <c r="E446" s="24">
        <v>0</v>
      </c>
      <c r="F446" s="24" t="s">
        <v>151</v>
      </c>
      <c r="G446" s="24" t="s">
        <v>1169</v>
      </c>
      <c r="H446" s="24" t="b">
        <v>1</v>
      </c>
      <c r="I446" s="24" t="s">
        <v>325</v>
      </c>
      <c r="J446" s="24" t="s">
        <v>383</v>
      </c>
      <c r="K446" s="24"/>
      <c r="L446" s="24"/>
      <c r="M446" s="24"/>
      <c r="N446" s="24"/>
      <c r="O446" s="26">
        <f>GET_OK_GROUPS_COUNT(tbStoryEnemy[[#This Row],[Camp]],tbStoryEnemy[[#This Row],[Difficulty]],tbStoryEnemy[[#This Row],[IsBoss]],tbStoryEnemy[[#This Row],[Hero1]:[Soldier3]])</f>
        <v>1</v>
      </c>
      <c r="P446" s="24">
        <v>1</v>
      </c>
      <c r="Q446" s="25" t="s">
        <v>325</v>
      </c>
      <c r="R446" s="24"/>
      <c r="S446" s="26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447" spans="2:19">
      <c r="B447" s="24" t="s">
        <v>817</v>
      </c>
      <c r="C447" s="34" t="s">
        <v>1289</v>
      </c>
      <c r="D447" s="24">
        <v>1</v>
      </c>
      <c r="E447" s="24">
        <v>0</v>
      </c>
      <c r="F447" s="24" t="s">
        <v>151</v>
      </c>
      <c r="G447" s="24" t="s">
        <v>1338</v>
      </c>
      <c r="H447" s="24"/>
      <c r="I447" s="24"/>
      <c r="J447" s="24"/>
      <c r="K447" s="24"/>
      <c r="L447" s="24" t="s">
        <v>25</v>
      </c>
      <c r="M447" s="24" t="s">
        <v>447</v>
      </c>
      <c r="N447" s="24"/>
      <c r="O447" s="26">
        <f>GET_OK_GROUPS_COUNT(tbStoryEnemy[[#This Row],[Camp]],tbStoryEnemy[[#This Row],[Difficulty]],tbStoryEnemy[[#This Row],[IsBoss]],tbStoryEnemy[[#This Row],[Hero1]:[Soldier3]])</f>
        <v>1</v>
      </c>
      <c r="P447" s="24">
        <v>1</v>
      </c>
      <c r="Q447" s="25" t="s">
        <v>912</v>
      </c>
      <c r="R447" s="24"/>
      <c r="S447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448" spans="2:19">
      <c r="B448" s="24" t="s">
        <v>817</v>
      </c>
      <c r="C448" s="34" t="s">
        <v>1289</v>
      </c>
      <c r="D448" s="24">
        <v>2</v>
      </c>
      <c r="E448" s="24">
        <v>0</v>
      </c>
      <c r="F448" s="24" t="s">
        <v>151</v>
      </c>
      <c r="G448" s="24" t="s">
        <v>1169</v>
      </c>
      <c r="H448" s="24"/>
      <c r="I448" s="24" t="s">
        <v>384</v>
      </c>
      <c r="J448" s="24"/>
      <c r="K448" s="24"/>
      <c r="L448" s="24" t="s">
        <v>25</v>
      </c>
      <c r="M448" s="24"/>
      <c r="N448" s="24"/>
      <c r="O448" s="26">
        <f>GET_OK_GROUPS_COUNT(tbStoryEnemy[[#This Row],[Camp]],tbStoryEnemy[[#This Row],[Difficulty]],tbStoryEnemy[[#This Row],[IsBoss]],tbStoryEnemy[[#This Row],[Hero1]:[Soldier3]])</f>
        <v>1</v>
      </c>
      <c r="P448" s="24">
        <v>1</v>
      </c>
      <c r="Q448" s="25" t="s">
        <v>912</v>
      </c>
      <c r="R448" s="24"/>
      <c r="S448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449" spans="2:19">
      <c r="B449" s="24" t="s">
        <v>818</v>
      </c>
      <c r="C449" s="34" t="s">
        <v>1289</v>
      </c>
      <c r="D449" s="24">
        <v>1</v>
      </c>
      <c r="E449" s="24">
        <v>0</v>
      </c>
      <c r="F449" s="24" t="s">
        <v>151</v>
      </c>
      <c r="G449" s="24" t="s">
        <v>1169</v>
      </c>
      <c r="H449" s="24"/>
      <c r="I449" s="24"/>
      <c r="J449" s="24"/>
      <c r="K449" s="24"/>
      <c r="L449" s="24" t="s">
        <v>447</v>
      </c>
      <c r="M449" s="24"/>
      <c r="N449" s="24"/>
      <c r="O449" s="26">
        <f>GET_OK_GROUPS_COUNT(tbStoryEnemy[[#This Row],[Camp]],tbStoryEnemy[[#This Row],[Difficulty]],tbStoryEnemy[[#This Row],[IsBoss]],tbStoryEnemy[[#This Row],[Hero1]:[Soldier3]])</f>
        <v>9</v>
      </c>
      <c r="P449" s="24">
        <v>3</v>
      </c>
      <c r="Q449" s="25" t="s">
        <v>912</v>
      </c>
      <c r="R449" s="24"/>
      <c r="S449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450" spans="2:19">
      <c r="B450" s="24" t="s">
        <v>818</v>
      </c>
      <c r="C450" s="34" t="s">
        <v>1289</v>
      </c>
      <c r="D450" s="24">
        <v>2</v>
      </c>
      <c r="E450" s="24">
        <v>0</v>
      </c>
      <c r="F450" s="24" t="s">
        <v>151</v>
      </c>
      <c r="G450" s="24" t="s">
        <v>1169</v>
      </c>
      <c r="H450" s="24"/>
      <c r="I450" s="24" t="s">
        <v>383</v>
      </c>
      <c r="J450" s="24"/>
      <c r="K450" s="24"/>
      <c r="L450" s="24" t="s">
        <v>25</v>
      </c>
      <c r="M450" s="24"/>
      <c r="N450" s="24"/>
      <c r="O450" s="26">
        <f>GET_OK_GROUPS_COUNT(tbStoryEnemy[[#This Row],[Camp]],tbStoryEnemy[[#This Row],[Difficulty]],tbStoryEnemy[[#This Row],[IsBoss]],tbStoryEnemy[[#This Row],[Hero1]:[Soldier3]])</f>
        <v>1</v>
      </c>
      <c r="P450" s="24">
        <v>1</v>
      </c>
      <c r="Q450" s="25" t="s">
        <v>912</v>
      </c>
      <c r="R450" s="24"/>
      <c r="S450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451" spans="2:19">
      <c r="B451" s="24" t="s">
        <v>819</v>
      </c>
      <c r="C451" s="34" t="s">
        <v>1289</v>
      </c>
      <c r="D451" s="24">
        <v>1</v>
      </c>
      <c r="E451" s="24">
        <v>0</v>
      </c>
      <c r="F451" s="24" t="s">
        <v>151</v>
      </c>
      <c r="G451" s="24" t="s">
        <v>1169</v>
      </c>
      <c r="H451" s="24"/>
      <c r="I451" s="24"/>
      <c r="J451" s="24"/>
      <c r="K451" s="24"/>
      <c r="L451" s="24" t="s">
        <v>25</v>
      </c>
      <c r="M451" s="24"/>
      <c r="N451" s="24"/>
      <c r="O451" s="26">
        <f>GET_OK_GROUPS_COUNT(tbStoryEnemy[[#This Row],[Camp]],tbStoryEnemy[[#This Row],[Difficulty]],tbStoryEnemy[[#This Row],[IsBoss]],tbStoryEnemy[[#This Row],[Hero1]:[Soldier3]])</f>
        <v>14</v>
      </c>
      <c r="P451" s="24">
        <v>1</v>
      </c>
      <c r="Q451" s="25" t="s">
        <v>912</v>
      </c>
      <c r="R451" s="24"/>
      <c r="S451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452" spans="2:19">
      <c r="B452" s="24" t="s">
        <v>819</v>
      </c>
      <c r="C452" s="34" t="s">
        <v>1289</v>
      </c>
      <c r="D452" s="24">
        <v>2</v>
      </c>
      <c r="E452" s="24">
        <v>0</v>
      </c>
      <c r="F452" s="24" t="s">
        <v>151</v>
      </c>
      <c r="G452" s="24" t="s">
        <v>1126</v>
      </c>
      <c r="H452" s="24" t="b">
        <v>1</v>
      </c>
      <c r="I452" s="24" t="s">
        <v>1190</v>
      </c>
      <c r="J452" s="24" t="s">
        <v>381</v>
      </c>
      <c r="K452" s="24"/>
      <c r="L452" s="24"/>
      <c r="M452" s="24"/>
      <c r="N452" s="24"/>
      <c r="O452" s="26">
        <f>GET_OK_GROUPS_COUNT(tbStoryEnemy[[#This Row],[Camp]],tbStoryEnemy[[#This Row],[Difficulty]],tbStoryEnemy[[#This Row],[IsBoss]],tbStoryEnemy[[#This Row],[Hero1]:[Soldier3]])</f>
        <v>1</v>
      </c>
      <c r="P452" s="24">
        <v>1</v>
      </c>
      <c r="Q452" s="25" t="s">
        <v>1190</v>
      </c>
      <c r="R452" s="24"/>
      <c r="S452" s="26" t="str">
        <f>GET_OK_GROUP(tbStoryEnemy[[#This Row],[Camp]],tbStoryEnemy[[#This Row],[Difficulty]],tbStoryEnemy[[#This Row],[IsBoss]],tbStoryEnemy[[#This Row],[Hero1]:[Soldier3]],tbStoryEnemy[[#This Row],[GroupID]])</f>
        <v>三国-超难-[B]强英+法英</v>
      </c>
    </row>
    <row r="453" spans="2:19">
      <c r="B453" s="24" t="s">
        <v>820</v>
      </c>
      <c r="C453" s="34" t="s">
        <v>1289</v>
      </c>
      <c r="D453" s="24">
        <v>1</v>
      </c>
      <c r="E453" s="24">
        <v>0</v>
      </c>
      <c r="F453" s="24" t="s">
        <v>151</v>
      </c>
      <c r="G453" s="24" t="s">
        <v>1338</v>
      </c>
      <c r="H453" s="24"/>
      <c r="I453" s="24"/>
      <c r="J453" s="24"/>
      <c r="K453" s="24"/>
      <c r="L453" s="24" t="s">
        <v>49</v>
      </c>
      <c r="M453" s="24"/>
      <c r="N453" s="24"/>
      <c r="O453" s="26">
        <f>GET_OK_GROUPS_COUNT(tbStoryEnemy[[#This Row],[Camp]],tbStoryEnemy[[#This Row],[Difficulty]],tbStoryEnemy[[#This Row],[IsBoss]],tbStoryEnemy[[#This Row],[Hero1]:[Soldier3]])</f>
        <v>1</v>
      </c>
      <c r="P453" s="24">
        <v>1</v>
      </c>
      <c r="Q453" s="25" t="s">
        <v>912</v>
      </c>
      <c r="R453" s="24"/>
      <c r="S453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454" spans="2:19">
      <c r="B454" s="24" t="s">
        <v>820</v>
      </c>
      <c r="C454" s="34" t="s">
        <v>1289</v>
      </c>
      <c r="D454" s="24">
        <v>2</v>
      </c>
      <c r="E454" s="24">
        <v>0</v>
      </c>
      <c r="F454" s="24" t="s">
        <v>151</v>
      </c>
      <c r="G454" s="24" t="s">
        <v>1169</v>
      </c>
      <c r="H454" s="24"/>
      <c r="I454" s="24" t="s">
        <v>383</v>
      </c>
      <c r="J454" s="24"/>
      <c r="K454" s="24"/>
      <c r="L454" s="24" t="s">
        <v>49</v>
      </c>
      <c r="M454" s="24"/>
      <c r="N454" s="24"/>
      <c r="O454" s="26">
        <f>GET_OK_GROUPS_COUNT(tbStoryEnemy[[#This Row],[Camp]],tbStoryEnemy[[#This Row],[Difficulty]],tbStoryEnemy[[#This Row],[IsBoss]],tbStoryEnemy[[#This Row],[Hero1]:[Soldier3]])</f>
        <v>1</v>
      </c>
      <c r="P454" s="24">
        <v>1</v>
      </c>
      <c r="Q454" s="25" t="s">
        <v>912</v>
      </c>
      <c r="R454" s="24"/>
      <c r="S454" s="26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455" spans="2:19">
      <c r="B455" s="24" t="s">
        <v>821</v>
      </c>
      <c r="C455" s="34" t="s">
        <v>1289</v>
      </c>
      <c r="D455" s="24">
        <v>1</v>
      </c>
      <c r="E455" s="24">
        <v>0</v>
      </c>
      <c r="F455" s="24" t="s">
        <v>151</v>
      </c>
      <c r="G455" s="24" t="s">
        <v>1338</v>
      </c>
      <c r="H455" s="24"/>
      <c r="I455" s="24"/>
      <c r="J455" s="24"/>
      <c r="K455" s="24"/>
      <c r="L455" s="24" t="s">
        <v>34</v>
      </c>
      <c r="M455" s="24" t="s">
        <v>447</v>
      </c>
      <c r="N455" s="24"/>
      <c r="O455" s="26">
        <f>GET_OK_GROUPS_COUNT(tbStoryEnemy[[#This Row],[Camp]],tbStoryEnemy[[#This Row],[Difficulty]],tbStoryEnemy[[#This Row],[IsBoss]],tbStoryEnemy[[#This Row],[Hero1]:[Soldier3]])</f>
        <v>1</v>
      </c>
      <c r="P455" s="24">
        <v>1</v>
      </c>
      <c r="Q455" s="25" t="s">
        <v>912</v>
      </c>
      <c r="R455" s="24"/>
      <c r="S455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56" spans="2:19">
      <c r="B456" s="24" t="s">
        <v>821</v>
      </c>
      <c r="C456" s="34" t="s">
        <v>1289</v>
      </c>
      <c r="D456" s="24">
        <v>2</v>
      </c>
      <c r="E456" s="24">
        <v>0</v>
      </c>
      <c r="F456" s="24" t="s">
        <v>151</v>
      </c>
      <c r="G456" s="24" t="s">
        <v>1169</v>
      </c>
      <c r="H456" s="24"/>
      <c r="I456" s="24" t="s">
        <v>383</v>
      </c>
      <c r="J456" s="24"/>
      <c r="K456" s="24"/>
      <c r="L456" s="24" t="s">
        <v>34</v>
      </c>
      <c r="M456" s="24"/>
      <c r="N456" s="24"/>
      <c r="O456" s="26">
        <f>GET_OK_GROUPS_COUNT(tbStoryEnemy[[#This Row],[Camp]],tbStoryEnemy[[#This Row],[Difficulty]],tbStoryEnemy[[#This Row],[IsBoss]],tbStoryEnemy[[#This Row],[Hero1]:[Soldier3]])</f>
        <v>1</v>
      </c>
      <c r="P456" s="24">
        <v>1</v>
      </c>
      <c r="Q456" s="25" t="s">
        <v>912</v>
      </c>
      <c r="R456" s="24"/>
      <c r="S456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457" spans="2:19">
      <c r="B457" s="24" t="s">
        <v>822</v>
      </c>
      <c r="C457" s="34" t="s">
        <v>1289</v>
      </c>
      <c r="D457" s="24">
        <v>1</v>
      </c>
      <c r="E457" s="24">
        <v>0</v>
      </c>
      <c r="F457" s="24" t="s">
        <v>151</v>
      </c>
      <c r="G457" s="24" t="s">
        <v>1169</v>
      </c>
      <c r="H457" s="24"/>
      <c r="I457" s="24"/>
      <c r="J457" s="24"/>
      <c r="K457" s="24"/>
      <c r="L457" s="24" t="s">
        <v>25</v>
      </c>
      <c r="M457" s="24" t="s">
        <v>26</v>
      </c>
      <c r="N457" s="24"/>
      <c r="O457" s="26">
        <f>GET_OK_GROUPS_COUNT(tbStoryEnemy[[#This Row],[Camp]],tbStoryEnemy[[#This Row],[Difficulty]],tbStoryEnemy[[#This Row],[IsBoss]],tbStoryEnemy[[#This Row],[Hero1]:[Soldier3]])</f>
        <v>5</v>
      </c>
      <c r="P457" s="24">
        <v>1</v>
      </c>
      <c r="Q457" s="25" t="s">
        <v>912</v>
      </c>
      <c r="R457" s="24"/>
      <c r="S457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458" spans="2:19">
      <c r="B458" s="24" t="s">
        <v>822</v>
      </c>
      <c r="C458" s="34" t="s">
        <v>1289</v>
      </c>
      <c r="D458" s="24">
        <v>2</v>
      </c>
      <c r="E458" s="24">
        <v>0</v>
      </c>
      <c r="F458" s="24" t="s">
        <v>151</v>
      </c>
      <c r="G458" s="24" t="s">
        <v>1169</v>
      </c>
      <c r="H458" s="24" t="b">
        <v>1</v>
      </c>
      <c r="I458" s="24" t="s">
        <v>318</v>
      </c>
      <c r="J458" s="24" t="s">
        <v>381</v>
      </c>
      <c r="K458" s="24"/>
      <c r="L458" s="24"/>
      <c r="M458" s="24"/>
      <c r="N458" s="24"/>
      <c r="O458" s="26">
        <f>GET_OK_GROUPS_COUNT(tbStoryEnemy[[#This Row],[Camp]],tbStoryEnemy[[#This Row],[Difficulty]],tbStoryEnemy[[#This Row],[IsBoss]],tbStoryEnemy[[#This Row],[Hero1]:[Soldier3]])</f>
        <v>1</v>
      </c>
      <c r="P458" s="24">
        <v>1</v>
      </c>
      <c r="Q458" s="25" t="s">
        <v>318</v>
      </c>
      <c r="R458" s="24"/>
      <c r="S458" s="26" t="str">
        <f>GET_OK_GROUP(tbStoryEnemy[[#This Row],[Camp]],tbStoryEnemy[[#This Row],[Difficulty]],tbStoryEnemy[[#This Row],[IsBoss]],tbStoryEnemy[[#This Row],[Hero1]:[Soldier3]],tbStoryEnemy[[#This Row],[GroupID]])</f>
        <v>三国-困难-[B]强英+法英</v>
      </c>
    </row>
    <row r="459" spans="2:19">
      <c r="B459" s="24" t="s">
        <v>823</v>
      </c>
      <c r="C459" s="34" t="s">
        <v>1289</v>
      </c>
      <c r="D459" s="24">
        <v>1</v>
      </c>
      <c r="E459" s="24">
        <v>0</v>
      </c>
      <c r="F459" s="24" t="s">
        <v>151</v>
      </c>
      <c r="G459" s="24" t="s">
        <v>1338</v>
      </c>
      <c r="H459" s="24"/>
      <c r="I459" s="24"/>
      <c r="J459" s="24"/>
      <c r="K459" s="24"/>
      <c r="L459" s="24" t="s">
        <v>34</v>
      </c>
      <c r="M459" s="24"/>
      <c r="N459" s="24"/>
      <c r="O459" s="26">
        <f>GET_OK_GROUPS_COUNT(tbStoryEnemy[[#This Row],[Camp]],tbStoryEnemy[[#This Row],[Difficulty]],tbStoryEnemy[[#This Row],[IsBoss]],tbStoryEnemy[[#This Row],[Hero1]:[Soldier3]])</f>
        <v>5</v>
      </c>
      <c r="P459" s="24">
        <v>1</v>
      </c>
      <c r="Q459" s="25" t="s">
        <v>912</v>
      </c>
      <c r="R459" s="24"/>
      <c r="S459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460" spans="2:19">
      <c r="B460" s="24" t="s">
        <v>823</v>
      </c>
      <c r="C460" s="34" t="s">
        <v>1289</v>
      </c>
      <c r="D460" s="24">
        <v>2</v>
      </c>
      <c r="E460" s="24">
        <v>0</v>
      </c>
      <c r="F460" s="24" t="s">
        <v>151</v>
      </c>
      <c r="G460" s="24" t="s">
        <v>1169</v>
      </c>
      <c r="H460" s="24"/>
      <c r="I460" s="24" t="s">
        <v>384</v>
      </c>
      <c r="J460" s="24"/>
      <c r="K460" s="24"/>
      <c r="L460" s="24" t="s">
        <v>25</v>
      </c>
      <c r="M460" s="24"/>
      <c r="N460" s="24"/>
      <c r="O460" s="26">
        <f>GET_OK_GROUPS_COUNT(tbStoryEnemy[[#This Row],[Camp]],tbStoryEnemy[[#This Row],[Difficulty]],tbStoryEnemy[[#This Row],[IsBoss]],tbStoryEnemy[[#This Row],[Hero1]:[Soldier3]])</f>
        <v>1</v>
      </c>
      <c r="P460" s="24">
        <v>1</v>
      </c>
      <c r="Q460" s="25" t="s">
        <v>912</v>
      </c>
      <c r="R460" s="24"/>
      <c r="S460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461" spans="2:19">
      <c r="B461" s="24" t="s">
        <v>824</v>
      </c>
      <c r="C461" s="34" t="s">
        <v>1289</v>
      </c>
      <c r="D461" s="24">
        <v>1</v>
      </c>
      <c r="E461" s="24">
        <v>0</v>
      </c>
      <c r="F461" s="24" t="s">
        <v>151</v>
      </c>
      <c r="G461" s="24" t="s">
        <v>1169</v>
      </c>
      <c r="H461" s="24"/>
      <c r="I461" s="24"/>
      <c r="J461" s="24"/>
      <c r="K461" s="24"/>
      <c r="L461" s="24" t="s">
        <v>34</v>
      </c>
      <c r="M461" s="24" t="s">
        <v>447</v>
      </c>
      <c r="N461" s="24"/>
      <c r="O461" s="26">
        <f>GET_OK_GROUPS_COUNT(tbStoryEnemy[[#This Row],[Camp]],tbStoryEnemy[[#This Row],[Difficulty]],tbStoryEnemy[[#This Row],[IsBoss]],tbStoryEnemy[[#This Row],[Hero1]:[Soldier3]])</f>
        <v>5</v>
      </c>
      <c r="P461" s="24">
        <v>1</v>
      </c>
      <c r="Q461" s="25" t="s">
        <v>912</v>
      </c>
      <c r="R461" s="24"/>
      <c r="S461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462" spans="2:19">
      <c r="B462" s="24" t="s">
        <v>824</v>
      </c>
      <c r="C462" s="34" t="s">
        <v>1289</v>
      </c>
      <c r="D462" s="24">
        <v>2</v>
      </c>
      <c r="E462" s="24">
        <v>0</v>
      </c>
      <c r="F462" s="24" t="s">
        <v>151</v>
      </c>
      <c r="G462" s="24" t="s">
        <v>1169</v>
      </c>
      <c r="H462" s="24"/>
      <c r="I462" s="24" t="s">
        <v>381</v>
      </c>
      <c r="J462" s="24"/>
      <c r="K462" s="24"/>
      <c r="L462" s="24" t="s">
        <v>34</v>
      </c>
      <c r="M462" s="24"/>
      <c r="N462" s="24"/>
      <c r="O462" s="26">
        <f>GET_OK_GROUPS_COUNT(tbStoryEnemy[[#This Row],[Camp]],tbStoryEnemy[[#This Row],[Difficulty]],tbStoryEnemy[[#This Row],[IsBoss]],tbStoryEnemy[[#This Row],[Hero1]:[Soldier3]])</f>
        <v>1</v>
      </c>
      <c r="P462" s="24">
        <v>1</v>
      </c>
      <c r="Q462" s="25" t="s">
        <v>912</v>
      </c>
      <c r="R462" s="24"/>
      <c r="S462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463" spans="2:19">
      <c r="B463" s="24" t="s">
        <v>825</v>
      </c>
      <c r="C463" s="34" t="s">
        <v>1289</v>
      </c>
      <c r="D463" s="24">
        <v>1</v>
      </c>
      <c r="E463" s="24">
        <v>0</v>
      </c>
      <c r="F463" s="24" t="s">
        <v>151</v>
      </c>
      <c r="G463" s="24" t="s">
        <v>1169</v>
      </c>
      <c r="H463" s="24"/>
      <c r="I463" s="24"/>
      <c r="J463" s="24"/>
      <c r="K463" s="24"/>
      <c r="L463" s="24" t="s">
        <v>34</v>
      </c>
      <c r="M463" s="24" t="s">
        <v>447</v>
      </c>
      <c r="N463" s="24"/>
      <c r="O463" s="26">
        <f>GET_OK_GROUPS_COUNT(tbStoryEnemy[[#This Row],[Camp]],tbStoryEnemy[[#This Row],[Difficulty]],tbStoryEnemy[[#This Row],[IsBoss]],tbStoryEnemy[[#This Row],[Hero1]:[Soldier3]])</f>
        <v>5</v>
      </c>
      <c r="P463" s="24">
        <v>1</v>
      </c>
      <c r="Q463" s="25" t="s">
        <v>912</v>
      </c>
      <c r="R463" s="24"/>
      <c r="S463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464" spans="2:19">
      <c r="B464" s="24" t="s">
        <v>825</v>
      </c>
      <c r="C464" s="34" t="s">
        <v>1289</v>
      </c>
      <c r="D464" s="24">
        <v>2</v>
      </c>
      <c r="E464" s="24">
        <v>0</v>
      </c>
      <c r="F464" s="24" t="s">
        <v>151</v>
      </c>
      <c r="G464" s="24" t="s">
        <v>1126</v>
      </c>
      <c r="H464" s="24" t="b">
        <v>1</v>
      </c>
      <c r="I464" s="24" t="s">
        <v>398</v>
      </c>
      <c r="J464" s="24" t="s">
        <v>382</v>
      </c>
      <c r="K464" s="24"/>
      <c r="L464" s="24"/>
      <c r="M464" s="24"/>
      <c r="N464" s="24"/>
      <c r="O464" s="26">
        <f>GET_OK_GROUPS_COUNT(tbStoryEnemy[[#This Row],[Camp]],tbStoryEnemy[[#This Row],[Difficulty]],tbStoryEnemy[[#This Row],[IsBoss]],tbStoryEnemy[[#This Row],[Hero1]:[Soldier3]])</f>
        <v>1</v>
      </c>
      <c r="P464" s="24">
        <v>1</v>
      </c>
      <c r="Q464" s="25" t="s">
        <v>398</v>
      </c>
      <c r="R464" s="24"/>
      <c r="S464" s="26" t="str">
        <f>GET_OK_GROUP(tbStoryEnemy[[#This Row],[Camp]],tbStoryEnemy[[#This Row],[Difficulty]],tbStoryEnemy[[#This Row],[IsBoss]],tbStoryEnemy[[#This Row],[Hero1]:[Soldier3]],tbStoryEnemy[[#This Row],[GroupID]])</f>
        <v>三国-超难-[B]铁英+炼英</v>
      </c>
    </row>
    <row r="465" spans="2:19">
      <c r="B465" s="24" t="s">
        <v>1257</v>
      </c>
      <c r="C465" s="34" t="s">
        <v>1289</v>
      </c>
      <c r="D465" s="24">
        <v>1</v>
      </c>
      <c r="E465" s="24">
        <v>0</v>
      </c>
      <c r="F465" s="24" t="s">
        <v>151</v>
      </c>
      <c r="G465" s="24" t="s">
        <v>1338</v>
      </c>
      <c r="H465" s="24"/>
      <c r="I465" s="24"/>
      <c r="J465" s="24"/>
      <c r="K465" s="24"/>
      <c r="L465" s="24" t="s">
        <v>34</v>
      </c>
      <c r="M465" s="24"/>
      <c r="N465" s="24"/>
      <c r="O465" s="26">
        <f>GET_OK_GROUPS_COUNT(tbStoryEnemy[[#This Row],[Camp]],tbStoryEnemy[[#This Row],[Difficulty]],tbStoryEnemy[[#This Row],[IsBoss]],tbStoryEnemy[[#This Row],[Hero1]:[Soldier3]])</f>
        <v>5</v>
      </c>
      <c r="P465" s="24">
        <v>2</v>
      </c>
      <c r="Q465" s="25" t="s">
        <v>912</v>
      </c>
      <c r="R465" s="24"/>
      <c r="S465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66" spans="2:19">
      <c r="B466" s="24" t="s">
        <v>1257</v>
      </c>
      <c r="C466" s="34" t="s">
        <v>1289</v>
      </c>
      <c r="D466" s="24">
        <v>2</v>
      </c>
      <c r="E466" s="24">
        <v>0</v>
      </c>
      <c r="F466" s="24" t="s">
        <v>151</v>
      </c>
      <c r="G466" s="24" t="s">
        <v>1169</v>
      </c>
      <c r="H466" s="24"/>
      <c r="I466" s="24" t="s">
        <v>382</v>
      </c>
      <c r="J466" s="24"/>
      <c r="K466" s="24"/>
      <c r="L466" s="24"/>
      <c r="M466" s="24"/>
      <c r="N466" s="24"/>
      <c r="O466" s="26">
        <f>GET_OK_GROUPS_COUNT(tbStoryEnemy[[#This Row],[Camp]],tbStoryEnemy[[#This Row],[Difficulty]],tbStoryEnemy[[#This Row],[IsBoss]],tbStoryEnemy[[#This Row],[Hero1]:[Soldier3]])</f>
        <v>4</v>
      </c>
      <c r="P466" s="24">
        <v>2</v>
      </c>
      <c r="Q466" s="25" t="s">
        <v>912</v>
      </c>
      <c r="R466" s="24"/>
      <c r="S466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467" spans="2:19">
      <c r="B467" s="24" t="s">
        <v>1209</v>
      </c>
      <c r="C467" s="34" t="s">
        <v>1289</v>
      </c>
      <c r="D467" s="24">
        <v>1</v>
      </c>
      <c r="E467" s="24">
        <v>0</v>
      </c>
      <c r="F467" s="24" t="s">
        <v>151</v>
      </c>
      <c r="G467" s="24" t="s">
        <v>1169</v>
      </c>
      <c r="H467" s="24"/>
      <c r="I467" s="24"/>
      <c r="J467" s="24"/>
      <c r="K467" s="24"/>
      <c r="L467" s="24" t="s">
        <v>448</v>
      </c>
      <c r="M467" s="24"/>
      <c r="N467" s="24"/>
      <c r="O467" s="26">
        <f>GET_OK_GROUPS_COUNT(tbStoryEnemy[[#This Row],[Camp]],tbStoryEnemy[[#This Row],[Difficulty]],tbStoryEnemy[[#This Row],[IsBoss]],tbStoryEnemy[[#This Row],[Hero1]:[Soldier3]])</f>
        <v>10</v>
      </c>
      <c r="P467" s="24">
        <v>1</v>
      </c>
      <c r="Q467" s="25" t="s">
        <v>912</v>
      </c>
      <c r="R467" s="24"/>
      <c r="S467" s="26" t="str">
        <f>GET_OK_GROUP(tbStoryEnemy[[#This Row],[Camp]],tbStoryEnemy[[#This Row],[Difficulty]],tbStoryEnemy[[#This Row],[IsBoss]],tbStoryEnemy[[#This Row],[Hero1]:[Soldier3]],tbStoryEnemy[[#This Row],[GroupID]])</f>
        <v>三国-困难-刺兵</v>
      </c>
    </row>
    <row r="468" spans="2:19">
      <c r="B468" s="24" t="s">
        <v>1209</v>
      </c>
      <c r="C468" s="34" t="s">
        <v>1289</v>
      </c>
      <c r="D468" s="24">
        <v>2</v>
      </c>
      <c r="E468" s="24">
        <v>0</v>
      </c>
      <c r="F468" s="24" t="s">
        <v>151</v>
      </c>
      <c r="G468" s="24" t="s">
        <v>1169</v>
      </c>
      <c r="H468" s="24"/>
      <c r="I468" s="24" t="s">
        <v>382</v>
      </c>
      <c r="J468" s="24" t="s">
        <v>381</v>
      </c>
      <c r="K468" s="24"/>
      <c r="L468" s="24"/>
      <c r="M468" s="24"/>
      <c r="N468" s="24"/>
      <c r="O468" s="26">
        <f>GET_OK_GROUPS_COUNT(tbStoryEnemy[[#This Row],[Camp]],tbStoryEnemy[[#This Row],[Difficulty]],tbStoryEnemy[[#This Row],[IsBoss]],tbStoryEnemy[[#This Row],[Hero1]:[Soldier3]])</f>
        <v>1</v>
      </c>
      <c r="P468" s="24">
        <v>1</v>
      </c>
      <c r="Q468" s="25" t="s">
        <v>912</v>
      </c>
      <c r="R468" s="24"/>
      <c r="S468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469" spans="2:19">
      <c r="B469" s="24" t="s">
        <v>1210</v>
      </c>
      <c r="C469" s="34" t="s">
        <v>1289</v>
      </c>
      <c r="D469" s="24">
        <v>1</v>
      </c>
      <c r="E469" s="24">
        <v>0</v>
      </c>
      <c r="F469" s="24" t="s">
        <v>151</v>
      </c>
      <c r="G469" s="24" t="s">
        <v>1169</v>
      </c>
      <c r="H469" s="24"/>
      <c r="I469" s="24"/>
      <c r="J469" s="24"/>
      <c r="K469" s="24"/>
      <c r="L469" s="24" t="s">
        <v>34</v>
      </c>
      <c r="M469" s="24" t="s">
        <v>28</v>
      </c>
      <c r="N469" s="24"/>
      <c r="O469" s="26">
        <f>GET_OK_GROUPS_COUNT(tbStoryEnemy[[#This Row],[Camp]],tbStoryEnemy[[#This Row],[Difficulty]],tbStoryEnemy[[#This Row],[IsBoss]],tbStoryEnemy[[#This Row],[Hero1]:[Soldier3]])</f>
        <v>5</v>
      </c>
      <c r="P469" s="24">
        <v>1</v>
      </c>
      <c r="Q469" s="25" t="s">
        <v>912</v>
      </c>
      <c r="R469" s="24"/>
      <c r="S469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470" spans="2:19">
      <c r="B470" s="24" t="s">
        <v>1210</v>
      </c>
      <c r="C470" s="34" t="s">
        <v>1289</v>
      </c>
      <c r="D470" s="24">
        <v>2</v>
      </c>
      <c r="E470" s="24">
        <v>0</v>
      </c>
      <c r="F470" s="24" t="s">
        <v>151</v>
      </c>
      <c r="G470" s="24" t="s">
        <v>1126</v>
      </c>
      <c r="H470" s="24" t="b">
        <v>1</v>
      </c>
      <c r="I470" s="24" t="s">
        <v>361</v>
      </c>
      <c r="J470" s="24" t="s">
        <v>382</v>
      </c>
      <c r="K470" s="24" t="s">
        <v>384</v>
      </c>
      <c r="L470" s="24"/>
      <c r="M470" s="24"/>
      <c r="N470" s="24"/>
      <c r="O470" s="26">
        <f>GET_OK_GROUPS_COUNT(tbStoryEnemy[[#This Row],[Camp]],tbStoryEnemy[[#This Row],[Difficulty]],tbStoryEnemy[[#This Row],[IsBoss]],tbStoryEnemy[[#This Row],[Hero1]:[Soldier3]])</f>
        <v>1</v>
      </c>
      <c r="P470" s="24">
        <v>1</v>
      </c>
      <c r="Q470" s="25" t="s">
        <v>361</v>
      </c>
      <c r="R470" s="24"/>
      <c r="S470" s="26" t="str">
        <f>GET_OK_GROUP(tbStoryEnemy[[#This Row],[Camp]],tbStoryEnemy[[#This Row],[Difficulty]],tbStoryEnemy[[#This Row],[IsBoss]],tbStoryEnemy[[#This Row],[Hero1]:[Soldier3]],tbStoryEnemy[[#This Row],[GroupID]])</f>
        <v>三国-超难-[B]铁英+铁英+法英</v>
      </c>
    </row>
    <row r="471" spans="2:19">
      <c r="B471" s="24" t="s">
        <v>1211</v>
      </c>
      <c r="C471" s="34" t="s">
        <v>1289</v>
      </c>
      <c r="D471" s="24">
        <v>1</v>
      </c>
      <c r="E471" s="24">
        <v>0</v>
      </c>
      <c r="F471" s="24" t="s">
        <v>151</v>
      </c>
      <c r="G471" s="24" t="s">
        <v>1169</v>
      </c>
      <c r="H471" s="24"/>
      <c r="I471" s="24" t="s">
        <v>384</v>
      </c>
      <c r="J471" s="24"/>
      <c r="K471" s="24"/>
      <c r="L471" s="24" t="s">
        <v>34</v>
      </c>
      <c r="M471" s="24"/>
      <c r="N471" s="24"/>
      <c r="O471" s="26">
        <f>GET_OK_GROUPS_COUNT(tbStoryEnemy[[#This Row],[Camp]],tbStoryEnemy[[#This Row],[Difficulty]],tbStoryEnemy[[#This Row],[IsBoss]],tbStoryEnemy[[#This Row],[Hero1]:[Soldier3]])</f>
        <v>1</v>
      </c>
      <c r="P471" s="24">
        <v>1</v>
      </c>
      <c r="Q471" s="25" t="s">
        <v>912</v>
      </c>
      <c r="R471" s="24"/>
      <c r="S471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472" spans="2:19">
      <c r="B472" s="24" t="s">
        <v>1211</v>
      </c>
      <c r="C472" s="34" t="s">
        <v>1289</v>
      </c>
      <c r="D472" s="24">
        <v>2</v>
      </c>
      <c r="E472" s="24">
        <v>0</v>
      </c>
      <c r="F472" s="24" t="s">
        <v>151</v>
      </c>
      <c r="G472" s="24" t="s">
        <v>1169</v>
      </c>
      <c r="H472" s="24"/>
      <c r="I472" s="24" t="s">
        <v>383</v>
      </c>
      <c r="J472" s="24"/>
      <c r="K472" s="24"/>
      <c r="L472" s="24" t="s">
        <v>49</v>
      </c>
      <c r="M472" s="24"/>
      <c r="N472" s="24"/>
      <c r="O472" s="26">
        <f>GET_OK_GROUPS_COUNT(tbStoryEnemy[[#This Row],[Camp]],tbStoryEnemy[[#This Row],[Difficulty]],tbStoryEnemy[[#This Row],[IsBoss]],tbStoryEnemy[[#This Row],[Hero1]:[Soldier3]])</f>
        <v>1</v>
      </c>
      <c r="P472" s="24">
        <v>1</v>
      </c>
      <c r="Q472" s="25" t="s">
        <v>912</v>
      </c>
      <c r="R472" s="24"/>
      <c r="S472" s="26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473" spans="2:19">
      <c r="B473" s="24" t="s">
        <v>1212</v>
      </c>
      <c r="C473" s="34" t="s">
        <v>1289</v>
      </c>
      <c r="D473" s="24">
        <v>1</v>
      </c>
      <c r="E473" s="24">
        <v>0</v>
      </c>
      <c r="F473" s="24" t="s">
        <v>151</v>
      </c>
      <c r="G473" s="24" t="s">
        <v>1169</v>
      </c>
      <c r="H473" s="24"/>
      <c r="I473" s="24"/>
      <c r="J473" s="24"/>
      <c r="K473" s="24"/>
      <c r="L473" s="24" t="s">
        <v>34</v>
      </c>
      <c r="M473" s="24" t="s">
        <v>28</v>
      </c>
      <c r="N473" s="24"/>
      <c r="O473" s="26">
        <f>GET_OK_GROUPS_COUNT(tbStoryEnemy[[#This Row],[Camp]],tbStoryEnemy[[#This Row],[Difficulty]],tbStoryEnemy[[#This Row],[IsBoss]],tbStoryEnemy[[#This Row],[Hero1]:[Soldier3]])</f>
        <v>5</v>
      </c>
      <c r="P473" s="24">
        <v>1</v>
      </c>
      <c r="Q473" s="25" t="s">
        <v>912</v>
      </c>
      <c r="R473" s="24"/>
      <c r="S473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474" spans="2:19">
      <c r="B474" s="24" t="s">
        <v>1212</v>
      </c>
      <c r="C474" s="34" t="s">
        <v>1289</v>
      </c>
      <c r="D474" s="24">
        <v>2</v>
      </c>
      <c r="E474" s="24">
        <v>0</v>
      </c>
      <c r="F474" s="24" t="s">
        <v>151</v>
      </c>
      <c r="G474" s="24" t="s">
        <v>1126</v>
      </c>
      <c r="H474" s="24"/>
      <c r="I474" s="24" t="s">
        <v>380</v>
      </c>
      <c r="J474" s="24" t="s">
        <v>381</v>
      </c>
      <c r="K474" s="24" t="s">
        <v>384</v>
      </c>
      <c r="L474" s="24"/>
      <c r="M474" s="24"/>
      <c r="N474" s="24"/>
      <c r="O474" s="26">
        <f>GET_OK_GROUPS_COUNT(tbStoryEnemy[[#This Row],[Camp]],tbStoryEnemy[[#This Row],[Difficulty]],tbStoryEnemy[[#This Row],[IsBoss]],tbStoryEnemy[[#This Row],[Hero1]:[Soldier3]])</f>
        <v>1</v>
      </c>
      <c r="P474" s="24">
        <v>1</v>
      </c>
      <c r="Q474" s="25" t="s">
        <v>912</v>
      </c>
      <c r="R474" s="24"/>
      <c r="S474" s="26" t="str">
        <f>GET_OK_GROUP(tbStoryEnemy[[#This Row],[Camp]],tbStoryEnemy[[#This Row],[Difficulty]],tbStoryEnemy[[#This Row],[IsBoss]],tbStoryEnemy[[#This Row],[Hero1]:[Soldier3]],tbStoryEnemy[[#This Row],[GroupID]])</f>
        <v>三国-超难-盾英+强英+法英</v>
      </c>
    </row>
    <row r="475" spans="2:19">
      <c r="B475" s="24" t="s">
        <v>1213</v>
      </c>
      <c r="C475" s="34" t="s">
        <v>1289</v>
      </c>
      <c r="D475" s="24">
        <v>1</v>
      </c>
      <c r="E475" s="24">
        <v>0</v>
      </c>
      <c r="F475" s="24" t="s">
        <v>151</v>
      </c>
      <c r="G475" s="24" t="s">
        <v>1126</v>
      </c>
      <c r="H475" s="24"/>
      <c r="I475" s="34" t="s">
        <v>1177</v>
      </c>
      <c r="J475" s="34" t="s">
        <v>1166</v>
      </c>
      <c r="K475" s="24"/>
      <c r="L475" s="24"/>
      <c r="M475" s="24"/>
      <c r="N475" s="24"/>
      <c r="O475" s="26">
        <f>GET_OK_GROUPS_COUNT(tbStoryEnemy[[#This Row],[Camp]],tbStoryEnemy[[#This Row],[Difficulty]],tbStoryEnemy[[#This Row],[IsBoss]],tbStoryEnemy[[#This Row],[Hero1]:[Soldier3]])</f>
        <v>1</v>
      </c>
      <c r="P475" s="24">
        <v>1</v>
      </c>
      <c r="Q475" s="25" t="s">
        <v>912</v>
      </c>
      <c r="R475" s="24"/>
      <c r="S475" s="26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476" spans="2:19">
      <c r="B476" s="24" t="s">
        <v>1213</v>
      </c>
      <c r="C476" s="34" t="s">
        <v>1289</v>
      </c>
      <c r="D476" s="24">
        <v>2</v>
      </c>
      <c r="E476" s="24">
        <v>0</v>
      </c>
      <c r="F476" s="24" t="s">
        <v>151</v>
      </c>
      <c r="G476" s="24" t="s">
        <v>1126</v>
      </c>
      <c r="H476" s="24" t="b">
        <v>1</v>
      </c>
      <c r="I476" s="24" t="s">
        <v>1191</v>
      </c>
      <c r="J476" s="24" t="s">
        <v>382</v>
      </c>
      <c r="K476" s="24"/>
      <c r="L476" s="24"/>
      <c r="M476" s="24"/>
      <c r="N476" s="24"/>
      <c r="O476" s="26">
        <f>GET_OK_GROUPS_COUNT(tbStoryEnemy[[#This Row],[Camp]],tbStoryEnemy[[#This Row],[Difficulty]],tbStoryEnemy[[#This Row],[IsBoss]],tbStoryEnemy[[#This Row],[Hero1]:[Soldier3]])</f>
        <v>1</v>
      </c>
      <c r="P476" s="24">
        <v>1</v>
      </c>
      <c r="Q476" s="25" t="s">
        <v>1191</v>
      </c>
      <c r="R476" s="24"/>
      <c r="S476" s="26" t="str">
        <f>GET_OK_GROUP(tbStoryEnemy[[#This Row],[Camp]],tbStoryEnemy[[#This Row],[Difficulty]],tbStoryEnemy[[#This Row],[IsBoss]],tbStoryEnemy[[#This Row],[Hero1]:[Soldier3]],tbStoryEnemy[[#This Row],[GroupID]])</f>
        <v>三国-超难-[B]铁英+炼英</v>
      </c>
    </row>
    <row r="477" spans="2:19">
      <c r="B477" s="24" t="s">
        <v>826</v>
      </c>
      <c r="C477" s="34" t="s">
        <v>1289</v>
      </c>
      <c r="D477" s="24">
        <v>1</v>
      </c>
      <c r="E477" s="24">
        <v>0</v>
      </c>
      <c r="F477" s="24" t="s">
        <v>151</v>
      </c>
      <c r="G477" s="24" t="s">
        <v>1338</v>
      </c>
      <c r="H477" s="24"/>
      <c r="I477" s="24"/>
      <c r="J477" s="24"/>
      <c r="K477" s="24"/>
      <c r="L477" s="24" t="s">
        <v>28</v>
      </c>
      <c r="M477" s="24"/>
      <c r="N477" s="24"/>
      <c r="O477" s="26">
        <f>GET_OK_GROUPS_COUNT(tbStoryEnemy[[#This Row],[Camp]],tbStoryEnemy[[#This Row],[Difficulty]],tbStoryEnemy[[#This Row],[IsBoss]],tbStoryEnemy[[#This Row],[Hero1]:[Soldier3]])</f>
        <v>3</v>
      </c>
      <c r="P477" s="24">
        <v>2</v>
      </c>
      <c r="Q477" s="25" t="s">
        <v>912</v>
      </c>
      <c r="R477" s="24"/>
      <c r="S477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78" spans="2:19">
      <c r="B478" s="24" t="s">
        <v>826</v>
      </c>
      <c r="C478" s="34" t="s">
        <v>1289</v>
      </c>
      <c r="D478" s="24">
        <v>2</v>
      </c>
      <c r="E478" s="24">
        <v>0</v>
      </c>
      <c r="F478" s="24" t="s">
        <v>151</v>
      </c>
      <c r="G478" s="24" t="s">
        <v>1169</v>
      </c>
      <c r="H478" s="24"/>
      <c r="I478" s="24" t="s">
        <v>380</v>
      </c>
      <c r="J478" s="24"/>
      <c r="K478" s="24"/>
      <c r="L478" s="24" t="s">
        <v>28</v>
      </c>
      <c r="M478" s="24"/>
      <c r="N478" s="24"/>
      <c r="O478" s="26">
        <f>GET_OK_GROUPS_COUNT(tbStoryEnemy[[#This Row],[Camp]],tbStoryEnemy[[#This Row],[Difficulty]],tbStoryEnemy[[#This Row],[IsBoss]],tbStoryEnemy[[#This Row],[Hero1]:[Soldier3]])</f>
        <v>1</v>
      </c>
      <c r="P478" s="24">
        <v>1</v>
      </c>
      <c r="Q478" s="25" t="s">
        <v>912</v>
      </c>
      <c r="R478" s="24"/>
      <c r="S478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79" spans="2:19">
      <c r="B479" s="24" t="s">
        <v>827</v>
      </c>
      <c r="C479" s="34" t="s">
        <v>1289</v>
      </c>
      <c r="D479" s="24">
        <v>1</v>
      </c>
      <c r="E479" s="24">
        <v>0</v>
      </c>
      <c r="F479" s="24" t="s">
        <v>151</v>
      </c>
      <c r="G479" s="24" t="s">
        <v>1338</v>
      </c>
      <c r="H479" s="24"/>
      <c r="I479" s="24"/>
      <c r="J479" s="24"/>
      <c r="K479" s="24"/>
      <c r="L479" s="24" t="s">
        <v>34</v>
      </c>
      <c r="M479" s="24"/>
      <c r="N479" s="24"/>
      <c r="O479" s="26">
        <f>GET_OK_GROUPS_COUNT(tbStoryEnemy[[#This Row],[Camp]],tbStoryEnemy[[#This Row],[Difficulty]],tbStoryEnemy[[#This Row],[IsBoss]],tbStoryEnemy[[#This Row],[Hero1]:[Soldier3]])</f>
        <v>5</v>
      </c>
      <c r="P479" s="24">
        <v>2</v>
      </c>
      <c r="Q479" s="25" t="s">
        <v>912</v>
      </c>
      <c r="R479" s="24"/>
      <c r="S479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80" spans="2:19">
      <c r="B480" s="24" t="s">
        <v>827</v>
      </c>
      <c r="C480" s="34" t="s">
        <v>1289</v>
      </c>
      <c r="D480" s="24">
        <v>2</v>
      </c>
      <c r="E480" s="24">
        <v>0</v>
      </c>
      <c r="F480" s="24" t="s">
        <v>151</v>
      </c>
      <c r="G480" s="24" t="s">
        <v>1169</v>
      </c>
      <c r="H480" s="24"/>
      <c r="I480" s="24" t="s">
        <v>382</v>
      </c>
      <c r="J480" s="24" t="s">
        <v>384</v>
      </c>
      <c r="K480" s="24"/>
      <c r="L480" s="24"/>
      <c r="M480" s="24"/>
      <c r="N480" s="24"/>
      <c r="O480" s="26">
        <f>GET_OK_GROUPS_COUNT(tbStoryEnemy[[#This Row],[Camp]],tbStoryEnemy[[#This Row],[Difficulty]],tbStoryEnemy[[#This Row],[IsBoss]],tbStoryEnemy[[#This Row],[Hero1]:[Soldier3]])</f>
        <v>1</v>
      </c>
      <c r="P480" s="24">
        <v>1</v>
      </c>
      <c r="Q480" s="25" t="s">
        <v>912</v>
      </c>
      <c r="R480" s="24"/>
      <c r="S480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481" spans="2:19">
      <c r="B481" s="24" t="s">
        <v>828</v>
      </c>
      <c r="C481" s="34" t="s">
        <v>1289</v>
      </c>
      <c r="D481" s="24">
        <v>1</v>
      </c>
      <c r="E481" s="24">
        <v>0</v>
      </c>
      <c r="F481" s="24" t="s">
        <v>151</v>
      </c>
      <c r="G481" s="24" t="s">
        <v>1169</v>
      </c>
      <c r="H481" s="24"/>
      <c r="I481" s="24"/>
      <c r="J481" s="24"/>
      <c r="K481" s="24"/>
      <c r="L481" s="24" t="s">
        <v>25</v>
      </c>
      <c r="M481" s="24" t="s">
        <v>28</v>
      </c>
      <c r="N481" s="24"/>
      <c r="O481" s="26">
        <f>GET_OK_GROUPS_COUNT(tbStoryEnemy[[#This Row],[Camp]],tbStoryEnemy[[#This Row],[Difficulty]],tbStoryEnemy[[#This Row],[IsBoss]],tbStoryEnemy[[#This Row],[Hero1]:[Soldier3]])</f>
        <v>5</v>
      </c>
      <c r="P481" s="24">
        <v>1</v>
      </c>
      <c r="Q481" s="25" t="s">
        <v>912</v>
      </c>
      <c r="R481" s="24"/>
      <c r="S481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482" spans="2:19">
      <c r="B482" s="24" t="s">
        <v>828</v>
      </c>
      <c r="C482" s="34" t="s">
        <v>1289</v>
      </c>
      <c r="D482" s="24">
        <v>2</v>
      </c>
      <c r="E482" s="24">
        <v>0</v>
      </c>
      <c r="F482" s="24" t="s">
        <v>151</v>
      </c>
      <c r="G482" s="24" t="s">
        <v>1169</v>
      </c>
      <c r="H482" s="24" t="b">
        <v>1</v>
      </c>
      <c r="I482" s="24" t="s">
        <v>407</v>
      </c>
      <c r="J482" s="24"/>
      <c r="K482" s="24"/>
      <c r="L482" s="24"/>
      <c r="M482" s="24"/>
      <c r="N482" s="24"/>
      <c r="O482" s="26">
        <f>GET_OK_GROUPS_COUNT(tbStoryEnemy[[#This Row],[Camp]],tbStoryEnemy[[#This Row],[Difficulty]],tbStoryEnemy[[#This Row],[IsBoss]],tbStoryEnemy[[#This Row],[Hero1]:[Soldier3]])</f>
        <v>4</v>
      </c>
      <c r="P482" s="24">
        <v>4</v>
      </c>
      <c r="Q482" s="25" t="s">
        <v>407</v>
      </c>
      <c r="R482" s="24"/>
      <c r="S482" s="26" t="str">
        <f>GET_OK_GROUP(tbStoryEnemy[[#This Row],[Camp]],tbStoryEnemy[[#This Row],[Difficulty]],tbStoryEnemy[[#This Row],[IsBoss]],tbStoryEnemy[[#This Row],[Hero1]:[Soldier3]],tbStoryEnemy[[#This Row],[GroupID]])</f>
        <v>三国-困难-[B]盾英+刺兵</v>
      </c>
    </row>
    <row r="483" spans="2:19">
      <c r="B483" s="24" t="s">
        <v>829</v>
      </c>
      <c r="C483" s="34" t="s">
        <v>1289</v>
      </c>
      <c r="D483" s="24">
        <v>1</v>
      </c>
      <c r="E483" s="24">
        <v>0</v>
      </c>
      <c r="F483" s="24" t="s">
        <v>151</v>
      </c>
      <c r="G483" s="24" t="s">
        <v>1338</v>
      </c>
      <c r="H483" s="24"/>
      <c r="I483" s="24"/>
      <c r="J483" s="24"/>
      <c r="K483" s="24"/>
      <c r="L483" s="24" t="s">
        <v>25</v>
      </c>
      <c r="M483" s="24" t="s">
        <v>28</v>
      </c>
      <c r="N483" s="24"/>
      <c r="O483" s="26">
        <f>GET_OK_GROUPS_COUNT(tbStoryEnemy[[#This Row],[Camp]],tbStoryEnemy[[#This Row],[Difficulty]],tbStoryEnemy[[#This Row],[IsBoss]],tbStoryEnemy[[#This Row],[Hero1]:[Soldier3]])</f>
        <v>1</v>
      </c>
      <c r="P483" s="24">
        <v>1</v>
      </c>
      <c r="Q483" s="25" t="s">
        <v>912</v>
      </c>
      <c r="R483" s="24"/>
      <c r="S483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84" spans="2:19">
      <c r="B484" s="24" t="s">
        <v>829</v>
      </c>
      <c r="C484" s="34" t="s">
        <v>1289</v>
      </c>
      <c r="D484" s="24">
        <v>2</v>
      </c>
      <c r="E484" s="24">
        <v>0</v>
      </c>
      <c r="F484" s="24" t="s">
        <v>151</v>
      </c>
      <c r="G484" s="24" t="s">
        <v>1169</v>
      </c>
      <c r="H484" s="24"/>
      <c r="I484" s="24" t="s">
        <v>380</v>
      </c>
      <c r="J484" s="24" t="s">
        <v>383</v>
      </c>
      <c r="K484" s="24"/>
      <c r="L484" s="24"/>
      <c r="M484" s="24"/>
      <c r="N484" s="24"/>
      <c r="O484" s="26">
        <f>GET_OK_GROUPS_COUNT(tbStoryEnemy[[#This Row],[Camp]],tbStoryEnemy[[#This Row],[Difficulty]],tbStoryEnemy[[#This Row],[IsBoss]],tbStoryEnemy[[#This Row],[Hero1]:[Soldier3]])</f>
        <v>1</v>
      </c>
      <c r="P484" s="24">
        <v>1</v>
      </c>
      <c r="Q484" s="25" t="s">
        <v>912</v>
      </c>
      <c r="R484" s="24"/>
      <c r="S484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485" spans="2:19">
      <c r="B485" s="24" t="s">
        <v>830</v>
      </c>
      <c r="C485" s="34" t="s">
        <v>1289</v>
      </c>
      <c r="D485" s="24">
        <v>1</v>
      </c>
      <c r="E485" s="24">
        <v>0</v>
      </c>
      <c r="F485" s="24" t="s">
        <v>151</v>
      </c>
      <c r="G485" s="24" t="s">
        <v>1169</v>
      </c>
      <c r="H485" s="24"/>
      <c r="I485" s="24"/>
      <c r="J485" s="24"/>
      <c r="K485" s="24"/>
      <c r="L485" s="24" t="s">
        <v>34</v>
      </c>
      <c r="M485" s="24" t="s">
        <v>28</v>
      </c>
      <c r="N485" s="24"/>
      <c r="O485" s="26">
        <f>GET_OK_GROUPS_COUNT(tbStoryEnemy[[#This Row],[Camp]],tbStoryEnemy[[#This Row],[Difficulty]],tbStoryEnemy[[#This Row],[IsBoss]],tbStoryEnemy[[#This Row],[Hero1]:[Soldier3]])</f>
        <v>5</v>
      </c>
      <c r="P485" s="24">
        <v>1</v>
      </c>
      <c r="Q485" s="25" t="s">
        <v>912</v>
      </c>
      <c r="R485" s="24"/>
      <c r="S485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486" spans="2:19">
      <c r="B486" s="24" t="s">
        <v>830</v>
      </c>
      <c r="C486" s="34" t="s">
        <v>1289</v>
      </c>
      <c r="D486" s="24">
        <v>2</v>
      </c>
      <c r="E486" s="24">
        <v>0</v>
      </c>
      <c r="F486" s="24" t="s">
        <v>151</v>
      </c>
      <c r="G486" s="24" t="s">
        <v>1169</v>
      </c>
      <c r="H486" s="24"/>
      <c r="I486" s="24" t="s">
        <v>382</v>
      </c>
      <c r="J486" s="24" t="s">
        <v>383</v>
      </c>
      <c r="K486" s="24"/>
      <c r="L486" s="24"/>
      <c r="M486" s="24"/>
      <c r="N486" s="24"/>
      <c r="O486" s="26">
        <f>GET_OK_GROUPS_COUNT(tbStoryEnemy[[#This Row],[Camp]],tbStoryEnemy[[#This Row],[Difficulty]],tbStoryEnemy[[#This Row],[IsBoss]],tbStoryEnemy[[#This Row],[Hero1]:[Soldier3]])</f>
        <v>1</v>
      </c>
      <c r="P486" s="24">
        <v>1</v>
      </c>
      <c r="Q486" s="25" t="s">
        <v>912</v>
      </c>
      <c r="R486" s="24"/>
      <c r="S486" s="26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487" spans="2:19">
      <c r="B487" s="24" t="s">
        <v>831</v>
      </c>
      <c r="C487" s="34" t="s">
        <v>1289</v>
      </c>
      <c r="D487" s="24">
        <v>1</v>
      </c>
      <c r="E487" s="24">
        <v>0</v>
      </c>
      <c r="F487" s="24" t="s">
        <v>151</v>
      </c>
      <c r="G487" s="24" t="s">
        <v>1169</v>
      </c>
      <c r="H487" s="24"/>
      <c r="I487" s="24"/>
      <c r="J487" s="24"/>
      <c r="K487" s="24"/>
      <c r="L487" s="24" t="s">
        <v>34</v>
      </c>
      <c r="M487" s="24"/>
      <c r="N487" s="24"/>
      <c r="O487" s="26">
        <f>GET_OK_GROUPS_COUNT(tbStoryEnemy[[#This Row],[Camp]],tbStoryEnemy[[#This Row],[Difficulty]],tbStoryEnemy[[#This Row],[IsBoss]],tbStoryEnemy[[#This Row],[Hero1]:[Soldier3]])</f>
        <v>14</v>
      </c>
      <c r="P487" s="24">
        <v>4</v>
      </c>
      <c r="Q487" s="25" t="s">
        <v>912</v>
      </c>
      <c r="R487" s="24"/>
      <c r="S487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488" spans="2:19">
      <c r="B488" s="24" t="s">
        <v>831</v>
      </c>
      <c r="C488" s="34" t="s">
        <v>1289</v>
      </c>
      <c r="D488" s="24">
        <v>2</v>
      </c>
      <c r="E488" s="24">
        <v>0</v>
      </c>
      <c r="F488" s="24" t="s">
        <v>151</v>
      </c>
      <c r="G488" s="24" t="s">
        <v>1126</v>
      </c>
      <c r="H488" s="24" t="b">
        <v>1</v>
      </c>
      <c r="I488" s="24" t="s">
        <v>410</v>
      </c>
      <c r="J488" s="24" t="s">
        <v>384</v>
      </c>
      <c r="K488" s="24" t="s">
        <v>384</v>
      </c>
      <c r="L488" s="24"/>
      <c r="M488" s="24"/>
      <c r="N488" s="24"/>
      <c r="O488" s="26">
        <f>GET_OK_GROUPS_COUNT(tbStoryEnemy[[#This Row],[Camp]],tbStoryEnemy[[#This Row],[Difficulty]],tbStoryEnemy[[#This Row],[IsBoss]],tbStoryEnemy[[#This Row],[Hero1]:[Soldier3]])</f>
        <v>1</v>
      </c>
      <c r="P488" s="24">
        <v>1</v>
      </c>
      <c r="Q488" s="25" t="s">
        <v>410</v>
      </c>
      <c r="R488" s="24"/>
      <c r="S488" s="26" t="str">
        <f>GET_OK_GROUP(tbStoryEnemy[[#This Row],[Camp]],tbStoryEnemy[[#This Row],[Difficulty]],tbStoryEnemy[[#This Row],[IsBoss]],tbStoryEnemy[[#This Row],[Hero1]:[Soldier3]],tbStoryEnemy[[#This Row],[GroupID]])</f>
        <v>三国-超难-[B]盾英+法英+法英</v>
      </c>
    </row>
    <row r="489" spans="2:19">
      <c r="B489" s="24" t="s">
        <v>832</v>
      </c>
      <c r="C489" s="34" t="s">
        <v>1289</v>
      </c>
      <c r="D489" s="24">
        <v>1</v>
      </c>
      <c r="E489" s="24">
        <v>0</v>
      </c>
      <c r="F489" s="24" t="s">
        <v>151</v>
      </c>
      <c r="G489" s="24" t="s">
        <v>1338</v>
      </c>
      <c r="H489" s="24"/>
      <c r="I489" s="24"/>
      <c r="J489" s="24"/>
      <c r="K489" s="24"/>
      <c r="L489" s="24" t="s">
        <v>25</v>
      </c>
      <c r="M489" s="24"/>
      <c r="N489" s="24"/>
      <c r="O489" s="26">
        <f>GET_OK_GROUPS_COUNT(tbStoryEnemy[[#This Row],[Camp]],tbStoryEnemy[[#This Row],[Difficulty]],tbStoryEnemy[[#This Row],[IsBoss]],tbStoryEnemy[[#This Row],[Hero1]:[Soldier3]])</f>
        <v>5</v>
      </c>
      <c r="P489" s="24">
        <v>2</v>
      </c>
      <c r="Q489" s="25" t="s">
        <v>912</v>
      </c>
      <c r="R489" s="24"/>
      <c r="S489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490" spans="2:19">
      <c r="B490" s="24" t="s">
        <v>832</v>
      </c>
      <c r="C490" s="34" t="s">
        <v>1289</v>
      </c>
      <c r="D490" s="24">
        <v>2</v>
      </c>
      <c r="E490" s="24">
        <v>0</v>
      </c>
      <c r="F490" s="24" t="s">
        <v>151</v>
      </c>
      <c r="G490" s="24" t="s">
        <v>1169</v>
      </c>
      <c r="H490" s="24"/>
      <c r="I490" s="24" t="s">
        <v>380</v>
      </c>
      <c r="J490" s="24" t="s">
        <v>384</v>
      </c>
      <c r="K490" s="24"/>
      <c r="L490" s="24"/>
      <c r="M490" s="24"/>
      <c r="N490" s="24"/>
      <c r="O490" s="26">
        <f>GET_OK_GROUPS_COUNT(tbStoryEnemy[[#This Row],[Camp]],tbStoryEnemy[[#This Row],[Difficulty]],tbStoryEnemy[[#This Row],[IsBoss]],tbStoryEnemy[[#This Row],[Hero1]:[Soldier3]])</f>
        <v>1</v>
      </c>
      <c r="P490" s="24">
        <v>1</v>
      </c>
      <c r="Q490" s="25" t="s">
        <v>912</v>
      </c>
      <c r="R490" s="24"/>
      <c r="S490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491" spans="2:19">
      <c r="B491" s="24" t="s">
        <v>833</v>
      </c>
      <c r="C491" s="34" t="s">
        <v>1289</v>
      </c>
      <c r="D491" s="24">
        <v>1</v>
      </c>
      <c r="E491" s="24">
        <v>0</v>
      </c>
      <c r="F491" s="24" t="s">
        <v>151</v>
      </c>
      <c r="G491" s="24" t="s">
        <v>1338</v>
      </c>
      <c r="H491" s="24"/>
      <c r="I491" s="24"/>
      <c r="J491" s="24"/>
      <c r="K491" s="24"/>
      <c r="L491" s="24" t="s">
        <v>25</v>
      </c>
      <c r="M491" s="24"/>
      <c r="N491" s="24"/>
      <c r="O491" s="26">
        <f>GET_OK_GROUPS_COUNT(tbStoryEnemy[[#This Row],[Camp]],tbStoryEnemy[[#This Row],[Difficulty]],tbStoryEnemy[[#This Row],[IsBoss]],tbStoryEnemy[[#This Row],[Hero1]:[Soldier3]])</f>
        <v>5</v>
      </c>
      <c r="P491" s="24">
        <v>4</v>
      </c>
      <c r="Q491" s="25" t="s">
        <v>912</v>
      </c>
      <c r="R491" s="24"/>
      <c r="S491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92" spans="2:19">
      <c r="B492" s="24" t="s">
        <v>833</v>
      </c>
      <c r="C492" s="34" t="s">
        <v>1289</v>
      </c>
      <c r="D492" s="24">
        <v>2</v>
      </c>
      <c r="E492" s="24">
        <v>0</v>
      </c>
      <c r="F492" s="24" t="s">
        <v>151</v>
      </c>
      <c r="G492" s="24" t="s">
        <v>1169</v>
      </c>
      <c r="H492" s="24"/>
      <c r="I492" s="24" t="s">
        <v>380</v>
      </c>
      <c r="J492" s="24" t="s">
        <v>380</v>
      </c>
      <c r="K492" s="24"/>
      <c r="L492" s="24"/>
      <c r="M492" s="24"/>
      <c r="N492" s="24"/>
      <c r="O492" s="26">
        <f>GET_OK_GROUPS_COUNT(tbStoryEnemy[[#This Row],[Camp]],tbStoryEnemy[[#This Row],[Difficulty]],tbStoryEnemy[[#This Row],[IsBoss]],tbStoryEnemy[[#This Row],[Hero1]:[Soldier3]])</f>
        <v>1</v>
      </c>
      <c r="P492" s="24">
        <v>1</v>
      </c>
      <c r="Q492" s="25" t="s">
        <v>912</v>
      </c>
      <c r="R492" s="24"/>
      <c r="S492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493" spans="2:19">
      <c r="B493" s="24" t="s">
        <v>834</v>
      </c>
      <c r="C493" s="34" t="s">
        <v>1289</v>
      </c>
      <c r="D493" s="24">
        <v>1</v>
      </c>
      <c r="E493" s="24">
        <v>0</v>
      </c>
      <c r="F493" s="24" t="s">
        <v>151</v>
      </c>
      <c r="G493" s="24" t="s">
        <v>1169</v>
      </c>
      <c r="H493" s="24"/>
      <c r="I493" s="24"/>
      <c r="J493" s="24"/>
      <c r="K493" s="24"/>
      <c r="L493" s="24" t="s">
        <v>26</v>
      </c>
      <c r="M493" s="24"/>
      <c r="N493" s="24"/>
      <c r="O493" s="26">
        <f>GET_OK_GROUPS_COUNT(tbStoryEnemy[[#This Row],[Camp]],tbStoryEnemy[[#This Row],[Difficulty]],tbStoryEnemy[[#This Row],[IsBoss]],tbStoryEnemy[[#This Row],[Hero1]:[Soldier3]])</f>
        <v>9</v>
      </c>
      <c r="P493" s="24">
        <v>1</v>
      </c>
      <c r="Q493" s="25" t="s">
        <v>912</v>
      </c>
      <c r="R493" s="24"/>
      <c r="S493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494" spans="2:19">
      <c r="B494" s="24" t="s">
        <v>834</v>
      </c>
      <c r="C494" s="34" t="s">
        <v>1289</v>
      </c>
      <c r="D494" s="24">
        <v>2</v>
      </c>
      <c r="E494" s="24">
        <v>0</v>
      </c>
      <c r="F494" s="24" t="s">
        <v>151</v>
      </c>
      <c r="G494" s="24" t="s">
        <v>1169</v>
      </c>
      <c r="H494" s="24" t="b">
        <v>1</v>
      </c>
      <c r="I494" s="24" t="s">
        <v>363</v>
      </c>
      <c r="J494" s="24" t="s">
        <v>383</v>
      </c>
      <c r="K494" s="24"/>
      <c r="L494" s="24"/>
      <c r="M494" s="24"/>
      <c r="N494" s="24"/>
      <c r="O494" s="26">
        <f>GET_OK_GROUPS_COUNT(tbStoryEnemy[[#This Row],[Camp]],tbStoryEnemy[[#This Row],[Difficulty]],tbStoryEnemy[[#This Row],[IsBoss]],tbStoryEnemy[[#This Row],[Hero1]:[Soldier3]])</f>
        <v>1</v>
      </c>
      <c r="P494" s="24">
        <v>1</v>
      </c>
      <c r="Q494" s="25" t="s">
        <v>363</v>
      </c>
      <c r="R494" s="24"/>
      <c r="S494" s="26" t="str">
        <f>GET_OK_GROUP(tbStoryEnemy[[#This Row],[Camp]],tbStoryEnemy[[#This Row],[Difficulty]],tbStoryEnemy[[#This Row],[IsBoss]],tbStoryEnemy[[#This Row],[Hero1]:[Soldier3]],tbStoryEnemy[[#This Row],[GroupID]])</f>
        <v>三国-困难-[B]强英+炼英</v>
      </c>
    </row>
    <row r="495" spans="2:19">
      <c r="B495" s="24" t="s">
        <v>835</v>
      </c>
      <c r="C495" s="34" t="s">
        <v>1289</v>
      </c>
      <c r="D495" s="24">
        <v>1</v>
      </c>
      <c r="E495" s="24">
        <v>0</v>
      </c>
      <c r="F495" s="24" t="s">
        <v>151</v>
      </c>
      <c r="G495" s="24" t="s">
        <v>1338</v>
      </c>
      <c r="H495" s="24"/>
      <c r="I495" s="24"/>
      <c r="J495" s="24"/>
      <c r="K495" s="24"/>
      <c r="L495" s="24" t="s">
        <v>34</v>
      </c>
      <c r="M495" s="24"/>
      <c r="N495" s="24"/>
      <c r="O495" s="26">
        <f>GET_OK_GROUPS_COUNT(tbStoryEnemy[[#This Row],[Camp]],tbStoryEnemy[[#This Row],[Difficulty]],tbStoryEnemy[[#This Row],[IsBoss]],tbStoryEnemy[[#This Row],[Hero1]:[Soldier3]])</f>
        <v>5</v>
      </c>
      <c r="P495" s="24">
        <v>1</v>
      </c>
      <c r="Q495" s="25" t="s">
        <v>912</v>
      </c>
      <c r="R495" s="24"/>
      <c r="S495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496" spans="2:19">
      <c r="B496" s="24" t="s">
        <v>835</v>
      </c>
      <c r="C496" s="34" t="s">
        <v>1289</v>
      </c>
      <c r="D496" s="24">
        <v>2</v>
      </c>
      <c r="E496" s="24">
        <v>0</v>
      </c>
      <c r="F496" s="24" t="s">
        <v>151</v>
      </c>
      <c r="G496" s="24" t="s">
        <v>1169</v>
      </c>
      <c r="H496" s="24"/>
      <c r="I496" s="24" t="s">
        <v>382</v>
      </c>
      <c r="J496" s="24" t="s">
        <v>382</v>
      </c>
      <c r="K496" s="24"/>
      <c r="L496" s="24"/>
      <c r="M496" s="24"/>
      <c r="N496" s="24"/>
      <c r="O496" s="26">
        <f>GET_OK_GROUPS_COUNT(tbStoryEnemy[[#This Row],[Camp]],tbStoryEnemy[[#This Row],[Difficulty]],tbStoryEnemy[[#This Row],[IsBoss]],tbStoryEnemy[[#This Row],[Hero1]:[Soldier3]])</f>
        <v>1</v>
      </c>
      <c r="P496" s="24">
        <v>1</v>
      </c>
      <c r="Q496" s="25" t="s">
        <v>912</v>
      </c>
      <c r="R496" s="24"/>
      <c r="S496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497" spans="2:19">
      <c r="B497" s="24" t="s">
        <v>836</v>
      </c>
      <c r="C497" s="34" t="s">
        <v>1289</v>
      </c>
      <c r="D497" s="24">
        <v>1</v>
      </c>
      <c r="E497" s="24">
        <v>0</v>
      </c>
      <c r="F497" s="24" t="s">
        <v>151</v>
      </c>
      <c r="G497" s="24" t="s">
        <v>1169</v>
      </c>
      <c r="H497" s="24"/>
      <c r="I497" s="24" t="s">
        <v>385</v>
      </c>
      <c r="J497" s="24"/>
      <c r="K497" s="24"/>
      <c r="L497" s="24"/>
      <c r="M497" s="24"/>
      <c r="N497" s="24"/>
      <c r="O497" s="26">
        <f>GET_OK_GROUPS_COUNT(tbStoryEnemy[[#This Row],[Camp]],tbStoryEnemy[[#This Row],[Difficulty]],tbStoryEnemy[[#This Row],[IsBoss]],tbStoryEnemy[[#This Row],[Hero1]:[Soldier3]])</f>
        <v>3</v>
      </c>
      <c r="P497" s="24">
        <v>1</v>
      </c>
      <c r="Q497" s="25" t="s">
        <v>912</v>
      </c>
      <c r="R497" s="24"/>
      <c r="S497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498" spans="2:19">
      <c r="B498" s="24" t="s">
        <v>836</v>
      </c>
      <c r="C498" s="34" t="s">
        <v>1289</v>
      </c>
      <c r="D498" s="24">
        <v>2</v>
      </c>
      <c r="E498" s="24">
        <v>0</v>
      </c>
      <c r="F498" s="24" t="s">
        <v>151</v>
      </c>
      <c r="G498" s="24" t="s">
        <v>1169</v>
      </c>
      <c r="H498" s="24"/>
      <c r="I498" s="24" t="s">
        <v>382</v>
      </c>
      <c r="J498" s="24" t="s">
        <v>382</v>
      </c>
      <c r="K498" s="24"/>
      <c r="L498" s="24"/>
      <c r="M498" s="24"/>
      <c r="N498" s="24"/>
      <c r="O498" s="26">
        <f>GET_OK_GROUPS_COUNT(tbStoryEnemy[[#This Row],[Camp]],tbStoryEnemy[[#This Row],[Difficulty]],tbStoryEnemy[[#This Row],[IsBoss]],tbStoryEnemy[[#This Row],[Hero1]:[Soldier3]])</f>
        <v>1</v>
      </c>
      <c r="P498" s="24">
        <v>1</v>
      </c>
      <c r="Q498" s="25" t="s">
        <v>912</v>
      </c>
      <c r="R498" s="24"/>
      <c r="S498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499" spans="2:19">
      <c r="B499" s="24" t="s">
        <v>837</v>
      </c>
      <c r="C499" s="34" t="s">
        <v>1289</v>
      </c>
      <c r="D499" s="24">
        <v>1</v>
      </c>
      <c r="E499" s="24">
        <v>0</v>
      </c>
      <c r="F499" s="24" t="s">
        <v>151</v>
      </c>
      <c r="G499" s="24" t="s">
        <v>1169</v>
      </c>
      <c r="H499" s="24"/>
      <c r="I499" s="24"/>
      <c r="J499" s="24"/>
      <c r="K499" s="24"/>
      <c r="L499" s="24" t="s">
        <v>34</v>
      </c>
      <c r="M499" s="24" t="s">
        <v>26</v>
      </c>
      <c r="N499" s="24"/>
      <c r="O499" s="26">
        <f>GET_OK_GROUPS_COUNT(tbStoryEnemy[[#This Row],[Camp]],tbStoryEnemy[[#This Row],[Difficulty]],tbStoryEnemy[[#This Row],[IsBoss]],tbStoryEnemy[[#This Row],[Hero1]:[Soldier3]])</f>
        <v>5</v>
      </c>
      <c r="P499" s="24">
        <v>1</v>
      </c>
      <c r="Q499" s="25" t="s">
        <v>912</v>
      </c>
      <c r="R499" s="24"/>
      <c r="S499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500" spans="2:19">
      <c r="B500" s="24" t="s">
        <v>837</v>
      </c>
      <c r="C500" s="34" t="s">
        <v>1289</v>
      </c>
      <c r="D500" s="24">
        <v>2</v>
      </c>
      <c r="E500" s="24">
        <v>0</v>
      </c>
      <c r="F500" s="24" t="s">
        <v>151</v>
      </c>
      <c r="G500" s="24" t="s">
        <v>1126</v>
      </c>
      <c r="H500" s="24" t="b">
        <v>1</v>
      </c>
      <c r="I500" s="24" t="s">
        <v>1187</v>
      </c>
      <c r="J500" s="24" t="s">
        <v>384</v>
      </c>
      <c r="K500" s="24"/>
      <c r="L500" s="24"/>
      <c r="M500" s="24"/>
      <c r="N500" s="24"/>
      <c r="O500" s="26">
        <f>GET_OK_GROUPS_COUNT(tbStoryEnemy[[#This Row],[Camp]],tbStoryEnemy[[#This Row],[Difficulty]],tbStoryEnemy[[#This Row],[IsBoss]],tbStoryEnemy[[#This Row],[Hero1]:[Soldier3]])</f>
        <v>1</v>
      </c>
      <c r="P500" s="24">
        <v>1</v>
      </c>
      <c r="Q500" s="25" t="s">
        <v>1187</v>
      </c>
      <c r="R500" s="24"/>
      <c r="S500" s="26" t="str">
        <f>GET_OK_GROUP(tbStoryEnemy[[#This Row],[Camp]],tbStoryEnemy[[#This Row],[Difficulty]],tbStoryEnemy[[#This Row],[IsBoss]],tbStoryEnemy[[#This Row],[Hero1]:[Soldier3]],tbStoryEnemy[[#This Row],[GroupID]])</f>
        <v>三国-超难-[B]炼英+法英</v>
      </c>
    </row>
    <row r="501" spans="2:19">
      <c r="B501" s="24" t="s">
        <v>838</v>
      </c>
      <c r="C501" s="34" t="s">
        <v>1289</v>
      </c>
      <c r="D501" s="24">
        <v>1</v>
      </c>
      <c r="E501" s="24">
        <v>0</v>
      </c>
      <c r="F501" s="24" t="s">
        <v>151</v>
      </c>
      <c r="G501" s="24" t="s">
        <v>1338</v>
      </c>
      <c r="H501" s="24"/>
      <c r="I501" s="24"/>
      <c r="J501" s="24"/>
      <c r="K501" s="24"/>
      <c r="L501" s="24" t="s">
        <v>34</v>
      </c>
      <c r="M501" s="24"/>
      <c r="N501" s="24"/>
      <c r="O501" s="26">
        <f>GET_OK_GROUPS_COUNT(tbStoryEnemy[[#This Row],[Camp]],tbStoryEnemy[[#This Row],[Difficulty]],tbStoryEnemy[[#This Row],[IsBoss]],tbStoryEnemy[[#This Row],[Hero1]:[Soldier3]])</f>
        <v>5</v>
      </c>
      <c r="P501" s="24">
        <v>1</v>
      </c>
      <c r="Q501" s="25" t="s">
        <v>912</v>
      </c>
      <c r="R501" s="24"/>
      <c r="S501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502" spans="2:19">
      <c r="B502" s="24" t="s">
        <v>838</v>
      </c>
      <c r="C502" s="34" t="s">
        <v>1289</v>
      </c>
      <c r="D502" s="24">
        <v>2</v>
      </c>
      <c r="E502" s="24">
        <v>0</v>
      </c>
      <c r="F502" s="24" t="s">
        <v>151</v>
      </c>
      <c r="G502" s="24" t="s">
        <v>1169</v>
      </c>
      <c r="H502" s="24"/>
      <c r="I502" s="24" t="s">
        <v>380</v>
      </c>
      <c r="J502" s="24" t="s">
        <v>381</v>
      </c>
      <c r="K502" s="24"/>
      <c r="L502" s="24"/>
      <c r="M502" s="24"/>
      <c r="N502" s="24"/>
      <c r="O502" s="26">
        <f>GET_OK_GROUPS_COUNT(tbStoryEnemy[[#This Row],[Camp]],tbStoryEnemy[[#This Row],[Difficulty]],tbStoryEnemy[[#This Row],[IsBoss]],tbStoryEnemy[[#This Row],[Hero1]:[Soldier3]])</f>
        <v>1</v>
      </c>
      <c r="P502" s="24">
        <v>1</v>
      </c>
      <c r="Q502" s="25" t="s">
        <v>912</v>
      </c>
      <c r="R502" s="24"/>
      <c r="S502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503" spans="2:19">
      <c r="B503" s="24" t="s">
        <v>839</v>
      </c>
      <c r="C503" s="34" t="s">
        <v>1289</v>
      </c>
      <c r="D503" s="24">
        <v>1</v>
      </c>
      <c r="E503" s="24">
        <v>0</v>
      </c>
      <c r="F503" s="24" t="s">
        <v>151</v>
      </c>
      <c r="G503" s="24" t="s">
        <v>1169</v>
      </c>
      <c r="H503" s="24"/>
      <c r="I503" s="24"/>
      <c r="J503" s="24"/>
      <c r="K503" s="24"/>
      <c r="L503" s="24" t="s">
        <v>34</v>
      </c>
      <c r="M503" s="24" t="s">
        <v>28</v>
      </c>
      <c r="N503" s="24"/>
      <c r="O503" s="26">
        <f>GET_OK_GROUPS_COUNT(tbStoryEnemy[[#This Row],[Camp]],tbStoryEnemy[[#This Row],[Difficulty]],tbStoryEnemy[[#This Row],[IsBoss]],tbStoryEnemy[[#This Row],[Hero1]:[Soldier3]])</f>
        <v>5</v>
      </c>
      <c r="P503" s="24">
        <v>1</v>
      </c>
      <c r="Q503" s="25" t="s">
        <v>912</v>
      </c>
      <c r="R503" s="24"/>
      <c r="S503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504" spans="2:19">
      <c r="B504" s="24" t="s">
        <v>839</v>
      </c>
      <c r="C504" s="34" t="s">
        <v>1289</v>
      </c>
      <c r="D504" s="24">
        <v>2</v>
      </c>
      <c r="E504" s="24">
        <v>0</v>
      </c>
      <c r="F504" s="24" t="s">
        <v>151</v>
      </c>
      <c r="G504" s="24" t="s">
        <v>1169</v>
      </c>
      <c r="H504" s="24"/>
      <c r="I504" s="24" t="s">
        <v>380</v>
      </c>
      <c r="J504" s="24" t="s">
        <v>381</v>
      </c>
      <c r="K504" s="24"/>
      <c r="L504" s="24"/>
      <c r="M504" s="24"/>
      <c r="N504" s="24"/>
      <c r="O504" s="26">
        <f>GET_OK_GROUPS_COUNT(tbStoryEnemy[[#This Row],[Camp]],tbStoryEnemy[[#This Row],[Difficulty]],tbStoryEnemy[[#This Row],[IsBoss]],tbStoryEnemy[[#This Row],[Hero1]:[Soldier3]])</f>
        <v>1</v>
      </c>
      <c r="P504" s="24">
        <v>1</v>
      </c>
      <c r="Q504" s="25" t="s">
        <v>912</v>
      </c>
      <c r="R504" s="24"/>
      <c r="S504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505" spans="2:19">
      <c r="B505" s="24" t="s">
        <v>840</v>
      </c>
      <c r="C505" s="34" t="s">
        <v>1289</v>
      </c>
      <c r="D505" s="24">
        <v>1</v>
      </c>
      <c r="E505" s="24">
        <v>0</v>
      </c>
      <c r="F505" s="24" t="s">
        <v>151</v>
      </c>
      <c r="G505" s="24" t="s">
        <v>1169</v>
      </c>
      <c r="H505" s="24"/>
      <c r="I505" s="24"/>
      <c r="J505" s="24"/>
      <c r="K505" s="24"/>
      <c r="L505" s="24" t="s">
        <v>25</v>
      </c>
      <c r="M505" s="24" t="s">
        <v>28</v>
      </c>
      <c r="N505" s="24"/>
      <c r="O505" s="26">
        <f>GET_OK_GROUPS_COUNT(tbStoryEnemy[[#This Row],[Camp]],tbStoryEnemy[[#This Row],[Difficulty]],tbStoryEnemy[[#This Row],[IsBoss]],tbStoryEnemy[[#This Row],[Hero1]:[Soldier3]])</f>
        <v>5</v>
      </c>
      <c r="P505" s="24">
        <v>1</v>
      </c>
      <c r="Q505" s="25" t="s">
        <v>912</v>
      </c>
      <c r="R505" s="24"/>
      <c r="S505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506" spans="2:19">
      <c r="B506" s="24" t="s">
        <v>840</v>
      </c>
      <c r="C506" s="34" t="s">
        <v>1289</v>
      </c>
      <c r="D506" s="24">
        <v>2</v>
      </c>
      <c r="E506" s="24">
        <v>0</v>
      </c>
      <c r="F506" s="24" t="s">
        <v>151</v>
      </c>
      <c r="G506" s="24" t="s">
        <v>1126</v>
      </c>
      <c r="H506" s="24" t="b">
        <v>1</v>
      </c>
      <c r="I506" s="24" t="s">
        <v>364</v>
      </c>
      <c r="J506" s="24" t="s">
        <v>383</v>
      </c>
      <c r="K506" s="24"/>
      <c r="L506" s="24"/>
      <c r="M506" s="24"/>
      <c r="N506" s="24"/>
      <c r="O506" s="26">
        <f>GET_OK_GROUPS_COUNT(tbStoryEnemy[[#This Row],[Camp]],tbStoryEnemy[[#This Row],[Difficulty]],tbStoryEnemy[[#This Row],[IsBoss]],tbStoryEnemy[[#This Row],[Hero1]:[Soldier3]])</f>
        <v>1</v>
      </c>
      <c r="P506" s="24">
        <v>1</v>
      </c>
      <c r="Q506" s="25" t="s">
        <v>364</v>
      </c>
      <c r="R506" s="24"/>
      <c r="S506" s="26" t="str">
        <f>GET_OK_GROUP(tbStoryEnemy[[#This Row],[Camp]],tbStoryEnemy[[#This Row],[Difficulty]],tbStoryEnemy[[#This Row],[IsBoss]],tbStoryEnemy[[#This Row],[Hero1]:[Soldier3]],tbStoryEnemy[[#This Row],[GroupID]])</f>
        <v>三国-超难-[B]盾英+炼英</v>
      </c>
    </row>
    <row r="507" spans="2:19">
      <c r="B507" s="24" t="s">
        <v>841</v>
      </c>
      <c r="C507" s="34" t="s">
        <v>1289</v>
      </c>
      <c r="D507" s="24">
        <v>1</v>
      </c>
      <c r="E507" s="24">
        <v>0</v>
      </c>
      <c r="F507" s="24" t="s">
        <v>151</v>
      </c>
      <c r="G507" s="24" t="s">
        <v>1169</v>
      </c>
      <c r="H507" s="24"/>
      <c r="I507" s="24" t="s">
        <v>382</v>
      </c>
      <c r="J507" s="24"/>
      <c r="K507" s="24"/>
      <c r="L507" s="24" t="s">
        <v>447</v>
      </c>
      <c r="M507" s="24"/>
      <c r="N507" s="24"/>
      <c r="O507" s="26">
        <f>GET_OK_GROUPS_COUNT(tbStoryEnemy[[#This Row],[Camp]],tbStoryEnemy[[#This Row],[Difficulty]],tbStoryEnemy[[#This Row],[IsBoss]],tbStoryEnemy[[#This Row],[Hero1]:[Soldier3]])</f>
        <v>1</v>
      </c>
      <c r="P507" s="24">
        <v>1</v>
      </c>
      <c r="Q507" s="25" t="s">
        <v>912</v>
      </c>
      <c r="R507" s="24"/>
      <c r="S507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508" spans="2:19">
      <c r="B508" s="24" t="s">
        <v>841</v>
      </c>
      <c r="C508" s="34" t="s">
        <v>1289</v>
      </c>
      <c r="D508" s="24">
        <v>2</v>
      </c>
      <c r="E508" s="24">
        <v>0</v>
      </c>
      <c r="F508" s="24" t="s">
        <v>151</v>
      </c>
      <c r="G508" s="24" t="s">
        <v>1169</v>
      </c>
      <c r="H508" s="24"/>
      <c r="I508" s="24" t="s">
        <v>380</v>
      </c>
      <c r="J508" s="24" t="s">
        <v>380</v>
      </c>
      <c r="K508" s="24"/>
      <c r="L508" s="24"/>
      <c r="M508" s="24"/>
      <c r="N508" s="24"/>
      <c r="O508" s="26">
        <f>GET_OK_GROUPS_COUNT(tbStoryEnemy[[#This Row],[Camp]],tbStoryEnemy[[#This Row],[Difficulty]],tbStoryEnemy[[#This Row],[IsBoss]],tbStoryEnemy[[#This Row],[Hero1]:[Soldier3]])</f>
        <v>1</v>
      </c>
      <c r="P508" s="24">
        <v>1</v>
      </c>
      <c r="Q508" s="25" t="s">
        <v>912</v>
      </c>
      <c r="R508" s="24"/>
      <c r="S508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509" spans="2:19">
      <c r="B509" s="24" t="s">
        <v>842</v>
      </c>
      <c r="C509" s="34" t="s">
        <v>1289</v>
      </c>
      <c r="D509" s="24">
        <v>1</v>
      </c>
      <c r="E509" s="24">
        <v>0</v>
      </c>
      <c r="F509" s="24" t="s">
        <v>151</v>
      </c>
      <c r="G509" s="24" t="s">
        <v>1169</v>
      </c>
      <c r="H509" s="24"/>
      <c r="I509" s="24"/>
      <c r="J509" s="24"/>
      <c r="K509" s="24"/>
      <c r="L509" s="24" t="s">
        <v>26</v>
      </c>
      <c r="M509" s="24"/>
      <c r="N509" s="24"/>
      <c r="O509" s="26">
        <f>GET_OK_GROUPS_COUNT(tbStoryEnemy[[#This Row],[Camp]],tbStoryEnemy[[#This Row],[Difficulty]],tbStoryEnemy[[#This Row],[IsBoss]],tbStoryEnemy[[#This Row],[Hero1]:[Soldier3]])</f>
        <v>9</v>
      </c>
      <c r="P509" s="24">
        <v>3</v>
      </c>
      <c r="Q509" s="25" t="s">
        <v>912</v>
      </c>
      <c r="R509" s="24"/>
      <c r="S509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510" spans="2:19">
      <c r="B510" s="24" t="s">
        <v>842</v>
      </c>
      <c r="C510" s="34" t="s">
        <v>1289</v>
      </c>
      <c r="D510" s="24">
        <v>2</v>
      </c>
      <c r="E510" s="24">
        <v>0</v>
      </c>
      <c r="F510" s="24" t="s">
        <v>151</v>
      </c>
      <c r="G510" s="24" t="s">
        <v>1126</v>
      </c>
      <c r="H510" s="24"/>
      <c r="I510" s="24" t="s">
        <v>380</v>
      </c>
      <c r="J510" s="24" t="s">
        <v>382</v>
      </c>
      <c r="K510" s="24"/>
      <c r="L510" s="24"/>
      <c r="M510" s="24"/>
      <c r="N510" s="24"/>
      <c r="O510" s="26">
        <f>GET_OK_GROUPS_COUNT(tbStoryEnemy[[#This Row],[Camp]],tbStoryEnemy[[#This Row],[Difficulty]],tbStoryEnemy[[#This Row],[IsBoss]],tbStoryEnemy[[#This Row],[Hero1]:[Soldier3]])</f>
        <v>1</v>
      </c>
      <c r="P510" s="24">
        <v>1</v>
      </c>
      <c r="Q510" s="25" t="s">
        <v>912</v>
      </c>
      <c r="R510" s="24"/>
      <c r="S510" s="26" t="str">
        <f>GET_OK_GROUP(tbStoryEnemy[[#This Row],[Camp]],tbStoryEnemy[[#This Row],[Difficulty]],tbStoryEnemy[[#This Row],[IsBoss]],tbStoryEnemy[[#This Row],[Hero1]:[Soldier3]],tbStoryEnemy[[#This Row],[GroupID]])</f>
        <v>三国-超难-铁英+盾英</v>
      </c>
    </row>
    <row r="511" spans="2:19">
      <c r="B511" s="24" t="s">
        <v>843</v>
      </c>
      <c r="C511" s="34" t="s">
        <v>1289</v>
      </c>
      <c r="D511" s="24">
        <v>1</v>
      </c>
      <c r="E511" s="24">
        <v>0</v>
      </c>
      <c r="F511" s="24" t="s">
        <v>151</v>
      </c>
      <c r="G511" s="24" t="s">
        <v>1126</v>
      </c>
      <c r="H511" s="24"/>
      <c r="I511" s="34" t="s">
        <v>1177</v>
      </c>
      <c r="J511" s="34" t="s">
        <v>1166</v>
      </c>
      <c r="K511" s="24"/>
      <c r="L511" s="24"/>
      <c r="M511" s="24"/>
      <c r="N511" s="24"/>
      <c r="O511" s="26">
        <f>GET_OK_GROUPS_COUNT(tbStoryEnemy[[#This Row],[Camp]],tbStoryEnemy[[#This Row],[Difficulty]],tbStoryEnemy[[#This Row],[IsBoss]],tbStoryEnemy[[#This Row],[Hero1]:[Soldier3]])</f>
        <v>1</v>
      </c>
      <c r="P511" s="24">
        <v>1</v>
      </c>
      <c r="Q511" s="25" t="s">
        <v>912</v>
      </c>
      <c r="R511" s="24"/>
      <c r="S511" s="26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512" spans="2:19">
      <c r="B512" s="24" t="s">
        <v>843</v>
      </c>
      <c r="C512" s="34" t="s">
        <v>1289</v>
      </c>
      <c r="D512" s="24">
        <v>2</v>
      </c>
      <c r="E512" s="24">
        <v>0</v>
      </c>
      <c r="F512" s="24" t="s">
        <v>151</v>
      </c>
      <c r="G512" s="24" t="s">
        <v>1126</v>
      </c>
      <c r="H512" s="24" t="b">
        <v>1</v>
      </c>
      <c r="I512" s="24" t="s">
        <v>371</v>
      </c>
      <c r="J512" s="24" t="s">
        <v>382</v>
      </c>
      <c r="K512" s="24" t="s">
        <v>381</v>
      </c>
      <c r="L512" s="24"/>
      <c r="M512" s="24"/>
      <c r="N512" s="24"/>
      <c r="O512" s="26">
        <f>GET_OK_GROUPS_COUNT(tbStoryEnemy[[#This Row],[Camp]],tbStoryEnemy[[#This Row],[Difficulty]],tbStoryEnemy[[#This Row],[IsBoss]],tbStoryEnemy[[#This Row],[Hero1]:[Soldier3]])</f>
        <v>1</v>
      </c>
      <c r="P512" s="24">
        <v>1</v>
      </c>
      <c r="Q512" s="25" t="s">
        <v>371</v>
      </c>
      <c r="R512" s="24"/>
      <c r="S512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513" spans="2:19">
      <c r="B513" s="24" t="s">
        <v>844</v>
      </c>
      <c r="C513" s="34" t="s">
        <v>1289</v>
      </c>
      <c r="D513" s="24">
        <v>1</v>
      </c>
      <c r="E513" s="24">
        <v>0</v>
      </c>
      <c r="F513" s="24" t="s">
        <v>151</v>
      </c>
      <c r="G513" s="24" t="s">
        <v>1338</v>
      </c>
      <c r="H513" s="24"/>
      <c r="I513" s="24"/>
      <c r="J513" s="24"/>
      <c r="K513" s="24"/>
      <c r="L513" s="24" t="s">
        <v>34</v>
      </c>
      <c r="M513" s="24"/>
      <c r="N513" s="24"/>
      <c r="O513" s="26">
        <f>GET_OK_GROUPS_COUNT(tbStoryEnemy[[#This Row],[Camp]],tbStoryEnemy[[#This Row],[Difficulty]],tbStoryEnemy[[#This Row],[IsBoss]],tbStoryEnemy[[#This Row],[Hero1]:[Soldier3]])</f>
        <v>5</v>
      </c>
      <c r="P513" s="24">
        <v>4</v>
      </c>
      <c r="Q513" s="25" t="s">
        <v>912</v>
      </c>
      <c r="R513" s="24"/>
      <c r="S513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14" spans="2:19">
      <c r="B514" s="24" t="s">
        <v>844</v>
      </c>
      <c r="C514" s="34" t="s">
        <v>1289</v>
      </c>
      <c r="D514" s="24">
        <v>2</v>
      </c>
      <c r="E514" s="24">
        <v>0</v>
      </c>
      <c r="F514" s="24" t="s">
        <v>151</v>
      </c>
      <c r="G514" s="24" t="s">
        <v>1169</v>
      </c>
      <c r="H514" s="24"/>
      <c r="I514" s="24" t="s">
        <v>382</v>
      </c>
      <c r="J514" s="24"/>
      <c r="K514" s="24"/>
      <c r="L514" s="24" t="s">
        <v>26</v>
      </c>
      <c r="M514" s="24"/>
      <c r="N514" s="24"/>
      <c r="O514" s="26">
        <f>GET_OK_GROUPS_COUNT(tbStoryEnemy[[#This Row],[Camp]],tbStoryEnemy[[#This Row],[Difficulty]],tbStoryEnemy[[#This Row],[IsBoss]],tbStoryEnemy[[#This Row],[Hero1]:[Soldier3]])</f>
        <v>1</v>
      </c>
      <c r="P514" s="24">
        <v>1</v>
      </c>
      <c r="Q514" s="25" t="s">
        <v>912</v>
      </c>
      <c r="R514" s="24"/>
      <c r="S51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15" spans="2:19">
      <c r="B515" s="24" t="s">
        <v>845</v>
      </c>
      <c r="C515" s="34" t="s">
        <v>1289</v>
      </c>
      <c r="D515" s="24">
        <v>1</v>
      </c>
      <c r="E515" s="24">
        <v>0</v>
      </c>
      <c r="F515" s="24" t="s">
        <v>151</v>
      </c>
      <c r="G515" s="24" t="s">
        <v>1338</v>
      </c>
      <c r="H515" s="24"/>
      <c r="I515" s="24"/>
      <c r="J515" s="24"/>
      <c r="K515" s="24"/>
      <c r="L515" s="24" t="s">
        <v>34</v>
      </c>
      <c r="M515" s="24"/>
      <c r="N515" s="24"/>
      <c r="O515" s="26">
        <f>GET_OK_GROUPS_COUNT(tbStoryEnemy[[#This Row],[Camp]],tbStoryEnemy[[#This Row],[Difficulty]],tbStoryEnemy[[#This Row],[IsBoss]],tbStoryEnemy[[#This Row],[Hero1]:[Soldier3]])</f>
        <v>5</v>
      </c>
      <c r="P515" s="24">
        <v>2</v>
      </c>
      <c r="Q515" s="25" t="s">
        <v>912</v>
      </c>
      <c r="R515" s="24"/>
      <c r="S515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16" spans="2:19">
      <c r="B516" s="24" t="s">
        <v>845</v>
      </c>
      <c r="C516" s="34" t="s">
        <v>1289</v>
      </c>
      <c r="D516" s="24">
        <v>2</v>
      </c>
      <c r="E516" s="24">
        <v>0</v>
      </c>
      <c r="F516" s="24" t="s">
        <v>151</v>
      </c>
      <c r="G516" s="24" t="s">
        <v>1169</v>
      </c>
      <c r="H516" s="24"/>
      <c r="I516" s="24" t="s">
        <v>383</v>
      </c>
      <c r="J516" s="24"/>
      <c r="K516" s="24"/>
      <c r="L516" s="24" t="s">
        <v>34</v>
      </c>
      <c r="M516" s="24"/>
      <c r="N516" s="24"/>
      <c r="O516" s="26">
        <f>GET_OK_GROUPS_COUNT(tbStoryEnemy[[#This Row],[Camp]],tbStoryEnemy[[#This Row],[Difficulty]],tbStoryEnemy[[#This Row],[IsBoss]],tbStoryEnemy[[#This Row],[Hero1]:[Soldier3]])</f>
        <v>1</v>
      </c>
      <c r="P516" s="24">
        <v>1</v>
      </c>
      <c r="Q516" s="25" t="s">
        <v>912</v>
      </c>
      <c r="R516" s="24"/>
      <c r="S516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517" spans="2:19">
      <c r="B517" s="24" t="s">
        <v>846</v>
      </c>
      <c r="C517" s="34" t="s">
        <v>1289</v>
      </c>
      <c r="D517" s="24">
        <v>1</v>
      </c>
      <c r="E517" s="24">
        <v>0</v>
      </c>
      <c r="F517" s="24" t="s">
        <v>151</v>
      </c>
      <c r="G517" s="24" t="s">
        <v>1169</v>
      </c>
      <c r="H517" s="24"/>
      <c r="I517" s="24" t="s">
        <v>384</v>
      </c>
      <c r="J517" s="24"/>
      <c r="K517" s="24"/>
      <c r="L517" s="24" t="s">
        <v>34</v>
      </c>
      <c r="M517" s="24"/>
      <c r="N517" s="24"/>
      <c r="O517" s="26">
        <f>GET_OK_GROUPS_COUNT(tbStoryEnemy[[#This Row],[Camp]],tbStoryEnemy[[#This Row],[Difficulty]],tbStoryEnemy[[#This Row],[IsBoss]],tbStoryEnemy[[#This Row],[Hero1]:[Soldier3]])</f>
        <v>1</v>
      </c>
      <c r="P517" s="24">
        <v>1</v>
      </c>
      <c r="Q517" s="25" t="s">
        <v>912</v>
      </c>
      <c r="R517" s="24"/>
      <c r="S517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518" spans="2:19">
      <c r="B518" s="24" t="s">
        <v>846</v>
      </c>
      <c r="C518" s="34" t="s">
        <v>1289</v>
      </c>
      <c r="D518" s="24">
        <v>2</v>
      </c>
      <c r="E518" s="24">
        <v>0</v>
      </c>
      <c r="F518" s="24" t="s">
        <v>151</v>
      </c>
      <c r="G518" s="24" t="s">
        <v>1169</v>
      </c>
      <c r="H518" s="24" t="b">
        <v>1</v>
      </c>
      <c r="I518" s="24" t="s">
        <v>417</v>
      </c>
      <c r="J518" s="24" t="s">
        <v>385</v>
      </c>
      <c r="K518" s="24"/>
      <c r="L518" s="24"/>
      <c r="M518" s="24"/>
      <c r="N518" s="24"/>
      <c r="O518" s="26">
        <f>GET_OK_GROUPS_COUNT(tbStoryEnemy[[#This Row],[Camp]],tbStoryEnemy[[#This Row],[Difficulty]],tbStoryEnemy[[#This Row],[IsBoss]],tbStoryEnemy[[#This Row],[Hero1]:[Soldier3]])</f>
        <v>1</v>
      </c>
      <c r="P518" s="24">
        <v>1</v>
      </c>
      <c r="Q518" s="25" t="s">
        <v>417</v>
      </c>
      <c r="R518" s="24"/>
      <c r="S518" s="26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519" spans="2:19">
      <c r="B519" s="24" t="s">
        <v>847</v>
      </c>
      <c r="C519" s="34" t="s">
        <v>1289</v>
      </c>
      <c r="D519" s="24">
        <v>1</v>
      </c>
      <c r="E519" s="24">
        <v>0</v>
      </c>
      <c r="F519" s="24" t="s">
        <v>151</v>
      </c>
      <c r="G519" s="24" t="s">
        <v>1338</v>
      </c>
      <c r="H519" s="24"/>
      <c r="I519" s="24"/>
      <c r="J519" s="24"/>
      <c r="K519" s="24"/>
      <c r="L519" s="24" t="s">
        <v>49</v>
      </c>
      <c r="M519" s="24"/>
      <c r="N519" s="24"/>
      <c r="O519" s="26">
        <f>GET_OK_GROUPS_COUNT(tbStoryEnemy[[#This Row],[Camp]],tbStoryEnemy[[#This Row],[Difficulty]],tbStoryEnemy[[#This Row],[IsBoss]],tbStoryEnemy[[#This Row],[Hero1]:[Soldier3]])</f>
        <v>1</v>
      </c>
      <c r="P519" s="24">
        <v>1</v>
      </c>
      <c r="Q519" s="25" t="s">
        <v>912</v>
      </c>
      <c r="R519" s="24"/>
      <c r="S519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20" spans="2:19">
      <c r="B520" s="24" t="s">
        <v>847</v>
      </c>
      <c r="C520" s="34" t="s">
        <v>1289</v>
      </c>
      <c r="D520" s="24">
        <v>2</v>
      </c>
      <c r="E520" s="24">
        <v>0</v>
      </c>
      <c r="F520" s="24" t="s">
        <v>151</v>
      </c>
      <c r="G520" s="24" t="s">
        <v>1169</v>
      </c>
      <c r="H520" s="24"/>
      <c r="I520" s="24" t="s">
        <v>385</v>
      </c>
      <c r="J520" s="24"/>
      <c r="K520" s="24"/>
      <c r="L520" s="24"/>
      <c r="M520" s="24"/>
      <c r="N520" s="24"/>
      <c r="O520" s="26">
        <f>GET_OK_GROUPS_COUNT(tbStoryEnemy[[#This Row],[Camp]],tbStoryEnemy[[#This Row],[Difficulty]],tbStoryEnemy[[#This Row],[IsBoss]],tbStoryEnemy[[#This Row],[Hero1]:[Soldier3]])</f>
        <v>3</v>
      </c>
      <c r="P520" s="24">
        <v>2</v>
      </c>
      <c r="Q520" s="25" t="s">
        <v>912</v>
      </c>
      <c r="R520" s="24"/>
      <c r="S520" s="26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521" spans="2:19">
      <c r="B521" s="24" t="s">
        <v>848</v>
      </c>
      <c r="C521" s="34" t="s">
        <v>1289</v>
      </c>
      <c r="D521" s="24">
        <v>1</v>
      </c>
      <c r="E521" s="24">
        <v>0</v>
      </c>
      <c r="F521" s="24" t="s">
        <v>151</v>
      </c>
      <c r="G521" s="24" t="s">
        <v>1169</v>
      </c>
      <c r="H521" s="24"/>
      <c r="I521" s="24"/>
      <c r="J521" s="24"/>
      <c r="K521" s="24"/>
      <c r="L521" s="24" t="s">
        <v>34</v>
      </c>
      <c r="M521" s="24"/>
      <c r="N521" s="24"/>
      <c r="O521" s="26">
        <f>GET_OK_GROUPS_COUNT(tbStoryEnemy[[#This Row],[Camp]],tbStoryEnemy[[#This Row],[Difficulty]],tbStoryEnemy[[#This Row],[IsBoss]],tbStoryEnemy[[#This Row],[Hero1]:[Soldier3]])</f>
        <v>14</v>
      </c>
      <c r="P521" s="24">
        <v>3</v>
      </c>
      <c r="Q521" s="25" t="s">
        <v>912</v>
      </c>
      <c r="R521" s="24"/>
      <c r="S521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522" spans="2:19">
      <c r="B522" s="24" t="s">
        <v>848</v>
      </c>
      <c r="C522" s="34" t="s">
        <v>1289</v>
      </c>
      <c r="D522" s="24">
        <v>2</v>
      </c>
      <c r="E522" s="24">
        <v>0</v>
      </c>
      <c r="F522" s="24" t="s">
        <v>151</v>
      </c>
      <c r="G522" s="24" t="s">
        <v>1169</v>
      </c>
      <c r="H522" s="24"/>
      <c r="I522" s="24" t="s">
        <v>382</v>
      </c>
      <c r="J522" s="24" t="s">
        <v>381</v>
      </c>
      <c r="K522" s="24"/>
      <c r="L522" s="24"/>
      <c r="M522" s="24"/>
      <c r="N522" s="24"/>
      <c r="O522" s="26">
        <f>GET_OK_GROUPS_COUNT(tbStoryEnemy[[#This Row],[Camp]],tbStoryEnemy[[#This Row],[Difficulty]],tbStoryEnemy[[#This Row],[IsBoss]],tbStoryEnemy[[#This Row],[Hero1]:[Soldier3]])</f>
        <v>1</v>
      </c>
      <c r="P522" s="24">
        <v>1</v>
      </c>
      <c r="Q522" s="25" t="s">
        <v>912</v>
      </c>
      <c r="R522" s="24"/>
      <c r="S522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523" spans="2:19">
      <c r="B523" s="24" t="s">
        <v>849</v>
      </c>
      <c r="C523" s="34" t="s">
        <v>1289</v>
      </c>
      <c r="D523" s="24">
        <v>1</v>
      </c>
      <c r="E523" s="24">
        <v>0</v>
      </c>
      <c r="F523" s="24" t="s">
        <v>151</v>
      </c>
      <c r="G523" s="24" t="s">
        <v>1169</v>
      </c>
      <c r="H523" s="24"/>
      <c r="I523" s="24" t="s">
        <v>380</v>
      </c>
      <c r="J523" s="24"/>
      <c r="K523" s="24"/>
      <c r="L523" s="24" t="s">
        <v>26</v>
      </c>
      <c r="M523" s="24"/>
      <c r="N523" s="24"/>
      <c r="O523" s="26">
        <f>GET_OK_GROUPS_COUNT(tbStoryEnemy[[#This Row],[Camp]],tbStoryEnemy[[#This Row],[Difficulty]],tbStoryEnemy[[#This Row],[IsBoss]],tbStoryEnemy[[#This Row],[Hero1]:[Soldier3]])</f>
        <v>1</v>
      </c>
      <c r="P523" s="24">
        <v>1</v>
      </c>
      <c r="Q523" s="25" t="s">
        <v>912</v>
      </c>
      <c r="R523" s="24"/>
      <c r="S523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24" spans="2:19">
      <c r="B524" s="24" t="s">
        <v>849</v>
      </c>
      <c r="C524" s="34" t="s">
        <v>1289</v>
      </c>
      <c r="D524" s="24">
        <v>2</v>
      </c>
      <c r="E524" s="24">
        <v>0</v>
      </c>
      <c r="F524" s="24" t="s">
        <v>151</v>
      </c>
      <c r="G524" s="24" t="s">
        <v>1126</v>
      </c>
      <c r="H524" s="24" t="b">
        <v>1</v>
      </c>
      <c r="I524" s="24" t="s">
        <v>419</v>
      </c>
      <c r="J524" s="24" t="s">
        <v>382</v>
      </c>
      <c r="K524" s="24" t="s">
        <v>384</v>
      </c>
      <c r="L524" s="24"/>
      <c r="M524" s="24"/>
      <c r="N524" s="24"/>
      <c r="O524" s="26">
        <f>GET_OK_GROUPS_COUNT(tbStoryEnemy[[#This Row],[Camp]],tbStoryEnemy[[#This Row],[Difficulty]],tbStoryEnemy[[#This Row],[IsBoss]],tbStoryEnemy[[#This Row],[Hero1]:[Soldier3]])</f>
        <v>1</v>
      </c>
      <c r="P524" s="24">
        <v>1</v>
      </c>
      <c r="Q524" s="25" t="s">
        <v>419</v>
      </c>
      <c r="R524" s="24"/>
      <c r="S524" s="26" t="str">
        <f>GET_OK_GROUP(tbStoryEnemy[[#This Row],[Camp]],tbStoryEnemy[[#This Row],[Difficulty]],tbStoryEnemy[[#This Row],[IsBoss]],tbStoryEnemy[[#This Row],[Hero1]:[Soldier3]],tbStoryEnemy[[#This Row],[GroupID]])</f>
        <v>三国-超难-[B]铁英+强英+法英</v>
      </c>
    </row>
    <row r="525" spans="2:19">
      <c r="B525" s="24" t="s">
        <v>850</v>
      </c>
      <c r="C525" s="34" t="s">
        <v>1289</v>
      </c>
      <c r="D525" s="24">
        <v>1</v>
      </c>
      <c r="E525" s="24">
        <v>0</v>
      </c>
      <c r="F525" s="24" t="s">
        <v>151</v>
      </c>
      <c r="G525" s="24" t="s">
        <v>1338</v>
      </c>
      <c r="H525" s="24"/>
      <c r="I525" s="24"/>
      <c r="J525" s="24"/>
      <c r="K525" s="24"/>
      <c r="L525" s="24" t="s">
        <v>447</v>
      </c>
      <c r="M525" s="24"/>
      <c r="N525" s="24"/>
      <c r="O525" s="26">
        <f>GET_OK_GROUPS_COUNT(tbStoryEnemy[[#This Row],[Camp]],tbStoryEnemy[[#This Row],[Difficulty]],tbStoryEnemy[[#This Row],[IsBoss]],tbStoryEnemy[[#This Row],[Hero1]:[Soldier3]])</f>
        <v>3</v>
      </c>
      <c r="P525" s="24">
        <v>1</v>
      </c>
      <c r="Q525" s="25" t="s">
        <v>912</v>
      </c>
      <c r="R525" s="24"/>
      <c r="S525" s="26" t="str">
        <f>GET_OK_GROUP(tbStoryEnemy[[#This Row],[Camp]],tbStoryEnemy[[#This Row],[Difficulty]],tbStoryEnemy[[#This Row],[IsBoss]],tbStoryEnemy[[#This Row],[Hero1]:[Soldier3]],tbStoryEnemy[[#This Row],[GroupID]])</f>
        <v>三国-普通-炼兵</v>
      </c>
    </row>
    <row r="526" spans="2:19">
      <c r="B526" s="24" t="s">
        <v>850</v>
      </c>
      <c r="C526" s="34" t="s">
        <v>1289</v>
      </c>
      <c r="D526" s="24">
        <v>2</v>
      </c>
      <c r="E526" s="24">
        <v>0</v>
      </c>
      <c r="F526" s="24" t="s">
        <v>151</v>
      </c>
      <c r="G526" s="24" t="s">
        <v>1169</v>
      </c>
      <c r="H526" s="24"/>
      <c r="I526" s="24" t="s">
        <v>383</v>
      </c>
      <c r="J526" s="24"/>
      <c r="K526" s="24"/>
      <c r="L526" s="24" t="s">
        <v>34</v>
      </c>
      <c r="M526" s="24"/>
      <c r="N526" s="24"/>
      <c r="O526" s="26">
        <f>GET_OK_GROUPS_COUNT(tbStoryEnemy[[#This Row],[Camp]],tbStoryEnemy[[#This Row],[Difficulty]],tbStoryEnemy[[#This Row],[IsBoss]],tbStoryEnemy[[#This Row],[Hero1]:[Soldier3]])</f>
        <v>1</v>
      </c>
      <c r="P526" s="24">
        <v>1</v>
      </c>
      <c r="Q526" s="25" t="s">
        <v>912</v>
      </c>
      <c r="R526" s="24"/>
      <c r="S526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527" spans="2:19">
      <c r="B527" s="24" t="s">
        <v>851</v>
      </c>
      <c r="C527" s="34" t="s">
        <v>1289</v>
      </c>
      <c r="D527" s="24">
        <v>1</v>
      </c>
      <c r="E527" s="24">
        <v>0</v>
      </c>
      <c r="F527" s="24" t="s">
        <v>151</v>
      </c>
      <c r="G527" s="24" t="s">
        <v>1338</v>
      </c>
      <c r="H527" s="24"/>
      <c r="I527" s="24"/>
      <c r="J527" s="24"/>
      <c r="K527" s="24"/>
      <c r="L527" s="24" t="s">
        <v>34</v>
      </c>
      <c r="M527" s="24"/>
      <c r="N527" s="24"/>
      <c r="O527" s="26">
        <f>GET_OK_GROUPS_COUNT(tbStoryEnemy[[#This Row],[Camp]],tbStoryEnemy[[#This Row],[Difficulty]],tbStoryEnemy[[#This Row],[IsBoss]],tbStoryEnemy[[#This Row],[Hero1]:[Soldier3]])</f>
        <v>5</v>
      </c>
      <c r="P527" s="24">
        <v>4</v>
      </c>
      <c r="Q527" s="25" t="s">
        <v>912</v>
      </c>
      <c r="R527" s="24"/>
      <c r="S527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28" spans="2:19">
      <c r="B528" s="24" t="s">
        <v>851</v>
      </c>
      <c r="C528" s="34" t="s">
        <v>1289</v>
      </c>
      <c r="D528" s="24">
        <v>2</v>
      </c>
      <c r="E528" s="24">
        <v>0</v>
      </c>
      <c r="F528" s="24" t="s">
        <v>151</v>
      </c>
      <c r="G528" s="24" t="s">
        <v>1169</v>
      </c>
      <c r="H528" s="24"/>
      <c r="I528" s="24" t="s">
        <v>382</v>
      </c>
      <c r="J528" s="24"/>
      <c r="K528" s="24"/>
      <c r="L528" s="24"/>
      <c r="M528" s="24"/>
      <c r="N528" s="24"/>
      <c r="O528" s="26">
        <f>GET_OK_GROUPS_COUNT(tbStoryEnemy[[#This Row],[Camp]],tbStoryEnemy[[#This Row],[Difficulty]],tbStoryEnemy[[#This Row],[IsBoss]],tbStoryEnemy[[#This Row],[Hero1]:[Soldier3]])</f>
        <v>4</v>
      </c>
      <c r="P528" s="24">
        <v>4</v>
      </c>
      <c r="Q528" s="25" t="s">
        <v>912</v>
      </c>
      <c r="R528" s="24"/>
      <c r="S528" s="26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529" spans="2:19">
      <c r="B529" s="24" t="s">
        <v>852</v>
      </c>
      <c r="C529" s="34" t="s">
        <v>1289</v>
      </c>
      <c r="D529" s="24">
        <v>1</v>
      </c>
      <c r="E529" s="24">
        <v>0</v>
      </c>
      <c r="F529" s="24" t="s">
        <v>151</v>
      </c>
      <c r="G529" s="24" t="s">
        <v>1169</v>
      </c>
      <c r="H529" s="24"/>
      <c r="I529" s="24"/>
      <c r="J529" s="24"/>
      <c r="K529" s="24"/>
      <c r="L529" s="24" t="s">
        <v>447</v>
      </c>
      <c r="M529" s="24"/>
      <c r="N529" s="24"/>
      <c r="O529" s="26">
        <f>GET_OK_GROUPS_COUNT(tbStoryEnemy[[#This Row],[Camp]],tbStoryEnemy[[#This Row],[Difficulty]],tbStoryEnemy[[#This Row],[IsBoss]],tbStoryEnemy[[#This Row],[Hero1]:[Soldier3]])</f>
        <v>9</v>
      </c>
      <c r="P529" s="24">
        <v>3</v>
      </c>
      <c r="Q529" s="25" t="s">
        <v>912</v>
      </c>
      <c r="R529" s="24"/>
      <c r="S529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530" spans="2:19">
      <c r="B530" s="24" t="s">
        <v>852</v>
      </c>
      <c r="C530" s="34" t="s">
        <v>1289</v>
      </c>
      <c r="D530" s="24">
        <v>2</v>
      </c>
      <c r="E530" s="24">
        <v>0</v>
      </c>
      <c r="F530" s="24" t="s">
        <v>151</v>
      </c>
      <c r="G530" s="24" t="s">
        <v>1169</v>
      </c>
      <c r="H530" s="24" t="b">
        <v>1</v>
      </c>
      <c r="I530" s="24" t="s">
        <v>361</v>
      </c>
      <c r="J530" s="24" t="s">
        <v>381</v>
      </c>
      <c r="K530" s="24"/>
      <c r="L530" s="24"/>
      <c r="M530" s="24"/>
      <c r="N530" s="24"/>
      <c r="O530" s="26">
        <f>GET_OK_GROUPS_COUNT(tbStoryEnemy[[#This Row],[Camp]],tbStoryEnemy[[#This Row],[Difficulty]],tbStoryEnemy[[#This Row],[IsBoss]],tbStoryEnemy[[#This Row],[Hero1]:[Soldier3]])</f>
        <v>1</v>
      </c>
      <c r="P530" s="24">
        <v>1</v>
      </c>
      <c r="Q530" s="25" t="s">
        <v>361</v>
      </c>
      <c r="R530" s="24"/>
      <c r="S530" s="26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531" spans="2:19">
      <c r="B531" s="24" t="s">
        <v>853</v>
      </c>
      <c r="C531" s="34" t="s">
        <v>1289</v>
      </c>
      <c r="D531" s="24">
        <v>1</v>
      </c>
      <c r="E531" s="24">
        <v>0</v>
      </c>
      <c r="F531" s="24" t="s">
        <v>151</v>
      </c>
      <c r="G531" s="24" t="s">
        <v>1338</v>
      </c>
      <c r="H531" s="24"/>
      <c r="I531" s="24"/>
      <c r="J531" s="24"/>
      <c r="K531" s="24"/>
      <c r="L531" s="24" t="s">
        <v>34</v>
      </c>
      <c r="M531" s="24"/>
      <c r="N531" s="24"/>
      <c r="O531" s="26">
        <f>GET_OK_GROUPS_COUNT(tbStoryEnemy[[#This Row],[Camp]],tbStoryEnemy[[#This Row],[Difficulty]],tbStoryEnemy[[#This Row],[IsBoss]],tbStoryEnemy[[#This Row],[Hero1]:[Soldier3]])</f>
        <v>5</v>
      </c>
      <c r="P531" s="24">
        <v>4</v>
      </c>
      <c r="Q531" s="25" t="s">
        <v>912</v>
      </c>
      <c r="R531" s="24"/>
      <c r="S531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32" spans="2:19">
      <c r="B532" s="24" t="s">
        <v>853</v>
      </c>
      <c r="C532" s="34" t="s">
        <v>1289</v>
      </c>
      <c r="D532" s="24">
        <v>2</v>
      </c>
      <c r="E532" s="24">
        <v>0</v>
      </c>
      <c r="F532" s="24" t="s">
        <v>151</v>
      </c>
      <c r="G532" s="24" t="s">
        <v>1169</v>
      </c>
      <c r="H532" s="24"/>
      <c r="I532" s="24" t="s">
        <v>382</v>
      </c>
      <c r="J532" s="24"/>
      <c r="K532" s="24"/>
      <c r="L532" s="24" t="s">
        <v>26</v>
      </c>
      <c r="M532" s="24"/>
      <c r="N532" s="24"/>
      <c r="O532" s="26">
        <f>GET_OK_GROUPS_COUNT(tbStoryEnemy[[#This Row],[Camp]],tbStoryEnemy[[#This Row],[Difficulty]],tbStoryEnemy[[#This Row],[IsBoss]],tbStoryEnemy[[#This Row],[Hero1]:[Soldier3]])</f>
        <v>1</v>
      </c>
      <c r="P532" s="24">
        <v>1</v>
      </c>
      <c r="Q532" s="25" t="s">
        <v>912</v>
      </c>
      <c r="R532" s="24"/>
      <c r="S532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33" spans="2:19">
      <c r="B533" s="24" t="s">
        <v>854</v>
      </c>
      <c r="C533" s="34" t="s">
        <v>1289</v>
      </c>
      <c r="D533" s="24">
        <v>1</v>
      </c>
      <c r="E533" s="24">
        <v>0</v>
      </c>
      <c r="F533" s="24" t="s">
        <v>151</v>
      </c>
      <c r="G533" s="24" t="s">
        <v>1169</v>
      </c>
      <c r="H533" s="24"/>
      <c r="I533" s="24" t="s">
        <v>385</v>
      </c>
      <c r="J533" s="24"/>
      <c r="K533" s="24"/>
      <c r="L533" s="24" t="s">
        <v>49</v>
      </c>
      <c r="M533" s="24"/>
      <c r="N533" s="24"/>
      <c r="O533" s="26">
        <f>GET_OK_GROUPS_COUNT(tbStoryEnemy[[#This Row],[Camp]],tbStoryEnemy[[#This Row],[Difficulty]],tbStoryEnemy[[#This Row],[IsBoss]],tbStoryEnemy[[#This Row],[Hero1]:[Soldier3]])</f>
        <v>1</v>
      </c>
      <c r="P533" s="24">
        <v>1</v>
      </c>
      <c r="Q533" s="25" t="s">
        <v>912</v>
      </c>
      <c r="R533" s="24"/>
      <c r="S533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534" spans="2:19">
      <c r="B534" s="24" t="s">
        <v>854</v>
      </c>
      <c r="C534" s="34" t="s">
        <v>1289</v>
      </c>
      <c r="D534" s="24">
        <v>2</v>
      </c>
      <c r="E534" s="24">
        <v>0</v>
      </c>
      <c r="F534" s="24" t="s">
        <v>151</v>
      </c>
      <c r="G534" s="24" t="s">
        <v>1169</v>
      </c>
      <c r="H534" s="24"/>
      <c r="I534" s="24" t="s">
        <v>380</v>
      </c>
      <c r="J534" s="24" t="s">
        <v>385</v>
      </c>
      <c r="K534" s="24"/>
      <c r="L534" s="24"/>
      <c r="M534" s="24"/>
      <c r="N534" s="24"/>
      <c r="O534" s="26">
        <f>GET_OK_GROUPS_COUNT(tbStoryEnemy[[#This Row],[Camp]],tbStoryEnemy[[#This Row],[Difficulty]],tbStoryEnemy[[#This Row],[IsBoss]],tbStoryEnemy[[#This Row],[Hero1]:[Soldier3]])</f>
        <v>1</v>
      </c>
      <c r="P534" s="24">
        <v>1</v>
      </c>
      <c r="Q534" s="25" t="s">
        <v>912</v>
      </c>
      <c r="R534" s="24"/>
      <c r="S534" s="26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535" spans="2:19">
      <c r="B535" s="24" t="s">
        <v>855</v>
      </c>
      <c r="C535" s="34" t="s">
        <v>1289</v>
      </c>
      <c r="D535" s="24">
        <v>1</v>
      </c>
      <c r="E535" s="24">
        <v>0</v>
      </c>
      <c r="F535" s="24" t="s">
        <v>151</v>
      </c>
      <c r="G535" s="24" t="s">
        <v>1169</v>
      </c>
      <c r="H535" s="24"/>
      <c r="I535" s="24"/>
      <c r="J535" s="24"/>
      <c r="K535" s="24"/>
      <c r="L535" s="24" t="s">
        <v>25</v>
      </c>
      <c r="M535" s="24" t="s">
        <v>447</v>
      </c>
      <c r="N535" s="24"/>
      <c r="O535" s="26">
        <f>GET_OK_GROUPS_COUNT(tbStoryEnemy[[#This Row],[Camp]],tbStoryEnemy[[#This Row],[Difficulty]],tbStoryEnemy[[#This Row],[IsBoss]],tbStoryEnemy[[#This Row],[Hero1]:[Soldier3]])</f>
        <v>5</v>
      </c>
      <c r="P535" s="24">
        <v>1</v>
      </c>
      <c r="Q535" s="25" t="s">
        <v>912</v>
      </c>
      <c r="R535" s="24"/>
      <c r="S535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536" spans="2:19">
      <c r="B536" s="24" t="s">
        <v>855</v>
      </c>
      <c r="C536" s="34" t="s">
        <v>1289</v>
      </c>
      <c r="D536" s="24">
        <v>2</v>
      </c>
      <c r="E536" s="24">
        <v>0</v>
      </c>
      <c r="F536" s="24" t="s">
        <v>151</v>
      </c>
      <c r="G536" s="24" t="s">
        <v>1126</v>
      </c>
      <c r="H536" s="24" t="b">
        <v>1</v>
      </c>
      <c r="I536" s="24" t="s">
        <v>436</v>
      </c>
      <c r="J536" s="24" t="s">
        <v>382</v>
      </c>
      <c r="K536" s="24"/>
      <c r="L536" s="24"/>
      <c r="M536" s="24"/>
      <c r="N536" s="24"/>
      <c r="O536" s="26">
        <f>GET_OK_GROUPS_COUNT(tbStoryEnemy[[#This Row],[Camp]],tbStoryEnemy[[#This Row],[Difficulty]],tbStoryEnemy[[#This Row],[IsBoss]],tbStoryEnemy[[#This Row],[Hero1]:[Soldier3]])</f>
        <v>1</v>
      </c>
      <c r="P536" s="24">
        <v>1</v>
      </c>
      <c r="Q536" s="25" t="s">
        <v>436</v>
      </c>
      <c r="R536" s="24"/>
      <c r="S536" s="26" t="str">
        <f>GET_OK_GROUP(tbStoryEnemy[[#This Row],[Camp]],tbStoryEnemy[[#This Row],[Difficulty]],tbStoryEnemy[[#This Row],[IsBoss]],tbStoryEnemy[[#This Row],[Hero1]:[Soldier3]],tbStoryEnemy[[#This Row],[GroupID]])</f>
        <v>三国-超难-[B]铁英+法英</v>
      </c>
    </row>
    <row r="537" spans="2:19">
      <c r="B537" s="24" t="s">
        <v>856</v>
      </c>
      <c r="C537" s="34" t="s">
        <v>1289</v>
      </c>
      <c r="D537" s="24">
        <v>1</v>
      </c>
      <c r="E537" s="24">
        <v>0</v>
      </c>
      <c r="F537" s="24" t="s">
        <v>151</v>
      </c>
      <c r="G537" s="24" t="s">
        <v>1338</v>
      </c>
      <c r="H537" s="24"/>
      <c r="I537" s="24"/>
      <c r="J537" s="24"/>
      <c r="K537" s="24"/>
      <c r="L537" s="24" t="s">
        <v>25</v>
      </c>
      <c r="M537" s="24" t="s">
        <v>26</v>
      </c>
      <c r="N537" s="24"/>
      <c r="O537" s="26">
        <f>GET_OK_GROUPS_COUNT(tbStoryEnemy[[#This Row],[Camp]],tbStoryEnemy[[#This Row],[Difficulty]],tbStoryEnemy[[#This Row],[IsBoss]],tbStoryEnemy[[#This Row],[Hero1]:[Soldier3]])</f>
        <v>1</v>
      </c>
      <c r="P537" s="24">
        <v>1</v>
      </c>
      <c r="Q537" s="25" t="s">
        <v>912</v>
      </c>
      <c r="R537" s="24"/>
      <c r="S537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38" spans="2:19">
      <c r="B538" s="24" t="s">
        <v>856</v>
      </c>
      <c r="C538" s="34" t="s">
        <v>1289</v>
      </c>
      <c r="D538" s="24">
        <v>2</v>
      </c>
      <c r="E538" s="24">
        <v>0</v>
      </c>
      <c r="F538" s="24" t="s">
        <v>151</v>
      </c>
      <c r="G538" s="24" t="s">
        <v>1169</v>
      </c>
      <c r="H538" s="24"/>
      <c r="I538" s="24" t="s">
        <v>380</v>
      </c>
      <c r="J538" s="24"/>
      <c r="K538" s="24"/>
      <c r="L538" s="24" t="s">
        <v>447</v>
      </c>
      <c r="M538" s="24"/>
      <c r="N538" s="24"/>
      <c r="O538" s="26">
        <f>GET_OK_GROUPS_COUNT(tbStoryEnemy[[#This Row],[Camp]],tbStoryEnemy[[#This Row],[Difficulty]],tbStoryEnemy[[#This Row],[IsBoss]],tbStoryEnemy[[#This Row],[Hero1]:[Soldier3]])</f>
        <v>1</v>
      </c>
      <c r="P538" s="24">
        <v>1</v>
      </c>
      <c r="Q538" s="25" t="s">
        <v>912</v>
      </c>
      <c r="R538" s="24"/>
      <c r="S538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539" spans="2:19">
      <c r="B539" s="24" t="s">
        <v>857</v>
      </c>
      <c r="C539" s="34" t="s">
        <v>1289</v>
      </c>
      <c r="D539" s="24">
        <v>1</v>
      </c>
      <c r="E539" s="24">
        <v>0</v>
      </c>
      <c r="F539" s="24" t="s">
        <v>151</v>
      </c>
      <c r="G539" s="24" t="s">
        <v>1169</v>
      </c>
      <c r="H539" s="24"/>
      <c r="I539" s="24" t="s">
        <v>382</v>
      </c>
      <c r="J539" s="24"/>
      <c r="K539" s="24"/>
      <c r="L539" s="24" t="s">
        <v>447</v>
      </c>
      <c r="M539" s="24"/>
      <c r="N539" s="24"/>
      <c r="O539" s="26">
        <f>GET_OK_GROUPS_COUNT(tbStoryEnemy[[#This Row],[Camp]],tbStoryEnemy[[#This Row],[Difficulty]],tbStoryEnemy[[#This Row],[IsBoss]],tbStoryEnemy[[#This Row],[Hero1]:[Soldier3]])</f>
        <v>1</v>
      </c>
      <c r="P539" s="24">
        <v>1</v>
      </c>
      <c r="Q539" s="25" t="s">
        <v>912</v>
      </c>
      <c r="R539" s="24"/>
      <c r="S539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540" spans="2:19">
      <c r="B540" s="24" t="s">
        <v>857</v>
      </c>
      <c r="C540" s="34" t="s">
        <v>1289</v>
      </c>
      <c r="D540" s="24">
        <v>2</v>
      </c>
      <c r="E540" s="24">
        <v>0</v>
      </c>
      <c r="F540" s="24" t="s">
        <v>151</v>
      </c>
      <c r="G540" s="24" t="s">
        <v>1169</v>
      </c>
      <c r="H540" s="24"/>
      <c r="I540" s="24" t="s">
        <v>380</v>
      </c>
      <c r="J540" s="24" t="s">
        <v>380</v>
      </c>
      <c r="K540" s="24"/>
      <c r="L540" s="24"/>
      <c r="M540" s="24"/>
      <c r="N540" s="24"/>
      <c r="O540" s="26">
        <f>GET_OK_GROUPS_COUNT(tbStoryEnemy[[#This Row],[Camp]],tbStoryEnemy[[#This Row],[Difficulty]],tbStoryEnemy[[#This Row],[IsBoss]],tbStoryEnemy[[#This Row],[Hero1]:[Soldier3]])</f>
        <v>1</v>
      </c>
      <c r="P540" s="24">
        <v>1</v>
      </c>
      <c r="Q540" s="25" t="s">
        <v>912</v>
      </c>
      <c r="R540" s="24"/>
      <c r="S540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541" spans="2:19">
      <c r="B541" s="24" t="s">
        <v>858</v>
      </c>
      <c r="C541" s="34" t="s">
        <v>1289</v>
      </c>
      <c r="D541" s="24">
        <v>1</v>
      </c>
      <c r="E541" s="24">
        <v>0</v>
      </c>
      <c r="F541" s="24" t="s">
        <v>151</v>
      </c>
      <c r="G541" s="24" t="s">
        <v>1169</v>
      </c>
      <c r="H541" s="24"/>
      <c r="I541" s="24"/>
      <c r="J541" s="24"/>
      <c r="K541" s="24"/>
      <c r="L541" s="24" t="s">
        <v>28</v>
      </c>
      <c r="M541" s="24"/>
      <c r="N541" s="24"/>
      <c r="O541" s="26">
        <f>GET_OK_GROUPS_COUNT(tbStoryEnemy[[#This Row],[Camp]],tbStoryEnemy[[#This Row],[Difficulty]],tbStoryEnemy[[#This Row],[IsBoss]],tbStoryEnemy[[#This Row],[Hero1]:[Soldier3]])</f>
        <v>9</v>
      </c>
      <c r="P541" s="24">
        <v>2</v>
      </c>
      <c r="Q541" s="25" t="s">
        <v>912</v>
      </c>
      <c r="R541" s="24"/>
      <c r="S541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542" spans="2:19">
      <c r="B542" s="24" t="s">
        <v>858</v>
      </c>
      <c r="C542" s="34" t="s">
        <v>1289</v>
      </c>
      <c r="D542" s="24">
        <v>2</v>
      </c>
      <c r="E542" s="24">
        <v>0</v>
      </c>
      <c r="F542" s="24" t="s">
        <v>151</v>
      </c>
      <c r="G542" s="24" t="s">
        <v>1126</v>
      </c>
      <c r="H542" s="24" t="b">
        <v>1</v>
      </c>
      <c r="I542" s="24" t="s">
        <v>1187</v>
      </c>
      <c r="J542" s="24" t="s">
        <v>383</v>
      </c>
      <c r="K542" s="24"/>
      <c r="L542" s="24"/>
      <c r="M542" s="24"/>
      <c r="N542" s="24"/>
      <c r="O542" s="26">
        <f>GET_OK_GROUPS_COUNT(tbStoryEnemy[[#This Row],[Camp]],tbStoryEnemy[[#This Row],[Difficulty]],tbStoryEnemy[[#This Row],[IsBoss]],tbStoryEnemy[[#This Row],[Hero1]:[Soldier3]])</f>
        <v>1</v>
      </c>
      <c r="P542" s="24">
        <v>1</v>
      </c>
      <c r="Q542" s="25" t="s">
        <v>1187</v>
      </c>
      <c r="R542" s="24"/>
      <c r="S542" s="26" t="str">
        <f>GET_OK_GROUP(tbStoryEnemy[[#This Row],[Camp]],tbStoryEnemy[[#This Row],[Difficulty]],tbStoryEnemy[[#This Row],[IsBoss]],tbStoryEnemy[[#This Row],[Hero1]:[Soldier3]],tbStoryEnemy[[#This Row],[GroupID]])</f>
        <v>三国-超难-[B]炼英+炼英</v>
      </c>
    </row>
    <row r="543" spans="2:19">
      <c r="B543" s="24" t="s">
        <v>859</v>
      </c>
      <c r="C543" s="34" t="s">
        <v>1289</v>
      </c>
      <c r="D543" s="24">
        <v>1</v>
      </c>
      <c r="E543" s="24">
        <v>0</v>
      </c>
      <c r="F543" s="24" t="s">
        <v>151</v>
      </c>
      <c r="G543" s="24" t="s">
        <v>1169</v>
      </c>
      <c r="H543" s="24"/>
      <c r="I543" s="24"/>
      <c r="J543" s="24"/>
      <c r="K543" s="24"/>
      <c r="L543" s="24" t="s">
        <v>34</v>
      </c>
      <c r="M543" s="24"/>
      <c r="N543" s="24"/>
      <c r="O543" s="26">
        <f>GET_OK_GROUPS_COUNT(tbStoryEnemy[[#This Row],[Camp]],tbStoryEnemy[[#This Row],[Difficulty]],tbStoryEnemy[[#This Row],[IsBoss]],tbStoryEnemy[[#This Row],[Hero1]:[Soldier3]])</f>
        <v>14</v>
      </c>
      <c r="P543" s="24">
        <v>4</v>
      </c>
      <c r="Q543" s="25" t="s">
        <v>912</v>
      </c>
      <c r="R543" s="24"/>
      <c r="S543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544" spans="2:19">
      <c r="B544" s="24" t="s">
        <v>859</v>
      </c>
      <c r="C544" s="34" t="s">
        <v>1289</v>
      </c>
      <c r="D544" s="24">
        <v>2</v>
      </c>
      <c r="E544" s="24">
        <v>0</v>
      </c>
      <c r="F544" s="24" t="s">
        <v>151</v>
      </c>
      <c r="G544" s="24" t="s">
        <v>1169</v>
      </c>
      <c r="H544" s="24"/>
      <c r="I544" s="24" t="s">
        <v>382</v>
      </c>
      <c r="J544" s="24"/>
      <c r="K544" s="24"/>
      <c r="L544" s="24" t="s">
        <v>26</v>
      </c>
      <c r="M544" s="24"/>
      <c r="N544" s="24"/>
      <c r="O544" s="26">
        <f>GET_OK_GROUPS_COUNT(tbStoryEnemy[[#This Row],[Camp]],tbStoryEnemy[[#This Row],[Difficulty]],tbStoryEnemy[[#This Row],[IsBoss]],tbStoryEnemy[[#This Row],[Hero1]:[Soldier3]])</f>
        <v>1</v>
      </c>
      <c r="P544" s="24">
        <v>1</v>
      </c>
      <c r="Q544" s="25" t="s">
        <v>912</v>
      </c>
      <c r="R544" s="24"/>
      <c r="S54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45" spans="2:19">
      <c r="B545" s="24" t="s">
        <v>860</v>
      </c>
      <c r="C545" s="34" t="s">
        <v>1289</v>
      </c>
      <c r="D545" s="24">
        <v>1</v>
      </c>
      <c r="E545" s="24">
        <v>0</v>
      </c>
      <c r="F545" s="24" t="s">
        <v>151</v>
      </c>
      <c r="G545" s="24" t="s">
        <v>1169</v>
      </c>
      <c r="H545" s="24"/>
      <c r="I545" s="24"/>
      <c r="J545" s="24"/>
      <c r="K545" s="24"/>
      <c r="L545" s="24" t="s">
        <v>34</v>
      </c>
      <c r="M545" s="24" t="s">
        <v>26</v>
      </c>
      <c r="N545" s="24"/>
      <c r="O545" s="26">
        <f>GET_OK_GROUPS_COUNT(tbStoryEnemy[[#This Row],[Camp]],tbStoryEnemy[[#This Row],[Difficulty]],tbStoryEnemy[[#This Row],[IsBoss]],tbStoryEnemy[[#This Row],[Hero1]:[Soldier3]])</f>
        <v>5</v>
      </c>
      <c r="P545" s="24">
        <v>1</v>
      </c>
      <c r="Q545" s="25" t="s">
        <v>912</v>
      </c>
      <c r="R545" s="24"/>
      <c r="S545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546" spans="2:19">
      <c r="B546" s="24" t="s">
        <v>860</v>
      </c>
      <c r="C546" s="34" t="s">
        <v>1289</v>
      </c>
      <c r="D546" s="24">
        <v>2</v>
      </c>
      <c r="E546" s="24">
        <v>0</v>
      </c>
      <c r="F546" s="24" t="s">
        <v>151</v>
      </c>
      <c r="G546" s="24" t="s">
        <v>1126</v>
      </c>
      <c r="H546" s="24"/>
      <c r="I546" s="24" t="s">
        <v>384</v>
      </c>
      <c r="J546" s="24" t="s">
        <v>380</v>
      </c>
      <c r="K546" s="24"/>
      <c r="L546" s="24"/>
      <c r="M546" s="24"/>
      <c r="N546" s="24"/>
      <c r="O546" s="26">
        <f>GET_OK_GROUPS_COUNT(tbStoryEnemy[[#This Row],[Camp]],tbStoryEnemy[[#This Row],[Difficulty]],tbStoryEnemy[[#This Row],[IsBoss]],tbStoryEnemy[[#This Row],[Hero1]:[Soldier3]])</f>
        <v>1</v>
      </c>
      <c r="P546" s="24">
        <v>1</v>
      </c>
      <c r="Q546" s="25" t="s">
        <v>912</v>
      </c>
      <c r="R546" s="24"/>
      <c r="S546" s="26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547" spans="2:19">
      <c r="B547" s="24" t="s">
        <v>861</v>
      </c>
      <c r="C547" s="34" t="s">
        <v>1289</v>
      </c>
      <c r="D547" s="24">
        <v>1</v>
      </c>
      <c r="E547" s="24">
        <v>0</v>
      </c>
      <c r="F547" s="24" t="s">
        <v>151</v>
      </c>
      <c r="G547" s="24" t="s">
        <v>1126</v>
      </c>
      <c r="H547" s="24"/>
      <c r="I547" s="24" t="s">
        <v>381</v>
      </c>
      <c r="J547" s="34" t="s">
        <v>1177</v>
      </c>
      <c r="K547" s="24"/>
      <c r="L547" s="24"/>
      <c r="M547" s="24"/>
      <c r="N547" s="24"/>
      <c r="O547" s="26">
        <f>GET_OK_GROUPS_COUNT(tbStoryEnemy[[#This Row],[Camp]],tbStoryEnemy[[#This Row],[Difficulty]],tbStoryEnemy[[#This Row],[IsBoss]],tbStoryEnemy[[#This Row],[Hero1]:[Soldier3]])</f>
        <v>1</v>
      </c>
      <c r="P547" s="24">
        <v>1</v>
      </c>
      <c r="Q547" s="25" t="s">
        <v>912</v>
      </c>
      <c r="R547" s="24"/>
      <c r="S547" s="26" t="str">
        <f>GET_OK_GROUP(tbStoryEnemy[[#This Row],[Camp]],tbStoryEnemy[[#This Row],[Difficulty]],tbStoryEnemy[[#This Row],[IsBoss]],tbStoryEnemy[[#This Row],[Hero1]:[Soldier3]],tbStoryEnemy[[#This Row],[GroupID]])</f>
        <v>三国-超难-盾英+强英</v>
      </c>
    </row>
    <row r="548" spans="2:19">
      <c r="B548" s="24" t="s">
        <v>861</v>
      </c>
      <c r="C548" s="34" t="s">
        <v>1289</v>
      </c>
      <c r="D548" s="24">
        <v>2</v>
      </c>
      <c r="E548" s="24">
        <v>0</v>
      </c>
      <c r="F548" s="24" t="s">
        <v>151</v>
      </c>
      <c r="G548" s="24" t="s">
        <v>1126</v>
      </c>
      <c r="H548" s="24" t="b">
        <v>1</v>
      </c>
      <c r="I548" s="24" t="s">
        <v>437</v>
      </c>
      <c r="J548" s="24" t="s">
        <v>381</v>
      </c>
      <c r="K548" s="24"/>
      <c r="L548" s="24"/>
      <c r="M548" s="24"/>
      <c r="N548" s="24"/>
      <c r="O548" s="26">
        <f>GET_OK_GROUPS_COUNT(tbStoryEnemy[[#This Row],[Camp]],tbStoryEnemy[[#This Row],[Difficulty]],tbStoryEnemy[[#This Row],[IsBoss]],tbStoryEnemy[[#This Row],[Hero1]:[Soldier3]])</f>
        <v>1</v>
      </c>
      <c r="P548" s="24">
        <v>1</v>
      </c>
      <c r="Q548" s="25" t="s">
        <v>437</v>
      </c>
      <c r="R548" s="24"/>
      <c r="S548" s="26" t="str">
        <f>GET_OK_GROUP(tbStoryEnemy[[#This Row],[Camp]],tbStoryEnemy[[#This Row],[Difficulty]],tbStoryEnemy[[#This Row],[IsBoss]],tbStoryEnemy[[#This Row],[Hero1]:[Soldier3]],tbStoryEnemy[[#This Row],[GroupID]])</f>
        <v>三国-超难-[B]强英+强英</v>
      </c>
    </row>
    <row r="549" spans="2:19">
      <c r="B549" s="24" t="s">
        <v>862</v>
      </c>
      <c r="C549" s="34" t="s">
        <v>1289</v>
      </c>
      <c r="D549" s="24">
        <v>1</v>
      </c>
      <c r="E549" s="24">
        <v>0</v>
      </c>
      <c r="F549" s="24" t="s">
        <v>151</v>
      </c>
      <c r="G549" s="24" t="s">
        <v>1338</v>
      </c>
      <c r="H549" s="24"/>
      <c r="I549" s="24"/>
      <c r="J549" s="24"/>
      <c r="K549" s="24"/>
      <c r="L549" s="24" t="s">
        <v>25</v>
      </c>
      <c r="M549" s="24" t="s">
        <v>447</v>
      </c>
      <c r="N549" s="24"/>
      <c r="O549" s="26">
        <f>GET_OK_GROUPS_COUNT(tbStoryEnemy[[#This Row],[Camp]],tbStoryEnemy[[#This Row],[Difficulty]],tbStoryEnemy[[#This Row],[IsBoss]],tbStoryEnemy[[#This Row],[Hero1]:[Soldier3]])</f>
        <v>1</v>
      </c>
      <c r="P549" s="24">
        <v>1</v>
      </c>
      <c r="Q549" s="25" t="s">
        <v>912</v>
      </c>
      <c r="R549" s="24"/>
      <c r="S549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50" spans="2:19">
      <c r="B550" s="24" t="s">
        <v>862</v>
      </c>
      <c r="C550" s="34" t="s">
        <v>1289</v>
      </c>
      <c r="D550" s="24">
        <v>2</v>
      </c>
      <c r="E550" s="24">
        <v>0</v>
      </c>
      <c r="F550" s="24" t="s">
        <v>151</v>
      </c>
      <c r="G550" s="24" t="s">
        <v>1169</v>
      </c>
      <c r="H550" s="24"/>
      <c r="I550" s="24" t="s">
        <v>380</v>
      </c>
      <c r="J550" s="24" t="s">
        <v>382</v>
      </c>
      <c r="K550" s="24"/>
      <c r="L550" s="24"/>
      <c r="M550" s="24"/>
      <c r="N550" s="24"/>
      <c r="O550" s="26">
        <f>GET_OK_GROUPS_COUNT(tbStoryEnemy[[#This Row],[Camp]],tbStoryEnemy[[#This Row],[Difficulty]],tbStoryEnemy[[#This Row],[IsBoss]],tbStoryEnemy[[#This Row],[Hero1]:[Soldier3]])</f>
        <v>1</v>
      </c>
      <c r="P550" s="24">
        <v>1</v>
      </c>
      <c r="Q550" s="25" t="s">
        <v>912</v>
      </c>
      <c r="R550" s="24"/>
      <c r="S550" s="26" t="str">
        <f>GET_OK_GROUP(tbStoryEnemy[[#This Row],[Camp]],tbStoryEnemy[[#This Row],[Difficulty]],tbStoryEnemy[[#This Row],[IsBoss]],tbStoryEnemy[[#This Row],[Hero1]:[Soldier3]],tbStoryEnemy[[#This Row],[GroupID]])</f>
        <v>三国-困难-铁英+盾英</v>
      </c>
    </row>
    <row r="551" spans="2:19">
      <c r="B551" s="24" t="s">
        <v>863</v>
      </c>
      <c r="C551" s="34" t="s">
        <v>1289</v>
      </c>
      <c r="D551" s="24">
        <v>1</v>
      </c>
      <c r="E551" s="24">
        <v>0</v>
      </c>
      <c r="F551" s="24" t="s">
        <v>151</v>
      </c>
      <c r="G551" s="24" t="s">
        <v>1338</v>
      </c>
      <c r="H551" s="24"/>
      <c r="I551" s="24"/>
      <c r="J551" s="24"/>
      <c r="K551" s="24"/>
      <c r="L551" s="24" t="s">
        <v>49</v>
      </c>
      <c r="M551" s="24"/>
      <c r="N551" s="24"/>
      <c r="O551" s="26">
        <f>GET_OK_GROUPS_COUNT(tbStoryEnemy[[#This Row],[Camp]],tbStoryEnemy[[#This Row],[Difficulty]],tbStoryEnemy[[#This Row],[IsBoss]],tbStoryEnemy[[#This Row],[Hero1]:[Soldier3]])</f>
        <v>1</v>
      </c>
      <c r="P551" s="24">
        <v>1</v>
      </c>
      <c r="Q551" s="25" t="s">
        <v>912</v>
      </c>
      <c r="R551" s="24"/>
      <c r="S551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52" spans="2:19">
      <c r="B552" s="24" t="s">
        <v>863</v>
      </c>
      <c r="C552" s="34" t="s">
        <v>1289</v>
      </c>
      <c r="D552" s="24">
        <v>2</v>
      </c>
      <c r="E552" s="24">
        <v>0</v>
      </c>
      <c r="F552" s="24" t="s">
        <v>151</v>
      </c>
      <c r="G552" s="24" t="s">
        <v>1169</v>
      </c>
      <c r="H552" s="24"/>
      <c r="I552" s="24" t="s">
        <v>385</v>
      </c>
      <c r="J552" s="24"/>
      <c r="K552" s="24"/>
      <c r="L552" s="24" t="s">
        <v>25</v>
      </c>
      <c r="M552" s="24"/>
      <c r="N552" s="24"/>
      <c r="O552" s="26">
        <f>GET_OK_GROUPS_COUNT(tbStoryEnemy[[#This Row],[Camp]],tbStoryEnemy[[#This Row],[Difficulty]],tbStoryEnemy[[#This Row],[IsBoss]],tbStoryEnemy[[#This Row],[Hero1]:[Soldier3]])</f>
        <v>1</v>
      </c>
      <c r="P552" s="24">
        <v>1</v>
      </c>
      <c r="Q552" s="25" t="s">
        <v>912</v>
      </c>
      <c r="R552" s="24"/>
      <c r="S552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553" spans="2:19">
      <c r="B553" s="24" t="s">
        <v>864</v>
      </c>
      <c r="C553" s="34" t="s">
        <v>1289</v>
      </c>
      <c r="D553" s="24">
        <v>1</v>
      </c>
      <c r="E553" s="24">
        <v>0</v>
      </c>
      <c r="F553" s="24" t="s">
        <v>151</v>
      </c>
      <c r="G553" s="24" t="s">
        <v>1169</v>
      </c>
      <c r="H553" s="24"/>
      <c r="I553" s="24"/>
      <c r="J553" s="24"/>
      <c r="K553" s="24"/>
      <c r="L553" s="24" t="s">
        <v>448</v>
      </c>
      <c r="M553" s="24"/>
      <c r="N553" s="24"/>
      <c r="O553" s="26">
        <f>GET_OK_GROUPS_COUNT(tbStoryEnemy[[#This Row],[Camp]],tbStoryEnemy[[#This Row],[Difficulty]],tbStoryEnemy[[#This Row],[IsBoss]],tbStoryEnemy[[#This Row],[Hero1]:[Soldier3]])</f>
        <v>10</v>
      </c>
      <c r="P553" s="24">
        <v>1</v>
      </c>
      <c r="Q553" s="25" t="s">
        <v>912</v>
      </c>
      <c r="R553" s="24"/>
      <c r="S553" s="26" t="str">
        <f>GET_OK_GROUP(tbStoryEnemy[[#This Row],[Camp]],tbStoryEnemy[[#This Row],[Difficulty]],tbStoryEnemy[[#This Row],[IsBoss]],tbStoryEnemy[[#This Row],[Hero1]:[Soldier3]],tbStoryEnemy[[#This Row],[GroupID]])</f>
        <v>三国-困难-刺兵</v>
      </c>
    </row>
    <row r="554" spans="2:19">
      <c r="B554" s="24" t="s">
        <v>864</v>
      </c>
      <c r="C554" s="34" t="s">
        <v>1289</v>
      </c>
      <c r="D554" s="24">
        <v>2</v>
      </c>
      <c r="E554" s="24">
        <v>0</v>
      </c>
      <c r="F554" s="24" t="s">
        <v>151</v>
      </c>
      <c r="G554" s="24" t="s">
        <v>1169</v>
      </c>
      <c r="H554" s="24" t="b">
        <v>1</v>
      </c>
      <c r="I554" s="24" t="s">
        <v>421</v>
      </c>
      <c r="J554" s="24" t="s">
        <v>381</v>
      </c>
      <c r="K554" s="24"/>
      <c r="L554" s="24"/>
      <c r="M554" s="24"/>
      <c r="N554" s="24"/>
      <c r="O554" s="26">
        <f>GET_OK_GROUPS_COUNT(tbStoryEnemy[[#This Row],[Camp]],tbStoryEnemy[[#This Row],[Difficulty]],tbStoryEnemy[[#This Row],[IsBoss]],tbStoryEnemy[[#This Row],[Hero1]:[Soldier3]])</f>
        <v>1</v>
      </c>
      <c r="P554" s="24">
        <v>1</v>
      </c>
      <c r="Q554" s="25" t="s">
        <v>421</v>
      </c>
      <c r="R554" s="24"/>
      <c r="S554" s="26" t="str">
        <f>GET_OK_GROUP(tbStoryEnemy[[#This Row],[Camp]],tbStoryEnemy[[#This Row],[Difficulty]],tbStoryEnemy[[#This Row],[IsBoss]],tbStoryEnemy[[#This Row],[Hero1]:[Soldier3]],tbStoryEnemy[[#This Row],[GroupID]])</f>
        <v>三国-困难-[B]强英+刺英</v>
      </c>
    </row>
    <row r="555" spans="2:19">
      <c r="B555" s="24" t="s">
        <v>865</v>
      </c>
      <c r="C555" s="34" t="s">
        <v>1289</v>
      </c>
      <c r="D555" s="24">
        <v>1</v>
      </c>
      <c r="E555" s="24">
        <v>0</v>
      </c>
      <c r="F555" s="24" t="s">
        <v>151</v>
      </c>
      <c r="G555" s="24" t="s">
        <v>1338</v>
      </c>
      <c r="H555" s="24"/>
      <c r="I555" s="24"/>
      <c r="J555" s="24"/>
      <c r="K555" s="24"/>
      <c r="L555" s="24" t="s">
        <v>34</v>
      </c>
      <c r="M555" s="24" t="s">
        <v>447</v>
      </c>
      <c r="N555" s="24"/>
      <c r="O555" s="26">
        <f>GET_OK_GROUPS_COUNT(tbStoryEnemy[[#This Row],[Camp]],tbStoryEnemy[[#This Row],[Difficulty]],tbStoryEnemy[[#This Row],[IsBoss]],tbStoryEnemy[[#This Row],[Hero1]:[Soldier3]])</f>
        <v>1</v>
      </c>
      <c r="P555" s="24">
        <v>1</v>
      </c>
      <c r="Q555" s="25" t="s">
        <v>912</v>
      </c>
      <c r="R555" s="24"/>
      <c r="S555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56" spans="2:19">
      <c r="B556" s="24" t="s">
        <v>865</v>
      </c>
      <c r="C556" s="34" t="s">
        <v>1289</v>
      </c>
      <c r="D556" s="24">
        <v>2</v>
      </c>
      <c r="E556" s="24">
        <v>0</v>
      </c>
      <c r="F556" s="24" t="s">
        <v>151</v>
      </c>
      <c r="G556" s="24" t="s">
        <v>1169</v>
      </c>
      <c r="H556" s="24"/>
      <c r="I556" s="24" t="s">
        <v>380</v>
      </c>
      <c r="J556" s="24"/>
      <c r="K556" s="24"/>
      <c r="L556" s="24" t="s">
        <v>26</v>
      </c>
      <c r="M556" s="24"/>
      <c r="N556" s="24"/>
      <c r="O556" s="26">
        <f>GET_OK_GROUPS_COUNT(tbStoryEnemy[[#This Row],[Camp]],tbStoryEnemy[[#This Row],[Difficulty]],tbStoryEnemy[[#This Row],[IsBoss]],tbStoryEnemy[[#This Row],[Hero1]:[Soldier3]])</f>
        <v>1</v>
      </c>
      <c r="P556" s="24">
        <v>1</v>
      </c>
      <c r="Q556" s="25" t="s">
        <v>912</v>
      </c>
      <c r="R556" s="24"/>
      <c r="S556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57" spans="2:19">
      <c r="B557" s="24" t="s">
        <v>866</v>
      </c>
      <c r="C557" s="34" t="s">
        <v>1289</v>
      </c>
      <c r="D557" s="24">
        <v>1</v>
      </c>
      <c r="E557" s="24">
        <v>0</v>
      </c>
      <c r="F557" s="24" t="s">
        <v>151</v>
      </c>
      <c r="G557" s="24" t="s">
        <v>1169</v>
      </c>
      <c r="H557" s="24"/>
      <c r="I557" s="24"/>
      <c r="J557" s="24"/>
      <c r="K557" s="24"/>
      <c r="L557" s="24" t="s">
        <v>28</v>
      </c>
      <c r="M557" s="24"/>
      <c r="N557" s="24"/>
      <c r="O557" s="26">
        <f>GET_OK_GROUPS_COUNT(tbStoryEnemy[[#This Row],[Camp]],tbStoryEnemy[[#This Row],[Difficulty]],tbStoryEnemy[[#This Row],[IsBoss]],tbStoryEnemy[[#This Row],[Hero1]:[Soldier3]])</f>
        <v>9</v>
      </c>
      <c r="P557" s="24">
        <v>3</v>
      </c>
      <c r="Q557" s="25" t="s">
        <v>912</v>
      </c>
      <c r="R557" s="24"/>
      <c r="S557" s="26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558" spans="2:19">
      <c r="B558" s="24" t="s">
        <v>866</v>
      </c>
      <c r="C558" s="34" t="s">
        <v>1289</v>
      </c>
      <c r="D558" s="24">
        <v>2</v>
      </c>
      <c r="E558" s="24">
        <v>0</v>
      </c>
      <c r="F558" s="24" t="s">
        <v>151</v>
      </c>
      <c r="G558" s="24" t="s">
        <v>1169</v>
      </c>
      <c r="H558" s="24"/>
      <c r="I558" s="24" t="s">
        <v>382</v>
      </c>
      <c r="J558" s="24" t="s">
        <v>382</v>
      </c>
      <c r="K558" s="24"/>
      <c r="L558" s="24"/>
      <c r="M558" s="24"/>
      <c r="N558" s="24"/>
      <c r="O558" s="26">
        <f>GET_OK_GROUPS_COUNT(tbStoryEnemy[[#This Row],[Camp]],tbStoryEnemy[[#This Row],[Difficulty]],tbStoryEnemy[[#This Row],[IsBoss]],tbStoryEnemy[[#This Row],[Hero1]:[Soldier3]])</f>
        <v>1</v>
      </c>
      <c r="P558" s="24">
        <v>1</v>
      </c>
      <c r="Q558" s="25" t="s">
        <v>912</v>
      </c>
      <c r="R558" s="24"/>
      <c r="S558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559" spans="2:19">
      <c r="B559" s="24" t="s">
        <v>867</v>
      </c>
      <c r="C559" s="34" t="s">
        <v>1289</v>
      </c>
      <c r="D559" s="24">
        <v>1</v>
      </c>
      <c r="E559" s="24">
        <v>0</v>
      </c>
      <c r="F559" s="24" t="s">
        <v>151</v>
      </c>
      <c r="G559" s="24" t="s">
        <v>1169</v>
      </c>
      <c r="H559" s="24"/>
      <c r="I559" s="24" t="s">
        <v>382</v>
      </c>
      <c r="J559" s="24"/>
      <c r="K559" s="24"/>
      <c r="L559" s="24" t="s">
        <v>28</v>
      </c>
      <c r="M559" s="24"/>
      <c r="N559" s="24"/>
      <c r="O559" s="26">
        <f>GET_OK_GROUPS_COUNT(tbStoryEnemy[[#This Row],[Camp]],tbStoryEnemy[[#This Row],[Difficulty]],tbStoryEnemy[[#This Row],[IsBoss]],tbStoryEnemy[[#This Row],[Hero1]:[Soldier3]])</f>
        <v>1</v>
      </c>
      <c r="P559" s="24">
        <v>1</v>
      </c>
      <c r="Q559" s="25" t="s">
        <v>912</v>
      </c>
      <c r="R559" s="24"/>
      <c r="S559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560" spans="2:19">
      <c r="B560" s="24" t="s">
        <v>867</v>
      </c>
      <c r="C560" s="34" t="s">
        <v>1289</v>
      </c>
      <c r="D560" s="24">
        <v>2</v>
      </c>
      <c r="E560" s="24">
        <v>0</v>
      </c>
      <c r="F560" s="24" t="s">
        <v>151</v>
      </c>
      <c r="G560" s="24" t="s">
        <v>1126</v>
      </c>
      <c r="H560" s="24" t="b">
        <v>1</v>
      </c>
      <c r="I560" s="24" t="s">
        <v>410</v>
      </c>
      <c r="J560" s="24" t="s">
        <v>380</v>
      </c>
      <c r="K560" s="24" t="s">
        <v>383</v>
      </c>
      <c r="L560" s="24"/>
      <c r="M560" s="24"/>
      <c r="N560" s="24"/>
      <c r="O560" s="26">
        <f>GET_OK_GROUPS_COUNT(tbStoryEnemy[[#This Row],[Camp]],tbStoryEnemy[[#This Row],[Difficulty]],tbStoryEnemy[[#This Row],[IsBoss]],tbStoryEnemy[[#This Row],[Hero1]:[Soldier3]])</f>
        <v>1</v>
      </c>
      <c r="P560" s="24">
        <v>1</v>
      </c>
      <c r="Q560" s="25" t="s">
        <v>410</v>
      </c>
      <c r="R560" s="24"/>
      <c r="S560" s="26" t="str">
        <f>GET_OK_GROUP(tbStoryEnemy[[#This Row],[Camp]],tbStoryEnemy[[#This Row],[Difficulty]],tbStoryEnemy[[#This Row],[IsBoss]],tbStoryEnemy[[#This Row],[Hero1]:[Soldier3]],tbStoryEnemy[[#This Row],[GroupID]])</f>
        <v>三国-超难-[B]盾英+盾英+炼英</v>
      </c>
    </row>
    <row r="561" spans="2:19">
      <c r="B561" s="24" t="s">
        <v>868</v>
      </c>
      <c r="C561" s="34" t="s">
        <v>1289</v>
      </c>
      <c r="D561" s="24">
        <v>1</v>
      </c>
      <c r="E561" s="24">
        <v>0</v>
      </c>
      <c r="F561" s="24" t="s">
        <v>151</v>
      </c>
      <c r="G561" s="24" t="s">
        <v>1338</v>
      </c>
      <c r="H561" s="24"/>
      <c r="I561" s="24"/>
      <c r="J561" s="24"/>
      <c r="K561" s="24"/>
      <c r="L561" s="24" t="s">
        <v>34</v>
      </c>
      <c r="M561" s="24" t="s">
        <v>447</v>
      </c>
      <c r="N561" s="24"/>
      <c r="O561" s="26">
        <f>GET_OK_GROUPS_COUNT(tbStoryEnemy[[#This Row],[Camp]],tbStoryEnemy[[#This Row],[Difficulty]],tbStoryEnemy[[#This Row],[IsBoss]],tbStoryEnemy[[#This Row],[Hero1]:[Soldier3]])</f>
        <v>1</v>
      </c>
      <c r="P561" s="24">
        <v>1</v>
      </c>
      <c r="Q561" s="25" t="s">
        <v>912</v>
      </c>
      <c r="R561" s="24"/>
      <c r="S561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62" spans="2:19">
      <c r="B562" s="24" t="s">
        <v>868</v>
      </c>
      <c r="C562" s="34" t="s">
        <v>1289</v>
      </c>
      <c r="D562" s="24">
        <v>2</v>
      </c>
      <c r="E562" s="24">
        <v>0</v>
      </c>
      <c r="F562" s="24" t="s">
        <v>151</v>
      </c>
      <c r="G562" s="24" t="s">
        <v>1169</v>
      </c>
      <c r="H562" s="24"/>
      <c r="I562" s="24" t="s">
        <v>384</v>
      </c>
      <c r="J562" s="24"/>
      <c r="K562" s="24"/>
      <c r="L562" s="24" t="s">
        <v>25</v>
      </c>
      <c r="M562" s="24"/>
      <c r="N562" s="24"/>
      <c r="O562" s="26">
        <f>GET_OK_GROUPS_COUNT(tbStoryEnemy[[#This Row],[Camp]],tbStoryEnemy[[#This Row],[Difficulty]],tbStoryEnemy[[#This Row],[IsBoss]],tbStoryEnemy[[#This Row],[Hero1]:[Soldier3]])</f>
        <v>1</v>
      </c>
      <c r="P562" s="24">
        <v>1</v>
      </c>
      <c r="Q562" s="25" t="s">
        <v>912</v>
      </c>
      <c r="R562" s="24"/>
      <c r="S562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63" spans="2:19">
      <c r="B563" s="24" t="s">
        <v>869</v>
      </c>
      <c r="C563" s="34" t="s">
        <v>1289</v>
      </c>
      <c r="D563" s="24">
        <v>1</v>
      </c>
      <c r="E563" s="24">
        <v>0</v>
      </c>
      <c r="F563" s="24" t="s">
        <v>151</v>
      </c>
      <c r="G563" s="24" t="s">
        <v>1338</v>
      </c>
      <c r="H563" s="24"/>
      <c r="I563" s="24"/>
      <c r="J563" s="24"/>
      <c r="K563" s="24"/>
      <c r="L563" s="24" t="s">
        <v>49</v>
      </c>
      <c r="M563" s="24"/>
      <c r="N563" s="24"/>
      <c r="O563" s="26">
        <f>GET_OK_GROUPS_COUNT(tbStoryEnemy[[#This Row],[Camp]],tbStoryEnemy[[#This Row],[Difficulty]],tbStoryEnemy[[#This Row],[IsBoss]],tbStoryEnemy[[#This Row],[Hero1]:[Soldier3]])</f>
        <v>1</v>
      </c>
      <c r="P563" s="24">
        <v>1</v>
      </c>
      <c r="Q563" s="25" t="s">
        <v>912</v>
      </c>
      <c r="R563" s="24"/>
      <c r="S563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64" spans="2:19">
      <c r="B564" s="24" t="s">
        <v>869</v>
      </c>
      <c r="C564" s="34" t="s">
        <v>1289</v>
      </c>
      <c r="D564" s="24">
        <v>2</v>
      </c>
      <c r="E564" s="24">
        <v>0</v>
      </c>
      <c r="F564" s="24" t="s">
        <v>151</v>
      </c>
      <c r="G564" s="24" t="s">
        <v>1169</v>
      </c>
      <c r="H564" s="24"/>
      <c r="I564" s="24" t="s">
        <v>383</v>
      </c>
      <c r="J564" s="24"/>
      <c r="K564" s="24"/>
      <c r="L564" s="24" t="s">
        <v>49</v>
      </c>
      <c r="M564" s="24"/>
      <c r="N564" s="24"/>
      <c r="O564" s="26">
        <f>GET_OK_GROUPS_COUNT(tbStoryEnemy[[#This Row],[Camp]],tbStoryEnemy[[#This Row],[Difficulty]],tbStoryEnemy[[#This Row],[IsBoss]],tbStoryEnemy[[#This Row],[Hero1]:[Soldier3]])</f>
        <v>1</v>
      </c>
      <c r="P564" s="24">
        <v>1</v>
      </c>
      <c r="Q564" s="25" t="s">
        <v>912</v>
      </c>
      <c r="R564" s="24"/>
      <c r="S564" s="26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565" spans="2:19">
      <c r="B565" s="24" t="s">
        <v>870</v>
      </c>
      <c r="C565" s="34" t="s">
        <v>1289</v>
      </c>
      <c r="D565" s="24">
        <v>1</v>
      </c>
      <c r="E565" s="24">
        <v>0</v>
      </c>
      <c r="F565" s="24" t="s">
        <v>151</v>
      </c>
      <c r="G565" s="24" t="s">
        <v>1169</v>
      </c>
      <c r="H565" s="24"/>
      <c r="I565" s="24"/>
      <c r="J565" s="24"/>
      <c r="K565" s="24"/>
      <c r="L565" s="24" t="s">
        <v>28</v>
      </c>
      <c r="M565" s="24"/>
      <c r="N565" s="24"/>
      <c r="O565" s="26">
        <f>GET_OK_GROUPS_COUNT(tbStoryEnemy[[#This Row],[Camp]],tbStoryEnemy[[#This Row],[Difficulty]],tbStoryEnemy[[#This Row],[IsBoss]],tbStoryEnemy[[#This Row],[Hero1]:[Soldier3]])</f>
        <v>9</v>
      </c>
      <c r="P565" s="24">
        <v>2</v>
      </c>
      <c r="Q565" s="25" t="s">
        <v>912</v>
      </c>
      <c r="R565" s="24"/>
      <c r="S565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566" spans="2:19">
      <c r="B566" s="24" t="s">
        <v>870</v>
      </c>
      <c r="C566" s="34" t="s">
        <v>1289</v>
      </c>
      <c r="D566" s="24">
        <v>2</v>
      </c>
      <c r="E566" s="24">
        <v>0</v>
      </c>
      <c r="F566" s="24" t="s">
        <v>151</v>
      </c>
      <c r="G566" s="24" t="s">
        <v>1169</v>
      </c>
      <c r="H566" s="24" t="b">
        <v>1</v>
      </c>
      <c r="I566" s="24" t="s">
        <v>373</v>
      </c>
      <c r="J566" s="24" t="s">
        <v>385</v>
      </c>
      <c r="K566" s="24"/>
      <c r="L566" s="24"/>
      <c r="M566" s="24"/>
      <c r="N566" s="24"/>
      <c r="O566" s="26">
        <f>GET_OK_GROUPS_COUNT(tbStoryEnemy[[#This Row],[Camp]],tbStoryEnemy[[#This Row],[Difficulty]],tbStoryEnemy[[#This Row],[IsBoss]],tbStoryEnemy[[#This Row],[Hero1]:[Soldier3]])</f>
        <v>1</v>
      </c>
      <c r="P566" s="24">
        <v>1</v>
      </c>
      <c r="Q566" s="25" t="s">
        <v>373</v>
      </c>
      <c r="R566" s="24"/>
      <c r="S566" s="26" t="str">
        <f>GET_OK_GROUP(tbStoryEnemy[[#This Row],[Camp]],tbStoryEnemy[[#This Row],[Difficulty]],tbStoryEnemy[[#This Row],[IsBoss]],tbStoryEnemy[[#This Row],[Hero1]:[Soldier3]],tbStoryEnemy[[#This Row],[GroupID]])</f>
        <v>三国-困难-[B]刺英+刺英</v>
      </c>
    </row>
    <row r="567" spans="2:19">
      <c r="B567" s="24" t="s">
        <v>871</v>
      </c>
      <c r="C567" s="34" t="s">
        <v>1289</v>
      </c>
      <c r="D567" s="24">
        <v>1</v>
      </c>
      <c r="E567" s="24">
        <v>0</v>
      </c>
      <c r="F567" s="24" t="s">
        <v>151</v>
      </c>
      <c r="G567" s="24" t="s">
        <v>1338</v>
      </c>
      <c r="H567" s="24"/>
      <c r="I567" s="24"/>
      <c r="J567" s="24"/>
      <c r="K567" s="24"/>
      <c r="L567" s="24" t="s">
        <v>26</v>
      </c>
      <c r="M567" s="24"/>
      <c r="N567" s="24"/>
      <c r="O567" s="26">
        <f>GET_OK_GROUPS_COUNT(tbStoryEnemy[[#This Row],[Camp]],tbStoryEnemy[[#This Row],[Difficulty]],tbStoryEnemy[[#This Row],[IsBoss]],tbStoryEnemy[[#This Row],[Hero1]:[Soldier3]])</f>
        <v>3</v>
      </c>
      <c r="P567" s="24">
        <v>1</v>
      </c>
      <c r="Q567" s="25" t="s">
        <v>912</v>
      </c>
      <c r="R567" s="24"/>
      <c r="S567" s="26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568" spans="2:19">
      <c r="B568" s="24" t="s">
        <v>871</v>
      </c>
      <c r="C568" s="34" t="s">
        <v>1289</v>
      </c>
      <c r="D568" s="24">
        <v>2</v>
      </c>
      <c r="E568" s="24">
        <v>0</v>
      </c>
      <c r="F568" s="24" t="s">
        <v>151</v>
      </c>
      <c r="G568" s="24" t="s">
        <v>1169</v>
      </c>
      <c r="H568" s="24"/>
      <c r="I568" s="24" t="s">
        <v>380</v>
      </c>
      <c r="J568" s="24"/>
      <c r="K568" s="24"/>
      <c r="L568" s="24" t="s">
        <v>26</v>
      </c>
      <c r="M568" s="24"/>
      <c r="N568" s="24"/>
      <c r="O568" s="26">
        <f>GET_OK_GROUPS_COUNT(tbStoryEnemy[[#This Row],[Camp]],tbStoryEnemy[[#This Row],[Difficulty]],tbStoryEnemy[[#This Row],[IsBoss]],tbStoryEnemy[[#This Row],[Hero1]:[Soldier3]])</f>
        <v>1</v>
      </c>
      <c r="P568" s="24">
        <v>1</v>
      </c>
      <c r="Q568" s="25" t="s">
        <v>912</v>
      </c>
      <c r="R568" s="24"/>
      <c r="S568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69" spans="2:19">
      <c r="B569" s="24" t="s">
        <v>872</v>
      </c>
      <c r="C569" s="34" t="s">
        <v>1289</v>
      </c>
      <c r="D569" s="24">
        <v>1</v>
      </c>
      <c r="E569" s="24">
        <v>0</v>
      </c>
      <c r="F569" s="24" t="s">
        <v>151</v>
      </c>
      <c r="G569" s="24" t="s">
        <v>1169</v>
      </c>
      <c r="H569" s="24"/>
      <c r="I569" s="24"/>
      <c r="J569" s="24"/>
      <c r="K569" s="24"/>
      <c r="L569" s="24" t="s">
        <v>25</v>
      </c>
      <c r="M569" s="24" t="s">
        <v>448</v>
      </c>
      <c r="N569" s="24"/>
      <c r="O569" s="26">
        <f>GET_OK_GROUPS_COUNT(tbStoryEnemy[[#This Row],[Camp]],tbStoryEnemy[[#This Row],[Difficulty]],tbStoryEnemy[[#This Row],[IsBoss]],tbStoryEnemy[[#This Row],[Hero1]:[Soldier3]])</f>
        <v>5</v>
      </c>
      <c r="P569" s="24">
        <v>1</v>
      </c>
      <c r="Q569" s="25" t="s">
        <v>912</v>
      </c>
      <c r="R569" s="24"/>
      <c r="S569" s="26" t="str">
        <f>GET_OK_GROUP(tbStoryEnemy[[#This Row],[Camp]],tbStoryEnemy[[#This Row],[Difficulty]],tbStoryEnemy[[#This Row],[IsBoss]],tbStoryEnemy[[#This Row],[Hero1]:[Soldier3]],tbStoryEnemy[[#This Row],[GroupID]])</f>
        <v>三国-困难-铁兵+刺兵</v>
      </c>
    </row>
    <row r="570" spans="2:19">
      <c r="B570" s="24" t="s">
        <v>872</v>
      </c>
      <c r="C570" s="34" t="s">
        <v>1289</v>
      </c>
      <c r="D570" s="24">
        <v>2</v>
      </c>
      <c r="E570" s="24">
        <v>0</v>
      </c>
      <c r="F570" s="24" t="s">
        <v>151</v>
      </c>
      <c r="G570" s="24" t="s">
        <v>1169</v>
      </c>
      <c r="H570" s="24"/>
      <c r="I570" s="24" t="s">
        <v>382</v>
      </c>
      <c r="J570" s="24" t="s">
        <v>385</v>
      </c>
      <c r="K570" s="24"/>
      <c r="L570" s="24"/>
      <c r="M570" s="24"/>
      <c r="N570" s="24"/>
      <c r="O570" s="26">
        <f>GET_OK_GROUPS_COUNT(tbStoryEnemy[[#This Row],[Camp]],tbStoryEnemy[[#This Row],[Difficulty]],tbStoryEnemy[[#This Row],[IsBoss]],tbStoryEnemy[[#This Row],[Hero1]:[Soldier3]])</f>
        <v>1</v>
      </c>
      <c r="P570" s="24">
        <v>1</v>
      </c>
      <c r="Q570" s="25" t="s">
        <v>912</v>
      </c>
      <c r="R570" s="24"/>
      <c r="S570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571" spans="2:19">
      <c r="B571" s="24" t="s">
        <v>873</v>
      </c>
      <c r="C571" s="34" t="s">
        <v>1289</v>
      </c>
      <c r="D571" s="24">
        <v>1</v>
      </c>
      <c r="E571" s="24">
        <v>0</v>
      </c>
      <c r="F571" s="24" t="s">
        <v>151</v>
      </c>
      <c r="G571" s="24" t="s">
        <v>1169</v>
      </c>
      <c r="H571" s="24"/>
      <c r="I571" s="24" t="s">
        <v>380</v>
      </c>
      <c r="J571" s="24"/>
      <c r="K571" s="24"/>
      <c r="L571" s="24"/>
      <c r="M571" s="24"/>
      <c r="N571" s="24"/>
      <c r="O571" s="26">
        <f>GET_OK_GROUPS_COUNT(tbStoryEnemy[[#This Row],[Camp]],tbStoryEnemy[[#This Row],[Difficulty]],tbStoryEnemy[[#This Row],[IsBoss]],tbStoryEnemy[[#This Row],[Hero1]:[Soldier3]])</f>
        <v>4</v>
      </c>
      <c r="P571" s="24">
        <v>4</v>
      </c>
      <c r="Q571" s="25" t="s">
        <v>912</v>
      </c>
      <c r="R571" s="24"/>
      <c r="S571" s="26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572" spans="2:19">
      <c r="B572" s="24" t="s">
        <v>873</v>
      </c>
      <c r="C572" s="34" t="s">
        <v>1289</v>
      </c>
      <c r="D572" s="24">
        <v>2</v>
      </c>
      <c r="E572" s="24">
        <v>0</v>
      </c>
      <c r="F572" s="24" t="s">
        <v>151</v>
      </c>
      <c r="G572" s="24" t="s">
        <v>1126</v>
      </c>
      <c r="H572" s="24" t="b">
        <v>1</v>
      </c>
      <c r="I572" s="24" t="s">
        <v>361</v>
      </c>
      <c r="J572" s="24" t="s">
        <v>385</v>
      </c>
      <c r="K572" s="24"/>
      <c r="L572" s="24"/>
      <c r="M572" s="24"/>
      <c r="N572" s="24"/>
      <c r="O572" s="26">
        <f>GET_OK_GROUPS_COUNT(tbStoryEnemy[[#This Row],[Camp]],tbStoryEnemy[[#This Row],[Difficulty]],tbStoryEnemy[[#This Row],[IsBoss]],tbStoryEnemy[[#This Row],[Hero1]:[Soldier3]])</f>
        <v>1</v>
      </c>
      <c r="P572" s="24">
        <v>1</v>
      </c>
      <c r="Q572" s="25" t="s">
        <v>361</v>
      </c>
      <c r="R572" s="24"/>
      <c r="S572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573" spans="2:19">
      <c r="B573" s="24" t="s">
        <v>874</v>
      </c>
      <c r="C573" s="34" t="s">
        <v>1289</v>
      </c>
      <c r="D573" s="24">
        <v>1</v>
      </c>
      <c r="E573" s="24">
        <v>0</v>
      </c>
      <c r="F573" s="24" t="s">
        <v>151</v>
      </c>
      <c r="G573" s="24" t="s">
        <v>1338</v>
      </c>
      <c r="H573" s="24"/>
      <c r="I573" s="24"/>
      <c r="J573" s="24"/>
      <c r="K573" s="24"/>
      <c r="L573" s="24" t="s">
        <v>25</v>
      </c>
      <c r="M573" s="24" t="s">
        <v>447</v>
      </c>
      <c r="N573" s="24"/>
      <c r="O573" s="26">
        <f>GET_OK_GROUPS_COUNT(tbStoryEnemy[[#This Row],[Camp]],tbStoryEnemy[[#This Row],[Difficulty]],tbStoryEnemy[[#This Row],[IsBoss]],tbStoryEnemy[[#This Row],[Hero1]:[Soldier3]])</f>
        <v>1</v>
      </c>
      <c r="P573" s="24">
        <v>1</v>
      </c>
      <c r="Q573" s="25" t="s">
        <v>912</v>
      </c>
      <c r="R573" s="24"/>
      <c r="S573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74" spans="2:19">
      <c r="B574" s="24" t="s">
        <v>874</v>
      </c>
      <c r="C574" s="34" t="s">
        <v>1289</v>
      </c>
      <c r="D574" s="24">
        <v>2</v>
      </c>
      <c r="E574" s="24">
        <v>0</v>
      </c>
      <c r="F574" s="24" t="s">
        <v>151</v>
      </c>
      <c r="G574" s="24" t="s">
        <v>1169</v>
      </c>
      <c r="H574" s="24"/>
      <c r="I574" s="24" t="s">
        <v>382</v>
      </c>
      <c r="J574" s="24" t="s">
        <v>384</v>
      </c>
      <c r="K574" s="24"/>
      <c r="L574" s="24"/>
      <c r="M574" s="24"/>
      <c r="N574" s="24"/>
      <c r="O574" s="26">
        <f>GET_OK_GROUPS_COUNT(tbStoryEnemy[[#This Row],[Camp]],tbStoryEnemy[[#This Row],[Difficulty]],tbStoryEnemy[[#This Row],[IsBoss]],tbStoryEnemy[[#This Row],[Hero1]:[Soldier3]])</f>
        <v>1</v>
      </c>
      <c r="P574" s="24">
        <v>1</v>
      </c>
      <c r="Q574" s="25" t="s">
        <v>912</v>
      </c>
      <c r="R574" s="24"/>
      <c r="S574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575" spans="2:19">
      <c r="B575" s="24" t="s">
        <v>875</v>
      </c>
      <c r="C575" s="34" t="s">
        <v>1289</v>
      </c>
      <c r="D575" s="24">
        <v>1</v>
      </c>
      <c r="E575" s="24">
        <v>0</v>
      </c>
      <c r="F575" s="24" t="s">
        <v>151</v>
      </c>
      <c r="G575" s="24" t="s">
        <v>1169</v>
      </c>
      <c r="H575" s="24"/>
      <c r="I575" s="24"/>
      <c r="J575" s="24"/>
      <c r="K575" s="24"/>
      <c r="L575" s="24" t="s">
        <v>25</v>
      </c>
      <c r="M575" s="24" t="s">
        <v>447</v>
      </c>
      <c r="N575" s="24"/>
      <c r="O575" s="26">
        <f>GET_OK_GROUPS_COUNT(tbStoryEnemy[[#This Row],[Camp]],tbStoryEnemy[[#This Row],[Difficulty]],tbStoryEnemy[[#This Row],[IsBoss]],tbStoryEnemy[[#This Row],[Hero1]:[Soldier3]])</f>
        <v>5</v>
      </c>
      <c r="P575" s="24">
        <v>1</v>
      </c>
      <c r="Q575" s="25" t="s">
        <v>912</v>
      </c>
      <c r="R575" s="24"/>
      <c r="S575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576" spans="2:19">
      <c r="B576" s="24" t="s">
        <v>875</v>
      </c>
      <c r="C576" s="34" t="s">
        <v>1289</v>
      </c>
      <c r="D576" s="24">
        <v>2</v>
      </c>
      <c r="E576" s="24">
        <v>0</v>
      </c>
      <c r="F576" s="24" t="s">
        <v>151</v>
      </c>
      <c r="G576" s="24" t="s">
        <v>1169</v>
      </c>
      <c r="H576" s="24"/>
      <c r="I576" s="24" t="s">
        <v>382</v>
      </c>
      <c r="J576" s="24" t="s">
        <v>382</v>
      </c>
      <c r="K576" s="24"/>
      <c r="L576" s="24"/>
      <c r="M576" s="24"/>
      <c r="N576" s="24"/>
      <c r="O576" s="26">
        <f>GET_OK_GROUPS_COUNT(tbStoryEnemy[[#This Row],[Camp]],tbStoryEnemy[[#This Row],[Difficulty]],tbStoryEnemy[[#This Row],[IsBoss]],tbStoryEnemy[[#This Row],[Hero1]:[Soldier3]])</f>
        <v>1</v>
      </c>
      <c r="P576" s="24">
        <v>1</v>
      </c>
      <c r="Q576" s="25" t="s">
        <v>912</v>
      </c>
      <c r="R576" s="24"/>
      <c r="S576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577" spans="2:19">
      <c r="B577" s="24" t="s">
        <v>876</v>
      </c>
      <c r="C577" s="34" t="s">
        <v>1289</v>
      </c>
      <c r="D577" s="24">
        <v>1</v>
      </c>
      <c r="E577" s="24">
        <v>0</v>
      </c>
      <c r="F577" s="24" t="s">
        <v>151</v>
      </c>
      <c r="G577" s="24" t="s">
        <v>1169</v>
      </c>
      <c r="H577" s="24"/>
      <c r="I577" s="24"/>
      <c r="J577" s="24"/>
      <c r="K577" s="24"/>
      <c r="L577" s="24" t="s">
        <v>25</v>
      </c>
      <c r="M577" s="24" t="s">
        <v>28</v>
      </c>
      <c r="N577" s="24"/>
      <c r="O577" s="26">
        <f>GET_OK_GROUPS_COUNT(tbStoryEnemy[[#This Row],[Camp]],tbStoryEnemy[[#This Row],[Difficulty]],tbStoryEnemy[[#This Row],[IsBoss]],tbStoryEnemy[[#This Row],[Hero1]:[Soldier3]])</f>
        <v>5</v>
      </c>
      <c r="P577" s="24">
        <v>1</v>
      </c>
      <c r="Q577" s="25" t="s">
        <v>912</v>
      </c>
      <c r="R577" s="24"/>
      <c r="S577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578" spans="2:19">
      <c r="B578" s="24" t="s">
        <v>876</v>
      </c>
      <c r="C578" s="34" t="s">
        <v>1289</v>
      </c>
      <c r="D578" s="24">
        <v>2</v>
      </c>
      <c r="E578" s="24">
        <v>0</v>
      </c>
      <c r="F578" s="24" t="s">
        <v>151</v>
      </c>
      <c r="G578" s="24" t="s">
        <v>1126</v>
      </c>
      <c r="H578" s="24" t="b">
        <v>1</v>
      </c>
      <c r="I578" s="24" t="s">
        <v>426</v>
      </c>
      <c r="J578" s="24" t="s">
        <v>380</v>
      </c>
      <c r="K578" s="24" t="s">
        <v>384</v>
      </c>
      <c r="L578" s="24"/>
      <c r="M578" s="24"/>
      <c r="N578" s="24"/>
      <c r="O578" s="26">
        <f>GET_OK_GROUPS_COUNT(tbStoryEnemy[[#This Row],[Camp]],tbStoryEnemy[[#This Row],[Difficulty]],tbStoryEnemy[[#This Row],[IsBoss]],tbStoryEnemy[[#This Row],[Hero1]:[Soldier3]])</f>
        <v>1</v>
      </c>
      <c r="P578" s="24">
        <v>1</v>
      </c>
      <c r="Q578" s="25" t="s">
        <v>426</v>
      </c>
      <c r="R578" s="24"/>
      <c r="S578" s="26" t="str">
        <f>GET_OK_GROUP(tbStoryEnemy[[#This Row],[Camp]],tbStoryEnemy[[#This Row],[Difficulty]],tbStoryEnemy[[#This Row],[IsBoss]],tbStoryEnemy[[#This Row],[Hero1]:[Soldier3]],tbStoryEnemy[[#This Row],[GroupID]])</f>
        <v>三国-超难-[B]铁英+盾英+法英</v>
      </c>
    </row>
    <row r="579" spans="2:19">
      <c r="B579" s="24" t="s">
        <v>877</v>
      </c>
      <c r="C579" s="34" t="s">
        <v>1289</v>
      </c>
      <c r="D579" s="24">
        <v>1</v>
      </c>
      <c r="E579" s="24">
        <v>0</v>
      </c>
      <c r="F579" s="24" t="s">
        <v>151</v>
      </c>
      <c r="G579" s="24" t="s">
        <v>1169</v>
      </c>
      <c r="H579" s="24"/>
      <c r="I579" s="24"/>
      <c r="J579" s="24"/>
      <c r="K579" s="24"/>
      <c r="L579" s="24" t="s">
        <v>28</v>
      </c>
      <c r="M579" s="24"/>
      <c r="N579" s="24"/>
      <c r="O579" s="26">
        <f>GET_OK_GROUPS_COUNT(tbStoryEnemy[[#This Row],[Camp]],tbStoryEnemy[[#This Row],[Difficulty]],tbStoryEnemy[[#This Row],[IsBoss]],tbStoryEnemy[[#This Row],[Hero1]:[Soldier3]])</f>
        <v>9</v>
      </c>
      <c r="P579" s="24">
        <v>1</v>
      </c>
      <c r="Q579" s="25" t="s">
        <v>912</v>
      </c>
      <c r="R579" s="24"/>
      <c r="S579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580" spans="2:19">
      <c r="B580" s="24" t="s">
        <v>877</v>
      </c>
      <c r="C580" s="34" t="s">
        <v>1289</v>
      </c>
      <c r="D580" s="24">
        <v>2</v>
      </c>
      <c r="E580" s="24">
        <v>0</v>
      </c>
      <c r="F580" s="24" t="s">
        <v>151</v>
      </c>
      <c r="G580" s="24" t="s">
        <v>1169</v>
      </c>
      <c r="H580" s="24"/>
      <c r="I580" s="24" t="s">
        <v>382</v>
      </c>
      <c r="J580" s="24"/>
      <c r="K580" s="24"/>
      <c r="L580" s="24" t="s">
        <v>28</v>
      </c>
      <c r="M580" s="24"/>
      <c r="N580" s="24"/>
      <c r="O580" s="26">
        <f>GET_OK_GROUPS_COUNT(tbStoryEnemy[[#This Row],[Camp]],tbStoryEnemy[[#This Row],[Difficulty]],tbStoryEnemy[[#This Row],[IsBoss]],tbStoryEnemy[[#This Row],[Hero1]:[Soldier3]])</f>
        <v>1</v>
      </c>
      <c r="P580" s="24">
        <v>1</v>
      </c>
      <c r="Q580" s="25" t="s">
        <v>912</v>
      </c>
      <c r="R580" s="24"/>
      <c r="S580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581" spans="2:19">
      <c r="B581" s="24" t="s">
        <v>878</v>
      </c>
      <c r="C581" s="34" t="s">
        <v>1289</v>
      </c>
      <c r="D581" s="24">
        <v>1</v>
      </c>
      <c r="E581" s="24">
        <v>0</v>
      </c>
      <c r="F581" s="24" t="s">
        <v>151</v>
      </c>
      <c r="G581" s="24" t="s">
        <v>1169</v>
      </c>
      <c r="H581" s="24"/>
      <c r="I581" s="24"/>
      <c r="J581" s="24"/>
      <c r="K581" s="24"/>
      <c r="L581" s="24" t="s">
        <v>447</v>
      </c>
      <c r="M581" s="24"/>
      <c r="N581" s="24"/>
      <c r="O581" s="26">
        <f>GET_OK_GROUPS_COUNT(tbStoryEnemy[[#This Row],[Camp]],tbStoryEnemy[[#This Row],[Difficulty]],tbStoryEnemy[[#This Row],[IsBoss]],tbStoryEnemy[[#This Row],[Hero1]:[Soldier3]])</f>
        <v>9</v>
      </c>
      <c r="P581" s="24">
        <v>3</v>
      </c>
      <c r="Q581" s="25" t="s">
        <v>912</v>
      </c>
      <c r="R581" s="24"/>
      <c r="S581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582" spans="2:19">
      <c r="B582" s="24" t="s">
        <v>878</v>
      </c>
      <c r="C582" s="34" t="s">
        <v>1289</v>
      </c>
      <c r="D582" s="24">
        <v>2</v>
      </c>
      <c r="E582" s="24">
        <v>0</v>
      </c>
      <c r="F582" s="24" t="s">
        <v>151</v>
      </c>
      <c r="G582" s="24" t="s">
        <v>1126</v>
      </c>
      <c r="H582" s="24"/>
      <c r="I582" s="24" t="s">
        <v>380</v>
      </c>
      <c r="J582" s="24" t="s">
        <v>383</v>
      </c>
      <c r="K582" s="24"/>
      <c r="L582" s="24"/>
      <c r="M582" s="24"/>
      <c r="N582" s="24"/>
      <c r="O582" s="26">
        <f>GET_OK_GROUPS_COUNT(tbStoryEnemy[[#This Row],[Camp]],tbStoryEnemy[[#This Row],[Difficulty]],tbStoryEnemy[[#This Row],[IsBoss]],tbStoryEnemy[[#This Row],[Hero1]:[Soldier3]])</f>
        <v>1</v>
      </c>
      <c r="P582" s="24">
        <v>1</v>
      </c>
      <c r="Q582" s="25" t="s">
        <v>912</v>
      </c>
      <c r="R582" s="24"/>
      <c r="S582" s="26" t="str">
        <f>GET_OK_GROUP(tbStoryEnemy[[#This Row],[Camp]],tbStoryEnemy[[#This Row],[Difficulty]],tbStoryEnemy[[#This Row],[IsBoss]],tbStoryEnemy[[#This Row],[Hero1]:[Soldier3]],tbStoryEnemy[[#This Row],[GroupID]])</f>
        <v>三国-超难-盾英+炼英</v>
      </c>
    </row>
    <row r="583" spans="2:19">
      <c r="B583" s="24" t="s">
        <v>879</v>
      </c>
      <c r="C583" s="34" t="s">
        <v>1289</v>
      </c>
      <c r="D583" s="24">
        <v>1</v>
      </c>
      <c r="E583" s="24">
        <v>0</v>
      </c>
      <c r="F583" s="24" t="s">
        <v>151</v>
      </c>
      <c r="G583" s="24" t="s">
        <v>1126</v>
      </c>
      <c r="H583" s="24"/>
      <c r="I583" s="24" t="s">
        <v>380</v>
      </c>
      <c r="J583" s="24" t="s">
        <v>383</v>
      </c>
      <c r="K583" s="24"/>
      <c r="L583" s="24"/>
      <c r="M583" s="24"/>
      <c r="N583" s="24"/>
      <c r="O583" s="26">
        <f>GET_OK_GROUPS_COUNT(tbStoryEnemy[[#This Row],[Camp]],tbStoryEnemy[[#This Row],[Difficulty]],tbStoryEnemy[[#This Row],[IsBoss]],tbStoryEnemy[[#This Row],[Hero1]:[Soldier3]])</f>
        <v>1</v>
      </c>
      <c r="P583" s="24">
        <v>1</v>
      </c>
      <c r="Q583" s="25" t="s">
        <v>912</v>
      </c>
      <c r="R583" s="24"/>
      <c r="S583" s="26" t="str">
        <f>GET_OK_GROUP(tbStoryEnemy[[#This Row],[Camp]],tbStoryEnemy[[#This Row],[Difficulty]],tbStoryEnemy[[#This Row],[IsBoss]],tbStoryEnemy[[#This Row],[Hero1]:[Soldier3]],tbStoryEnemy[[#This Row],[GroupID]])</f>
        <v>三国-超难-盾英+炼英</v>
      </c>
    </row>
    <row r="584" spans="2:19">
      <c r="B584" s="24" t="s">
        <v>879</v>
      </c>
      <c r="C584" s="34" t="s">
        <v>1289</v>
      </c>
      <c r="D584" s="24">
        <v>2</v>
      </c>
      <c r="E584" s="24">
        <v>0</v>
      </c>
      <c r="F584" s="24" t="s">
        <v>151</v>
      </c>
      <c r="G584" s="24" t="s">
        <v>1126</v>
      </c>
      <c r="H584" s="24" t="b">
        <v>1</v>
      </c>
      <c r="I584" s="24" t="s">
        <v>413</v>
      </c>
      <c r="J584" s="24" t="s">
        <v>384</v>
      </c>
      <c r="K584" s="24"/>
      <c r="L584" s="24"/>
      <c r="M584" s="24"/>
      <c r="N584" s="24"/>
      <c r="O584" s="26">
        <f>GET_OK_GROUPS_COUNT(tbStoryEnemy[[#This Row],[Camp]],tbStoryEnemy[[#This Row],[Difficulty]],tbStoryEnemy[[#This Row],[IsBoss]],tbStoryEnemy[[#This Row],[Hero1]:[Soldier3]])</f>
        <v>1</v>
      </c>
      <c r="P584" s="24">
        <v>1</v>
      </c>
      <c r="Q584" s="25" t="s">
        <v>413</v>
      </c>
      <c r="R584" s="24"/>
      <c r="S584" s="26" t="str">
        <f>GET_OK_GROUP(tbStoryEnemy[[#This Row],[Camp]],tbStoryEnemy[[#This Row],[Difficulty]],tbStoryEnemy[[#This Row],[IsBoss]],tbStoryEnemy[[#This Row],[Hero1]:[Soldier3]],tbStoryEnemy[[#This Row],[GroupID]])</f>
        <v>三国-超难-[B]盾英+法英</v>
      </c>
    </row>
    <row r="585" spans="2:19">
      <c r="B585" s="24" t="s">
        <v>1214</v>
      </c>
      <c r="C585" s="34" t="s">
        <v>1289</v>
      </c>
      <c r="D585" s="24">
        <v>1</v>
      </c>
      <c r="E585" s="24">
        <v>0</v>
      </c>
      <c r="F585" s="24" t="s">
        <v>151</v>
      </c>
      <c r="G585" s="24" t="s">
        <v>1338</v>
      </c>
      <c r="H585" s="24"/>
      <c r="I585" s="24"/>
      <c r="J585" s="24"/>
      <c r="K585" s="24"/>
      <c r="L585" s="24" t="s">
        <v>25</v>
      </c>
      <c r="M585" s="24" t="s">
        <v>447</v>
      </c>
      <c r="N585" s="24"/>
      <c r="O585" s="26">
        <f>GET_OK_GROUPS_COUNT(tbStoryEnemy[[#This Row],[Camp]],tbStoryEnemy[[#This Row],[Difficulty]],tbStoryEnemy[[#This Row],[IsBoss]],tbStoryEnemy[[#This Row],[Hero1]:[Soldier3]])</f>
        <v>1</v>
      </c>
      <c r="P585" s="24">
        <v>1</v>
      </c>
      <c r="Q585" s="25" t="s">
        <v>912</v>
      </c>
      <c r="R585" s="24"/>
      <c r="S585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86" spans="2:19">
      <c r="B586" s="24" t="s">
        <v>1214</v>
      </c>
      <c r="C586" s="34" t="s">
        <v>1289</v>
      </c>
      <c r="D586" s="24">
        <v>2</v>
      </c>
      <c r="E586" s="24">
        <v>0</v>
      </c>
      <c r="F586" s="24" t="s">
        <v>151</v>
      </c>
      <c r="G586" s="24" t="s">
        <v>1169</v>
      </c>
      <c r="H586" s="24"/>
      <c r="I586" s="24" t="s">
        <v>385</v>
      </c>
      <c r="J586" s="24"/>
      <c r="K586" s="24"/>
      <c r="L586" s="24" t="s">
        <v>49</v>
      </c>
      <c r="M586" s="24"/>
      <c r="N586" s="24"/>
      <c r="O586" s="26">
        <f>GET_OK_GROUPS_COUNT(tbStoryEnemy[[#This Row],[Camp]],tbStoryEnemy[[#This Row],[Difficulty]],tbStoryEnemy[[#This Row],[IsBoss]],tbStoryEnemy[[#This Row],[Hero1]:[Soldier3]])</f>
        <v>1</v>
      </c>
      <c r="P586" s="24">
        <v>1</v>
      </c>
      <c r="Q586" s="25" t="s">
        <v>912</v>
      </c>
      <c r="R586" s="24"/>
      <c r="S586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587" spans="2:19">
      <c r="B587" s="24" t="s">
        <v>1215</v>
      </c>
      <c r="C587" s="34" t="s">
        <v>1289</v>
      </c>
      <c r="D587" s="24">
        <v>1</v>
      </c>
      <c r="E587" s="24">
        <v>0</v>
      </c>
      <c r="F587" s="24" t="s">
        <v>151</v>
      </c>
      <c r="G587" s="24" t="s">
        <v>1338</v>
      </c>
      <c r="H587" s="24"/>
      <c r="I587" s="24"/>
      <c r="J587" s="24"/>
      <c r="K587" s="24"/>
      <c r="L587" s="24" t="s">
        <v>34</v>
      </c>
      <c r="M587" s="24"/>
      <c r="N587" s="24"/>
      <c r="O587" s="26">
        <f>GET_OK_GROUPS_COUNT(tbStoryEnemy[[#This Row],[Camp]],tbStoryEnemy[[#This Row],[Difficulty]],tbStoryEnemy[[#This Row],[IsBoss]],tbStoryEnemy[[#This Row],[Hero1]:[Soldier3]])</f>
        <v>5</v>
      </c>
      <c r="P587" s="24">
        <v>3</v>
      </c>
      <c r="Q587" s="25" t="s">
        <v>912</v>
      </c>
      <c r="R587" s="24"/>
      <c r="S587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588" spans="2:19">
      <c r="B588" s="24" t="s">
        <v>1215</v>
      </c>
      <c r="C588" s="34" t="s">
        <v>1289</v>
      </c>
      <c r="D588" s="24">
        <v>2</v>
      </c>
      <c r="E588" s="24">
        <v>0</v>
      </c>
      <c r="F588" s="24" t="s">
        <v>151</v>
      </c>
      <c r="G588" s="24" t="s">
        <v>1169</v>
      </c>
      <c r="H588" s="24"/>
      <c r="I588" s="24" t="s">
        <v>384</v>
      </c>
      <c r="J588" s="24"/>
      <c r="K588" s="24"/>
      <c r="L588" s="24" t="s">
        <v>25</v>
      </c>
      <c r="M588" s="24"/>
      <c r="N588" s="24"/>
      <c r="O588" s="26">
        <f>GET_OK_GROUPS_COUNT(tbStoryEnemy[[#This Row],[Camp]],tbStoryEnemy[[#This Row],[Difficulty]],tbStoryEnemy[[#This Row],[IsBoss]],tbStoryEnemy[[#This Row],[Hero1]:[Soldier3]])</f>
        <v>1</v>
      </c>
      <c r="P588" s="24">
        <v>1</v>
      </c>
      <c r="Q588" s="25" t="s">
        <v>912</v>
      </c>
      <c r="R588" s="24"/>
      <c r="S588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89" spans="2:19">
      <c r="B589" s="24" t="s">
        <v>1216</v>
      </c>
      <c r="C589" s="34" t="s">
        <v>1289</v>
      </c>
      <c r="D589" s="24">
        <v>1</v>
      </c>
      <c r="E589" s="24">
        <v>0</v>
      </c>
      <c r="F589" s="24" t="s">
        <v>151</v>
      </c>
      <c r="G589" s="24" t="s">
        <v>1169</v>
      </c>
      <c r="H589" s="24"/>
      <c r="I589" s="24" t="s">
        <v>380</v>
      </c>
      <c r="J589" s="24"/>
      <c r="K589" s="24"/>
      <c r="L589" s="24" t="s">
        <v>26</v>
      </c>
      <c r="M589" s="24"/>
      <c r="N589" s="24"/>
      <c r="O589" s="26">
        <f>GET_OK_GROUPS_COUNT(tbStoryEnemy[[#This Row],[Camp]],tbStoryEnemy[[#This Row],[Difficulty]],tbStoryEnemy[[#This Row],[IsBoss]],tbStoryEnemy[[#This Row],[Hero1]:[Soldier3]])</f>
        <v>1</v>
      </c>
      <c r="P589" s="24">
        <v>1</v>
      </c>
      <c r="Q589" s="25" t="s">
        <v>912</v>
      </c>
      <c r="R589" s="24"/>
      <c r="S589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90" spans="2:19">
      <c r="B590" s="24" t="s">
        <v>1216</v>
      </c>
      <c r="C590" s="34" t="s">
        <v>1289</v>
      </c>
      <c r="D590" s="24">
        <v>2</v>
      </c>
      <c r="E590" s="24">
        <v>0</v>
      </c>
      <c r="F590" s="24" t="s">
        <v>151</v>
      </c>
      <c r="G590" s="24" t="s">
        <v>1169</v>
      </c>
      <c r="H590" s="24" t="b">
        <v>1</v>
      </c>
      <c r="I590" s="24" t="s">
        <v>427</v>
      </c>
      <c r="J590" s="24"/>
      <c r="K590" s="24"/>
      <c r="L590" s="24" t="s">
        <v>25</v>
      </c>
      <c r="M590" s="24"/>
      <c r="N590" s="24"/>
      <c r="O590" s="26">
        <f>GET_OK_GROUPS_COUNT(tbStoryEnemy[[#This Row],[Camp]],tbStoryEnemy[[#This Row],[Difficulty]],tbStoryEnemy[[#This Row],[IsBoss]],tbStoryEnemy[[#This Row],[Hero1]:[Soldier3]])</f>
        <v>1</v>
      </c>
      <c r="P590" s="24">
        <v>1</v>
      </c>
      <c r="Q590" s="25" t="s">
        <v>427</v>
      </c>
      <c r="R590" s="24"/>
      <c r="S590" s="26" t="str">
        <f>GET_OK_GROUP(tbStoryEnemy[[#This Row],[Camp]],tbStoryEnemy[[#This Row],[Difficulty]],tbStoryEnemy[[#This Row],[IsBoss]],tbStoryEnemy[[#This Row],[Hero1]:[Soldier3]],tbStoryEnemy[[#This Row],[GroupID]])</f>
        <v>三国-困难-[B]炼英+铁兵</v>
      </c>
    </row>
    <row r="591" spans="2:19">
      <c r="B591" s="24" t="s">
        <v>1217</v>
      </c>
      <c r="C591" s="34" t="s">
        <v>1289</v>
      </c>
      <c r="D591" s="24">
        <v>1</v>
      </c>
      <c r="E591" s="24">
        <v>0</v>
      </c>
      <c r="F591" s="24" t="s">
        <v>151</v>
      </c>
      <c r="G591" s="24" t="s">
        <v>1338</v>
      </c>
      <c r="H591" s="24"/>
      <c r="I591" s="24"/>
      <c r="J591" s="24"/>
      <c r="K591" s="24"/>
      <c r="L591" s="24" t="s">
        <v>25</v>
      </c>
      <c r="M591" s="24" t="s">
        <v>28</v>
      </c>
      <c r="N591" s="24"/>
      <c r="O591" s="26">
        <f>GET_OK_GROUPS_COUNT(tbStoryEnemy[[#This Row],[Camp]],tbStoryEnemy[[#This Row],[Difficulty]],tbStoryEnemy[[#This Row],[IsBoss]],tbStoryEnemy[[#This Row],[Hero1]:[Soldier3]])</f>
        <v>1</v>
      </c>
      <c r="P591" s="24">
        <v>1</v>
      </c>
      <c r="Q591" s="25" t="s">
        <v>912</v>
      </c>
      <c r="R591" s="24"/>
      <c r="S591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92" spans="2:19">
      <c r="B592" s="24" t="s">
        <v>1217</v>
      </c>
      <c r="C592" s="34" t="s">
        <v>1289</v>
      </c>
      <c r="D592" s="24">
        <v>2</v>
      </c>
      <c r="E592" s="24">
        <v>0</v>
      </c>
      <c r="F592" s="24" t="s">
        <v>151</v>
      </c>
      <c r="G592" s="24" t="s">
        <v>1169</v>
      </c>
      <c r="H592" s="24"/>
      <c r="I592" s="24" t="s">
        <v>382</v>
      </c>
      <c r="J592" s="24" t="s">
        <v>381</v>
      </c>
      <c r="K592" s="24"/>
      <c r="L592" s="24"/>
      <c r="M592" s="24"/>
      <c r="N592" s="24"/>
      <c r="O592" s="26">
        <f>GET_OK_GROUPS_COUNT(tbStoryEnemy[[#This Row],[Camp]],tbStoryEnemy[[#This Row],[Difficulty]],tbStoryEnemy[[#This Row],[IsBoss]],tbStoryEnemy[[#This Row],[Hero1]:[Soldier3]])</f>
        <v>1</v>
      </c>
      <c r="P592" s="24">
        <v>1</v>
      </c>
      <c r="Q592" s="25" t="s">
        <v>912</v>
      </c>
      <c r="R592" s="24"/>
      <c r="S592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593" spans="2:19">
      <c r="B593" s="24" t="s">
        <v>1218</v>
      </c>
      <c r="C593" s="34" t="s">
        <v>1289</v>
      </c>
      <c r="D593" s="24">
        <v>1</v>
      </c>
      <c r="E593" s="24">
        <v>0</v>
      </c>
      <c r="F593" s="24" t="s">
        <v>151</v>
      </c>
      <c r="G593" s="24" t="s">
        <v>1169</v>
      </c>
      <c r="H593" s="24"/>
      <c r="I593" s="24"/>
      <c r="J593" s="24"/>
      <c r="K593" s="24"/>
      <c r="L593" s="24" t="s">
        <v>25</v>
      </c>
      <c r="M593" s="24" t="s">
        <v>26</v>
      </c>
      <c r="N593" s="24"/>
      <c r="O593" s="26">
        <f>GET_OK_GROUPS_COUNT(tbStoryEnemy[[#This Row],[Camp]],tbStoryEnemy[[#This Row],[Difficulty]],tbStoryEnemy[[#This Row],[IsBoss]],tbStoryEnemy[[#This Row],[Hero1]:[Soldier3]])</f>
        <v>5</v>
      </c>
      <c r="P593" s="24">
        <v>1</v>
      </c>
      <c r="Q593" s="25" t="s">
        <v>912</v>
      </c>
      <c r="R593" s="24"/>
      <c r="S593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594" spans="2:19">
      <c r="B594" s="24" t="s">
        <v>1218</v>
      </c>
      <c r="C594" s="34" t="s">
        <v>1289</v>
      </c>
      <c r="D594" s="24">
        <v>2</v>
      </c>
      <c r="E594" s="24">
        <v>0</v>
      </c>
      <c r="F594" s="24" t="s">
        <v>151</v>
      </c>
      <c r="G594" s="24" t="s">
        <v>1169</v>
      </c>
      <c r="H594" s="24"/>
      <c r="I594" s="24" t="s">
        <v>380</v>
      </c>
      <c r="J594" s="24" t="s">
        <v>381</v>
      </c>
      <c r="K594" s="24"/>
      <c r="L594" s="24"/>
      <c r="M594" s="24"/>
      <c r="N594" s="24"/>
      <c r="O594" s="26">
        <f>GET_OK_GROUPS_COUNT(tbStoryEnemy[[#This Row],[Camp]],tbStoryEnemy[[#This Row],[Difficulty]],tbStoryEnemy[[#This Row],[IsBoss]],tbStoryEnemy[[#This Row],[Hero1]:[Soldier3]])</f>
        <v>1</v>
      </c>
      <c r="P594" s="24">
        <v>1</v>
      </c>
      <c r="Q594" s="25" t="s">
        <v>912</v>
      </c>
      <c r="R594" s="24"/>
      <c r="S594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595" spans="2:19">
      <c r="B595" s="24" t="s">
        <v>1219</v>
      </c>
      <c r="C595" s="34" t="s">
        <v>1289</v>
      </c>
      <c r="D595" s="24">
        <v>1</v>
      </c>
      <c r="E595" s="24">
        <v>0</v>
      </c>
      <c r="F595" s="24" t="s">
        <v>151</v>
      </c>
      <c r="G595" s="24" t="s">
        <v>1169</v>
      </c>
      <c r="H595" s="24"/>
      <c r="I595" s="24"/>
      <c r="J595" s="24"/>
      <c r="K595" s="24"/>
      <c r="L595" s="24" t="s">
        <v>447</v>
      </c>
      <c r="M595" s="24"/>
      <c r="N595" s="24"/>
      <c r="O595" s="26">
        <f>GET_OK_GROUPS_COUNT(tbStoryEnemy[[#This Row],[Camp]],tbStoryEnemy[[#This Row],[Difficulty]],tbStoryEnemy[[#This Row],[IsBoss]],tbStoryEnemy[[#This Row],[Hero1]:[Soldier3]])</f>
        <v>9</v>
      </c>
      <c r="P595" s="24">
        <v>3</v>
      </c>
      <c r="Q595" s="25" t="s">
        <v>912</v>
      </c>
      <c r="R595" s="24"/>
      <c r="S595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596" spans="2:19">
      <c r="B596" s="24" t="s">
        <v>1219</v>
      </c>
      <c r="C596" s="34" t="s">
        <v>1289</v>
      </c>
      <c r="D596" s="24">
        <v>2</v>
      </c>
      <c r="E596" s="24">
        <v>0</v>
      </c>
      <c r="F596" s="24" t="s">
        <v>151</v>
      </c>
      <c r="G596" s="24" t="s">
        <v>1126</v>
      </c>
      <c r="H596" s="24" t="b">
        <v>1</v>
      </c>
      <c r="I596" s="24" t="s">
        <v>396</v>
      </c>
      <c r="J596" s="24" t="s">
        <v>383</v>
      </c>
      <c r="K596" s="24"/>
      <c r="L596" s="24"/>
      <c r="M596" s="24"/>
      <c r="N596" s="24"/>
      <c r="O596" s="26">
        <f>GET_OK_GROUPS_COUNT(tbStoryEnemy[[#This Row],[Camp]],tbStoryEnemy[[#This Row],[Difficulty]],tbStoryEnemy[[#This Row],[IsBoss]],tbStoryEnemy[[#This Row],[Hero1]:[Soldier3]])</f>
        <v>1</v>
      </c>
      <c r="P596" s="24">
        <v>1</v>
      </c>
      <c r="Q596" s="25" t="s">
        <v>396</v>
      </c>
      <c r="R596" s="24"/>
      <c r="S596" s="26" t="str">
        <f>GET_OK_GROUP(tbStoryEnemy[[#This Row],[Camp]],tbStoryEnemy[[#This Row],[Difficulty]],tbStoryEnemy[[#This Row],[IsBoss]],tbStoryEnemy[[#This Row],[Hero1]:[Soldier3]],tbStoryEnemy[[#This Row],[GroupID]])</f>
        <v>三国-超难-[B]铁英+炼英</v>
      </c>
    </row>
  </sheetData>
  <phoneticPr fontId="28" type="noConversion"/>
  <conditionalFormatting sqref="P5:P596">
    <cfRule type="expression" dxfId="11" priority="2">
      <formula>P5&gt;O5</formula>
    </cfRule>
  </conditionalFormatting>
  <conditionalFormatting sqref="O5:O596">
    <cfRule type="cellIs" dxfId="10" priority="1" operator="equal">
      <formula>0</formula>
    </cfRule>
  </conditionalFormatting>
  <dataValidations count="5">
    <dataValidation type="list" allowBlank="1" showInputMessage="1" showErrorMessage="1" sqref="G5:G596">
      <formula1>"简单,普通,困难,超难,变态"</formula1>
    </dataValidation>
    <dataValidation type="list" allowBlank="1" showInputMessage="1" showErrorMessage="1" sqref="H5:H596">
      <formula1>"TRUE,FALSE"</formula1>
    </dataValidation>
    <dataValidation type="list" allowBlank="1" showInputMessage="1" showErrorMessage="1" sqref="F5:F596">
      <formula1>"三国,黄巾"</formula1>
    </dataValidation>
    <dataValidation type="list" allowBlank="1" showInputMessage="1" showErrorMessage="1" sqref="L5:N596">
      <formula1>SoldierNames</formula1>
    </dataValidation>
    <dataValidation type="list" allowBlank="1" showInputMessage="1" showErrorMessage="1" sqref="V12 I5:K596">
      <formula1>UnitNames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UpdateStory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5" name="Button 7">
              <controlPr defaultSize="0" print="0" autoFill="0" autoPict="0" macro="[0]!ReadStoryStageDifficulty">
                <anchor moveWithCells="1">
                  <from>
                    <xdr:col>3</xdr:col>
                    <xdr:colOff>285750</xdr:colOff>
                    <xdr:row>0</xdr:row>
                    <xdr:rowOff>171450</xdr:rowOff>
                  </from>
                  <to>
                    <xdr:col>5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S388"/>
  <sheetViews>
    <sheetView showGridLines="0" zoomScale="90" zoomScaleNormal="90" workbookViewId="0">
      <pane ySplit="4" topLeftCell="A5" activePane="bottomLeft" state="frozen"/>
      <selection activeCell="E1" sqref="E1:E1048576"/>
      <selection pane="bottomLeft" activeCell="E17" sqref="E17"/>
    </sheetView>
  </sheetViews>
  <sheetFormatPr defaultColWidth="9" defaultRowHeight="16.5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9.25" style="7" customWidth="1"/>
    <col min="6" max="6" width="9.625" style="7" customWidth="1"/>
    <col min="7" max="7" width="8.75" style="7" customWidth="1"/>
    <col min="8" max="8" width="9.125"/>
    <col min="9" max="11" width="9" style="7"/>
    <col min="12" max="14" width="10.5" style="7" customWidth="1"/>
    <col min="15" max="15" width="14" style="7" customWidth="1"/>
    <col min="16" max="16" width="10.5" style="7" customWidth="1"/>
    <col min="17" max="17" width="11.375" style="7" customWidth="1"/>
    <col min="18" max="18" width="11" style="7" customWidth="1"/>
    <col min="19" max="19" width="18.5" style="7" customWidth="1"/>
    <col min="20" max="16384" width="9" style="7"/>
  </cols>
  <sheetData>
    <row r="1" spans="2:19">
      <c r="H1" s="7"/>
    </row>
    <row r="2" spans="2:19">
      <c r="H2" s="7"/>
    </row>
    <row r="3" spans="2:19">
      <c r="H3" s="7"/>
    </row>
    <row r="4" spans="2:19">
      <c r="B4" s="8" t="s">
        <v>492</v>
      </c>
      <c r="C4" s="35" t="s">
        <v>1290</v>
      </c>
      <c r="D4" s="7" t="s">
        <v>482</v>
      </c>
      <c r="E4" s="36" t="s">
        <v>1312</v>
      </c>
      <c r="F4" s="7" t="s">
        <v>480</v>
      </c>
      <c r="G4" s="7" t="s">
        <v>470</v>
      </c>
      <c r="H4" s="7" t="s">
        <v>490</v>
      </c>
      <c r="I4" s="8" t="s">
        <v>473</v>
      </c>
      <c r="J4" s="8" t="s">
        <v>474</v>
      </c>
      <c r="K4" s="8" t="s">
        <v>475</v>
      </c>
      <c r="L4" s="7" t="s">
        <v>476</v>
      </c>
      <c r="M4" s="7" t="s">
        <v>477</v>
      </c>
      <c r="N4" s="7" t="s">
        <v>478</v>
      </c>
      <c r="O4" s="7" t="s">
        <v>487</v>
      </c>
      <c r="P4" s="7" t="s">
        <v>488</v>
      </c>
      <c r="Q4" s="16" t="s">
        <v>948</v>
      </c>
      <c r="R4" s="8" t="s">
        <v>496</v>
      </c>
      <c r="S4" s="7" t="s">
        <v>486</v>
      </c>
    </row>
    <row r="5" spans="2:19">
      <c r="B5" s="7" t="s">
        <v>949</v>
      </c>
      <c r="C5" s="35" t="s">
        <v>1301</v>
      </c>
      <c r="D5" s="7">
        <v>1</v>
      </c>
      <c r="F5" s="7" t="s">
        <v>151</v>
      </c>
      <c r="G5" s="16" t="s">
        <v>1125</v>
      </c>
      <c r="H5" s="7"/>
      <c r="I5" s="8" t="s">
        <v>382</v>
      </c>
      <c r="J5" s="7" t="s">
        <v>383</v>
      </c>
      <c r="O5" s="12">
        <f>GET_OK_GROUPS_COUNT(tbHeroEnemy[[#This Row],[Camp]],tbHeroEnemy[[#This Row],[Difficulty]],tbHeroEnemy[[#This Row],[IsBoss]],tbHeroEnemy[[#This Row],[Hero1]:[Soldier3]])</f>
        <v>1</v>
      </c>
      <c r="P5" s="7">
        <v>1</v>
      </c>
      <c r="Q5" s="7" t="s">
        <v>388</v>
      </c>
      <c r="R5" s="9" t="s">
        <v>912</v>
      </c>
      <c r="S5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6" spans="2:19">
      <c r="B6" s="16" t="s">
        <v>949</v>
      </c>
      <c r="C6" s="35" t="s">
        <v>1301</v>
      </c>
      <c r="D6" s="16">
        <v>2</v>
      </c>
      <c r="E6" s="16"/>
      <c r="F6" s="7" t="s">
        <v>151</v>
      </c>
      <c r="G6" s="16" t="s">
        <v>1125</v>
      </c>
      <c r="H6" s="16" t="b">
        <v>1</v>
      </c>
      <c r="I6" s="16" t="s">
        <v>413</v>
      </c>
      <c r="J6" s="16" t="s">
        <v>381</v>
      </c>
      <c r="K6" s="16"/>
      <c r="L6" s="16"/>
      <c r="M6" s="16"/>
      <c r="N6" s="16"/>
      <c r="O6" s="12">
        <f>GET_OK_GROUPS_COUNT(tbHeroEnemy[[#This Row],[Camp]],tbHeroEnemy[[#This Row],[Difficulty]],tbHeroEnemy[[#This Row],[IsBoss]],tbHeroEnemy[[#This Row],[Hero1]:[Soldier3]])</f>
        <v>1</v>
      </c>
      <c r="P6" s="7">
        <v>1</v>
      </c>
      <c r="Q6" s="16" t="s">
        <v>388</v>
      </c>
      <c r="R6" s="9" t="s">
        <v>413</v>
      </c>
      <c r="S6" s="2" t="str">
        <f>GET_OK_GROUP(tbHeroEnemy[[#This Row],[Camp]],tbHeroEnemy[[#This Row],[Difficulty]],tbHeroEnemy[[#This Row],[IsBoss]],tbHeroEnemy[[#This Row],[Hero1]:[Soldier3]],tbHeroEnemy[[#This Row],[GroupID]])</f>
        <v>三国-困难-[B]盾英+强英</v>
      </c>
    </row>
    <row r="7" spans="2:19">
      <c r="B7" s="16" t="s">
        <v>950</v>
      </c>
      <c r="C7" s="35" t="s">
        <v>1301</v>
      </c>
      <c r="D7" s="16">
        <v>1</v>
      </c>
      <c r="E7" s="16"/>
      <c r="F7" s="7" t="s">
        <v>151</v>
      </c>
      <c r="G7" s="16" t="s">
        <v>1125</v>
      </c>
      <c r="H7" s="7"/>
      <c r="I7" s="16" t="s">
        <v>381</v>
      </c>
      <c r="J7" s="16" t="s">
        <v>381</v>
      </c>
      <c r="K7" s="16"/>
      <c r="L7" s="16"/>
      <c r="M7" s="16"/>
      <c r="N7" s="16"/>
      <c r="O7" s="12">
        <f>GET_OK_GROUPS_COUNT(tbHeroEnemy[[#This Row],[Camp]],tbHeroEnemy[[#This Row],[Difficulty]],tbHeroEnemy[[#This Row],[IsBoss]],tbHeroEnemy[[#This Row],[Hero1]:[Soldier3]])</f>
        <v>1</v>
      </c>
      <c r="P7" s="7">
        <v>1</v>
      </c>
      <c r="Q7" s="16" t="s">
        <v>388</v>
      </c>
      <c r="R7" s="9" t="s">
        <v>912</v>
      </c>
      <c r="S7" s="2" t="str">
        <f>GET_OK_GROUP(tbHeroEnemy[[#This Row],[Camp]],tbHeroEnemy[[#This Row],[Difficulty]],tbHeroEnemy[[#This Row],[IsBoss]],tbHeroEnemy[[#This Row],[Hero1]:[Soldier3]],tbHeroEnemy[[#This Row],[GroupID]])</f>
        <v>三国-困难-强英+强英</v>
      </c>
    </row>
    <row r="8" spans="2:19">
      <c r="B8" s="16" t="s">
        <v>950</v>
      </c>
      <c r="C8" s="35" t="s">
        <v>1301</v>
      </c>
      <c r="D8" s="16">
        <v>2</v>
      </c>
      <c r="E8" s="16"/>
      <c r="F8" s="7" t="s">
        <v>151</v>
      </c>
      <c r="G8" s="16" t="s">
        <v>1126</v>
      </c>
      <c r="H8" s="16" t="b">
        <v>1</v>
      </c>
      <c r="I8" s="16" t="s">
        <v>424</v>
      </c>
      <c r="J8" s="16" t="s">
        <v>382</v>
      </c>
      <c r="K8" s="16"/>
      <c r="L8" s="16"/>
      <c r="M8" s="16"/>
      <c r="N8" s="16"/>
      <c r="O8" s="12">
        <f>GET_OK_GROUPS_COUNT(tbHeroEnemy[[#This Row],[Camp]],tbHeroEnemy[[#This Row],[Difficulty]],tbHeroEnemy[[#This Row],[IsBoss]],tbHeroEnemy[[#This Row],[Hero1]:[Soldier3]])</f>
        <v>1</v>
      </c>
      <c r="P8" s="7">
        <v>1</v>
      </c>
      <c r="Q8" s="16" t="s">
        <v>388</v>
      </c>
      <c r="R8" s="9" t="s">
        <v>424</v>
      </c>
      <c r="S8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9" spans="2:19">
      <c r="B9" s="16" t="s">
        <v>951</v>
      </c>
      <c r="C9" s="35" t="s">
        <v>1301</v>
      </c>
      <c r="D9" s="16">
        <v>1</v>
      </c>
      <c r="E9" s="16"/>
      <c r="F9" s="7" t="s">
        <v>151</v>
      </c>
      <c r="G9" s="16" t="s">
        <v>1126</v>
      </c>
      <c r="H9" s="7"/>
      <c r="I9" s="16" t="s">
        <v>383</v>
      </c>
      <c r="J9" s="16" t="s">
        <v>383</v>
      </c>
      <c r="K9" s="16"/>
      <c r="L9" s="16"/>
      <c r="M9" s="16"/>
      <c r="N9" s="16"/>
      <c r="O9" s="12">
        <f>GET_OK_GROUPS_COUNT(tbHeroEnemy[[#This Row],[Camp]],tbHeroEnemy[[#This Row],[Difficulty]],tbHeroEnemy[[#This Row],[IsBoss]],tbHeroEnemy[[#This Row],[Hero1]:[Soldier3]])</f>
        <v>1</v>
      </c>
      <c r="P9" s="7">
        <v>1</v>
      </c>
      <c r="Q9" s="16" t="s">
        <v>388</v>
      </c>
      <c r="R9" s="9" t="s">
        <v>912</v>
      </c>
      <c r="S9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10" spans="2:19">
      <c r="B10" s="16" t="s">
        <v>951</v>
      </c>
      <c r="C10" s="35" t="s">
        <v>1301</v>
      </c>
      <c r="D10" s="16">
        <v>2</v>
      </c>
      <c r="E10" s="16"/>
      <c r="F10" s="7" t="s">
        <v>151</v>
      </c>
      <c r="G10" s="16" t="s">
        <v>1126</v>
      </c>
      <c r="H10" s="16" t="b">
        <v>1</v>
      </c>
      <c r="I10" s="16" t="s">
        <v>409</v>
      </c>
      <c r="J10" s="16" t="s">
        <v>383</v>
      </c>
      <c r="K10" s="16"/>
      <c r="L10" s="16"/>
      <c r="M10" s="16"/>
      <c r="N10" s="16"/>
      <c r="O10" s="12">
        <f>GET_OK_GROUPS_COUNT(tbHeroEnemy[[#This Row],[Camp]],tbHeroEnemy[[#This Row],[Difficulty]],tbHeroEnemy[[#This Row],[IsBoss]],tbHeroEnemy[[#This Row],[Hero1]:[Soldier3]])</f>
        <v>1</v>
      </c>
      <c r="P10" s="7">
        <v>1</v>
      </c>
      <c r="Q10" s="16" t="s">
        <v>388</v>
      </c>
      <c r="R10" s="9" t="s">
        <v>409</v>
      </c>
      <c r="S1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11" spans="2:19">
      <c r="B11" s="16" t="s">
        <v>952</v>
      </c>
      <c r="C11" s="35" t="s">
        <v>1301</v>
      </c>
      <c r="D11" s="16">
        <v>1</v>
      </c>
      <c r="E11" s="16"/>
      <c r="F11" s="7" t="s">
        <v>151</v>
      </c>
      <c r="G11" s="16" t="s">
        <v>1126</v>
      </c>
      <c r="H11" s="7"/>
      <c r="I11" s="16" t="s">
        <v>380</v>
      </c>
      <c r="J11" s="16" t="s">
        <v>382</v>
      </c>
      <c r="K11" s="16"/>
      <c r="L11" s="16"/>
      <c r="M11" s="16"/>
      <c r="N11" s="16"/>
      <c r="O11" s="12">
        <f>GET_OK_GROUPS_COUNT(tbHeroEnemy[[#This Row],[Camp]],tbHeroEnemy[[#This Row],[Difficulty]],tbHeroEnemy[[#This Row],[IsBoss]],tbHeroEnemy[[#This Row],[Hero1]:[Soldier3]])</f>
        <v>1</v>
      </c>
      <c r="P11" s="7">
        <v>1</v>
      </c>
      <c r="Q11" s="16" t="s">
        <v>388</v>
      </c>
      <c r="R11" s="9" t="s">
        <v>912</v>
      </c>
      <c r="S11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2" spans="2:19">
      <c r="B12" s="16" t="s">
        <v>952</v>
      </c>
      <c r="C12" s="35" t="s">
        <v>1301</v>
      </c>
      <c r="D12" s="16">
        <v>2</v>
      </c>
      <c r="E12" s="16"/>
      <c r="F12" s="7" t="s">
        <v>151</v>
      </c>
      <c r="G12" s="16" t="s">
        <v>1126</v>
      </c>
      <c r="H12" s="16" t="b">
        <v>1</v>
      </c>
      <c r="I12" s="16" t="s">
        <v>429</v>
      </c>
      <c r="J12" s="16" t="s">
        <v>382</v>
      </c>
      <c r="K12" s="16"/>
      <c r="L12" s="16"/>
      <c r="M12" s="16"/>
      <c r="N12" s="16"/>
      <c r="O12" s="12">
        <f>GET_OK_GROUPS_COUNT(tbHeroEnemy[[#This Row],[Camp]],tbHeroEnemy[[#This Row],[Difficulty]],tbHeroEnemy[[#This Row],[IsBoss]],tbHeroEnemy[[#This Row],[Hero1]:[Soldier3]])</f>
        <v>1</v>
      </c>
      <c r="P12" s="7">
        <v>1</v>
      </c>
      <c r="Q12" s="16" t="s">
        <v>388</v>
      </c>
      <c r="R12" s="9" t="s">
        <v>429</v>
      </c>
      <c r="S12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13" spans="2:19">
      <c r="B13" s="16" t="s">
        <v>953</v>
      </c>
      <c r="C13" s="35" t="s">
        <v>1301</v>
      </c>
      <c r="D13" s="16">
        <v>1</v>
      </c>
      <c r="E13" s="16"/>
      <c r="F13" s="7" t="s">
        <v>151</v>
      </c>
      <c r="G13" s="16" t="s">
        <v>1125</v>
      </c>
      <c r="H13" s="7"/>
      <c r="I13" s="16" t="s">
        <v>384</v>
      </c>
      <c r="J13" s="16" t="s">
        <v>381</v>
      </c>
      <c r="K13" s="16"/>
      <c r="L13" s="16"/>
      <c r="M13" s="16"/>
      <c r="N13" s="16"/>
      <c r="O13" s="12">
        <f>GET_OK_GROUPS_COUNT(tbHeroEnemy[[#This Row],[Camp]],tbHeroEnemy[[#This Row],[Difficulty]],tbHeroEnemy[[#This Row],[IsBoss]],tbHeroEnemy[[#This Row],[Hero1]:[Soldier3]])</f>
        <v>1</v>
      </c>
      <c r="P13" s="7">
        <v>1</v>
      </c>
      <c r="Q13" s="16" t="s">
        <v>389</v>
      </c>
      <c r="R13" s="9" t="s">
        <v>912</v>
      </c>
      <c r="S13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14" spans="2:19">
      <c r="B14" s="16" t="s">
        <v>953</v>
      </c>
      <c r="C14" s="35" t="s">
        <v>1301</v>
      </c>
      <c r="D14" s="16">
        <v>2</v>
      </c>
      <c r="E14" s="16"/>
      <c r="F14" s="7" t="s">
        <v>151</v>
      </c>
      <c r="G14" s="16" t="s">
        <v>1125</v>
      </c>
      <c r="H14" s="16" t="b">
        <v>1</v>
      </c>
      <c r="I14" s="16" t="s">
        <v>421</v>
      </c>
      <c r="J14" s="16" t="s">
        <v>385</v>
      </c>
      <c r="K14" s="16"/>
      <c r="L14" s="16"/>
      <c r="M14" s="16"/>
      <c r="N14" s="16"/>
      <c r="O14" s="12">
        <f>GET_OK_GROUPS_COUNT(tbHeroEnemy[[#This Row],[Camp]],tbHeroEnemy[[#This Row],[Difficulty]],tbHeroEnemy[[#This Row],[IsBoss]],tbHeroEnemy[[#This Row],[Hero1]:[Soldier3]])</f>
        <v>1</v>
      </c>
      <c r="P14" s="7">
        <v>1</v>
      </c>
      <c r="Q14" s="16" t="s">
        <v>389</v>
      </c>
      <c r="R14" s="9" t="s">
        <v>421</v>
      </c>
      <c r="S14" s="2" t="str">
        <f>GET_OK_GROUP(tbHeroEnemy[[#This Row],[Camp]],tbHeroEnemy[[#This Row],[Difficulty]],tbHeroEnemy[[#This Row],[IsBoss]],tbHeroEnemy[[#This Row],[Hero1]:[Soldier3]],tbHeroEnemy[[#This Row],[GroupID]])</f>
        <v>三国-困难-[B]刺英+刺英</v>
      </c>
    </row>
    <row r="15" spans="2:19">
      <c r="B15" s="16" t="s">
        <v>954</v>
      </c>
      <c r="C15" s="35" t="s">
        <v>1301</v>
      </c>
      <c r="D15" s="16">
        <v>1</v>
      </c>
      <c r="E15" s="16"/>
      <c r="F15" s="7" t="s">
        <v>151</v>
      </c>
      <c r="G15" s="16" t="s">
        <v>1125</v>
      </c>
      <c r="H15" s="7"/>
      <c r="I15" s="16" t="s">
        <v>381</v>
      </c>
      <c r="J15" s="16" t="s">
        <v>380</v>
      </c>
      <c r="K15" s="16"/>
      <c r="L15" s="16"/>
      <c r="M15" s="16"/>
      <c r="N15" s="16"/>
      <c r="O15" s="12">
        <f>GET_OK_GROUPS_COUNT(tbHeroEnemy[[#This Row],[Camp]],tbHeroEnemy[[#This Row],[Difficulty]],tbHeroEnemy[[#This Row],[IsBoss]],tbHeroEnemy[[#This Row],[Hero1]:[Soldier3]])</f>
        <v>1</v>
      </c>
      <c r="P15" s="7">
        <v>1</v>
      </c>
      <c r="Q15" s="16" t="s">
        <v>389</v>
      </c>
      <c r="R15" s="9" t="s">
        <v>912</v>
      </c>
      <c r="S15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16" spans="2:19">
      <c r="B16" s="16" t="s">
        <v>954</v>
      </c>
      <c r="C16" s="35" t="s">
        <v>1301</v>
      </c>
      <c r="D16" s="16">
        <v>2</v>
      </c>
      <c r="E16" s="16"/>
      <c r="F16" s="7" t="s">
        <v>151</v>
      </c>
      <c r="G16" s="16" t="s">
        <v>1126</v>
      </c>
      <c r="H16" s="16" t="b">
        <v>1</v>
      </c>
      <c r="I16" s="16" t="s">
        <v>427</v>
      </c>
      <c r="J16" s="16" t="s">
        <v>380</v>
      </c>
      <c r="K16" s="16"/>
      <c r="L16" s="16"/>
      <c r="M16" s="16"/>
      <c r="N16" s="16"/>
      <c r="O16" s="12">
        <f>GET_OK_GROUPS_COUNT(tbHeroEnemy[[#This Row],[Camp]],tbHeroEnemy[[#This Row],[Difficulty]],tbHeroEnemy[[#This Row],[IsBoss]],tbHeroEnemy[[#This Row],[Hero1]:[Soldier3]])</f>
        <v>1</v>
      </c>
      <c r="P16" s="7">
        <v>1</v>
      </c>
      <c r="Q16" s="16" t="s">
        <v>389</v>
      </c>
      <c r="R16" s="9" t="s">
        <v>427</v>
      </c>
      <c r="S1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7" spans="2:19">
      <c r="B17" s="16" t="s">
        <v>955</v>
      </c>
      <c r="C17" s="35" t="s">
        <v>1301</v>
      </c>
      <c r="D17" s="16">
        <v>1</v>
      </c>
      <c r="E17" s="16"/>
      <c r="F17" s="7" t="s">
        <v>151</v>
      </c>
      <c r="G17" s="16" t="s">
        <v>1126</v>
      </c>
      <c r="H17" s="7"/>
      <c r="I17" s="16" t="s">
        <v>384</v>
      </c>
      <c r="J17" s="16" t="s">
        <v>381</v>
      </c>
      <c r="K17" s="16"/>
      <c r="L17" s="16"/>
      <c r="M17" s="16"/>
      <c r="N17" s="16"/>
      <c r="O17" s="12">
        <f>GET_OK_GROUPS_COUNT(tbHeroEnemy[[#This Row],[Camp]],tbHeroEnemy[[#This Row],[Difficulty]],tbHeroEnemy[[#This Row],[IsBoss]],tbHeroEnemy[[#This Row],[Hero1]:[Soldier3]])</f>
        <v>1</v>
      </c>
      <c r="P17" s="7">
        <v>1</v>
      </c>
      <c r="Q17" s="16" t="s">
        <v>389</v>
      </c>
      <c r="R17" s="9" t="s">
        <v>912</v>
      </c>
      <c r="S17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18" spans="2:19">
      <c r="B18" s="16" t="s">
        <v>955</v>
      </c>
      <c r="C18" s="35" t="s">
        <v>1301</v>
      </c>
      <c r="D18" s="16">
        <v>2</v>
      </c>
      <c r="E18" s="16"/>
      <c r="F18" s="7" t="s">
        <v>151</v>
      </c>
      <c r="G18" s="16" t="s">
        <v>1126</v>
      </c>
      <c r="H18" s="16" t="b">
        <v>1</v>
      </c>
      <c r="I18" s="16" t="s">
        <v>410</v>
      </c>
      <c r="J18" s="16" t="s">
        <v>383</v>
      </c>
      <c r="K18" s="16"/>
      <c r="L18" s="16"/>
      <c r="M18" s="16"/>
      <c r="N18" s="16"/>
      <c r="O18" s="12">
        <f>GET_OK_GROUPS_COUNT(tbHeroEnemy[[#This Row],[Camp]],tbHeroEnemy[[#This Row],[Difficulty]],tbHeroEnemy[[#This Row],[IsBoss]],tbHeroEnemy[[#This Row],[Hero1]:[Soldier3]])</f>
        <v>1</v>
      </c>
      <c r="P18" s="7">
        <v>1</v>
      </c>
      <c r="Q18" s="16" t="s">
        <v>389</v>
      </c>
      <c r="R18" s="9" t="s">
        <v>410</v>
      </c>
      <c r="S18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9" spans="2:19">
      <c r="B19" s="16" t="s">
        <v>956</v>
      </c>
      <c r="C19" s="35" t="s">
        <v>1301</v>
      </c>
      <c r="D19" s="16">
        <v>1</v>
      </c>
      <c r="E19" s="16"/>
      <c r="F19" s="7" t="s">
        <v>151</v>
      </c>
      <c r="G19" s="16" t="s">
        <v>1126</v>
      </c>
      <c r="H19" s="7"/>
      <c r="I19" s="16" t="s">
        <v>381</v>
      </c>
      <c r="J19" s="16" t="s">
        <v>382</v>
      </c>
      <c r="K19" s="16"/>
      <c r="L19" s="16"/>
      <c r="M19" s="16"/>
      <c r="N19" s="16"/>
      <c r="O19" s="12">
        <f>GET_OK_GROUPS_COUNT(tbHeroEnemy[[#This Row],[Camp]],tbHeroEnemy[[#This Row],[Difficulty]],tbHeroEnemy[[#This Row],[IsBoss]],tbHeroEnemy[[#This Row],[Hero1]:[Soldier3]])</f>
        <v>1</v>
      </c>
      <c r="P19" s="7">
        <v>1</v>
      </c>
      <c r="Q19" s="16" t="s">
        <v>389</v>
      </c>
      <c r="R19" s="9" t="s">
        <v>912</v>
      </c>
      <c r="S19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20" spans="2:19">
      <c r="B20" s="16" t="s">
        <v>956</v>
      </c>
      <c r="C20" s="35" t="s">
        <v>1301</v>
      </c>
      <c r="D20" s="16">
        <v>2</v>
      </c>
      <c r="E20" s="16"/>
      <c r="F20" s="7" t="s">
        <v>151</v>
      </c>
      <c r="G20" s="16" t="s">
        <v>1126</v>
      </c>
      <c r="H20" s="16" t="b">
        <v>1</v>
      </c>
      <c r="I20" s="16" t="s">
        <v>388</v>
      </c>
      <c r="J20" s="16" t="s">
        <v>383</v>
      </c>
      <c r="K20" s="16"/>
      <c r="L20" s="16"/>
      <c r="M20" s="16"/>
      <c r="N20" s="16"/>
      <c r="O20" s="12">
        <f>GET_OK_GROUPS_COUNT(tbHeroEnemy[[#This Row],[Camp]],tbHeroEnemy[[#This Row],[Difficulty]],tbHeroEnemy[[#This Row],[IsBoss]],tbHeroEnemy[[#This Row],[Hero1]:[Soldier3]])</f>
        <v>1</v>
      </c>
      <c r="P20" s="7">
        <v>1</v>
      </c>
      <c r="Q20" s="16" t="s">
        <v>389</v>
      </c>
      <c r="R20" s="9" t="s">
        <v>388</v>
      </c>
      <c r="S2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1" spans="2:19">
      <c r="B21" s="16" t="s">
        <v>957</v>
      </c>
      <c r="C21" s="35" t="s">
        <v>1301</v>
      </c>
      <c r="D21" s="16">
        <v>1</v>
      </c>
      <c r="E21" s="16"/>
      <c r="F21" s="7" t="s">
        <v>151</v>
      </c>
      <c r="G21" s="16" t="s">
        <v>1125</v>
      </c>
      <c r="H21" s="7"/>
      <c r="I21" s="16" t="s">
        <v>382</v>
      </c>
      <c r="J21" s="16" t="s">
        <v>381</v>
      </c>
      <c r="K21" s="16"/>
      <c r="L21" s="16"/>
      <c r="M21" s="16"/>
      <c r="N21" s="16"/>
      <c r="O21" s="12">
        <f>GET_OK_GROUPS_COUNT(tbHeroEnemy[[#This Row],[Camp]],tbHeroEnemy[[#This Row],[Difficulty]],tbHeroEnemy[[#This Row],[IsBoss]],tbHeroEnemy[[#This Row],[Hero1]:[Soldier3]])</f>
        <v>1</v>
      </c>
      <c r="P21" s="7">
        <v>1</v>
      </c>
      <c r="Q21" s="16" t="s">
        <v>390</v>
      </c>
      <c r="R21" s="9" t="s">
        <v>912</v>
      </c>
      <c r="S21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2" spans="2:19">
      <c r="B22" s="16" t="s">
        <v>957</v>
      </c>
      <c r="C22" s="35" t="s">
        <v>1301</v>
      </c>
      <c r="D22" s="16">
        <v>2</v>
      </c>
      <c r="E22" s="16"/>
      <c r="F22" s="7" t="s">
        <v>151</v>
      </c>
      <c r="G22" s="16" t="s">
        <v>1125</v>
      </c>
      <c r="H22" s="16" t="b">
        <v>1</v>
      </c>
      <c r="I22" s="16" t="s">
        <v>403</v>
      </c>
      <c r="J22" s="16" t="s">
        <v>381</v>
      </c>
      <c r="K22" s="16"/>
      <c r="L22" s="16"/>
      <c r="M22" s="16"/>
      <c r="N22" s="16"/>
      <c r="O22" s="12">
        <f>GET_OK_GROUPS_COUNT(tbHeroEnemy[[#This Row],[Camp]],tbHeroEnemy[[#This Row],[Difficulty]],tbHeroEnemy[[#This Row],[IsBoss]],tbHeroEnemy[[#This Row],[Hero1]:[Soldier3]])</f>
        <v>1</v>
      </c>
      <c r="P22" s="7">
        <v>1</v>
      </c>
      <c r="Q22" s="16" t="s">
        <v>390</v>
      </c>
      <c r="R22" s="9" t="s">
        <v>403</v>
      </c>
      <c r="S22" s="2" t="str">
        <f>GET_OK_GROUP(tbHeroEnemy[[#This Row],[Camp]],tbHeroEnemy[[#This Row],[Difficulty]],tbHeroEnemy[[#This Row],[IsBoss]],tbHeroEnemy[[#This Row],[Hero1]:[Soldier3]],tbHeroEnemy[[#This Row],[GroupID]])</f>
        <v>三国-困难-[B]强英+法英</v>
      </c>
    </row>
    <row r="23" spans="2:19">
      <c r="B23" s="16" t="s">
        <v>958</v>
      </c>
      <c r="C23" s="35" t="s">
        <v>1301</v>
      </c>
      <c r="D23" s="16">
        <v>1</v>
      </c>
      <c r="E23" s="16"/>
      <c r="F23" s="7" t="s">
        <v>151</v>
      </c>
      <c r="G23" s="16" t="s">
        <v>1125</v>
      </c>
      <c r="H23" s="7"/>
      <c r="I23" s="16" t="s">
        <v>382</v>
      </c>
      <c r="J23" s="16" t="s">
        <v>383</v>
      </c>
      <c r="K23" s="16"/>
      <c r="L23" s="16"/>
      <c r="M23" s="16"/>
      <c r="N23" s="16"/>
      <c r="O23" s="12">
        <f>GET_OK_GROUPS_COUNT(tbHeroEnemy[[#This Row],[Camp]],tbHeroEnemy[[#This Row],[Difficulty]],tbHeroEnemy[[#This Row],[IsBoss]],tbHeroEnemy[[#This Row],[Hero1]:[Soldier3]])</f>
        <v>1</v>
      </c>
      <c r="P23" s="7">
        <v>1</v>
      </c>
      <c r="Q23" s="16" t="s">
        <v>390</v>
      </c>
      <c r="R23" s="9" t="s">
        <v>912</v>
      </c>
      <c r="S23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24" spans="2:19">
      <c r="B24" s="16" t="s">
        <v>958</v>
      </c>
      <c r="C24" s="35" t="s">
        <v>1301</v>
      </c>
      <c r="D24" s="16">
        <v>2</v>
      </c>
      <c r="E24" s="16"/>
      <c r="F24" s="7" t="s">
        <v>151</v>
      </c>
      <c r="G24" s="16" t="s">
        <v>1126</v>
      </c>
      <c r="H24" s="16" t="b">
        <v>1</v>
      </c>
      <c r="I24" s="16" t="s">
        <v>394</v>
      </c>
      <c r="J24" s="16" t="s">
        <v>385</v>
      </c>
      <c r="K24" s="16"/>
      <c r="L24" s="16"/>
      <c r="M24" s="16"/>
      <c r="N24" s="16"/>
      <c r="O24" s="12">
        <f>GET_OK_GROUPS_COUNT(tbHeroEnemy[[#This Row],[Camp]],tbHeroEnemy[[#This Row],[Difficulty]],tbHeroEnemy[[#This Row],[IsBoss]],tbHeroEnemy[[#This Row],[Hero1]:[Soldier3]])</f>
        <v>1</v>
      </c>
      <c r="P24" s="7">
        <v>1</v>
      </c>
      <c r="Q24" s="16" t="s">
        <v>390</v>
      </c>
      <c r="R24" s="9" t="s">
        <v>394</v>
      </c>
      <c r="S24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25" spans="2:19">
      <c r="B25" s="16" t="s">
        <v>959</v>
      </c>
      <c r="C25" s="35" t="s">
        <v>1301</v>
      </c>
      <c r="D25" s="16">
        <v>1</v>
      </c>
      <c r="E25" s="16"/>
      <c r="F25" s="7" t="s">
        <v>151</v>
      </c>
      <c r="G25" s="16" t="s">
        <v>1126</v>
      </c>
      <c r="H25" s="7"/>
      <c r="I25" s="16" t="s">
        <v>385</v>
      </c>
      <c r="J25" s="16" t="s">
        <v>380</v>
      </c>
      <c r="K25" s="16"/>
      <c r="L25" s="16"/>
      <c r="M25" s="16"/>
      <c r="N25" s="16"/>
      <c r="O25" s="12">
        <f>GET_OK_GROUPS_COUNT(tbHeroEnemy[[#This Row],[Camp]],tbHeroEnemy[[#This Row],[Difficulty]],tbHeroEnemy[[#This Row],[IsBoss]],tbHeroEnemy[[#This Row],[Hero1]:[Soldier3]])</f>
        <v>1</v>
      </c>
      <c r="P25" s="7">
        <v>1</v>
      </c>
      <c r="Q25" s="16" t="s">
        <v>390</v>
      </c>
      <c r="R25" s="9" t="s">
        <v>912</v>
      </c>
      <c r="S2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6" spans="2:19">
      <c r="B26" s="16" t="s">
        <v>959</v>
      </c>
      <c r="C26" s="35" t="s">
        <v>1301</v>
      </c>
      <c r="D26" s="16">
        <v>2</v>
      </c>
      <c r="E26" s="16"/>
      <c r="F26" s="7" t="s">
        <v>151</v>
      </c>
      <c r="G26" s="16" t="s">
        <v>1126</v>
      </c>
      <c r="H26" s="16" t="b">
        <v>1</v>
      </c>
      <c r="I26" s="16" t="s">
        <v>407</v>
      </c>
      <c r="J26" s="16" t="s">
        <v>385</v>
      </c>
      <c r="K26" s="16"/>
      <c r="L26" s="16"/>
      <c r="M26" s="16"/>
      <c r="N26" s="16"/>
      <c r="O26" s="12">
        <f>GET_OK_GROUPS_COUNT(tbHeroEnemy[[#This Row],[Camp]],tbHeroEnemy[[#This Row],[Difficulty]],tbHeroEnemy[[#This Row],[IsBoss]],tbHeroEnemy[[#This Row],[Hero1]:[Soldier3]])</f>
        <v>1</v>
      </c>
      <c r="P26" s="7">
        <v>1</v>
      </c>
      <c r="Q26" s="16" t="s">
        <v>390</v>
      </c>
      <c r="R26" s="9" t="s">
        <v>407</v>
      </c>
      <c r="S2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7" spans="2:19">
      <c r="B27" s="16" t="s">
        <v>960</v>
      </c>
      <c r="C27" s="35" t="s">
        <v>1301</v>
      </c>
      <c r="D27" s="16">
        <v>1</v>
      </c>
      <c r="E27" s="16"/>
      <c r="F27" s="7" t="s">
        <v>151</v>
      </c>
      <c r="G27" s="16" t="s">
        <v>1126</v>
      </c>
      <c r="H27" s="7"/>
      <c r="I27" s="16" t="s">
        <v>382</v>
      </c>
      <c r="J27" s="16" t="s">
        <v>381</v>
      </c>
      <c r="K27" s="16"/>
      <c r="L27" s="16"/>
      <c r="M27" s="16"/>
      <c r="N27" s="16"/>
      <c r="O27" s="12">
        <f>GET_OK_GROUPS_COUNT(tbHeroEnemy[[#This Row],[Camp]],tbHeroEnemy[[#This Row],[Difficulty]],tbHeroEnemy[[#This Row],[IsBoss]],tbHeroEnemy[[#This Row],[Hero1]:[Soldier3]])</f>
        <v>1</v>
      </c>
      <c r="P27" s="7">
        <v>1</v>
      </c>
      <c r="Q27" s="16" t="s">
        <v>390</v>
      </c>
      <c r="R27" s="9" t="s">
        <v>912</v>
      </c>
      <c r="S27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28" spans="2:19">
      <c r="B28" s="16" t="s">
        <v>960</v>
      </c>
      <c r="C28" s="35" t="s">
        <v>1301</v>
      </c>
      <c r="D28" s="16">
        <v>2</v>
      </c>
      <c r="E28" s="16"/>
      <c r="F28" s="7" t="s">
        <v>151</v>
      </c>
      <c r="G28" s="16" t="s">
        <v>1126</v>
      </c>
      <c r="H28" s="16" t="b">
        <v>1</v>
      </c>
      <c r="I28" s="16" t="s">
        <v>388</v>
      </c>
      <c r="J28" s="16" t="s">
        <v>383</v>
      </c>
      <c r="K28" s="16"/>
      <c r="L28" s="16"/>
      <c r="M28" s="16"/>
      <c r="N28" s="16"/>
      <c r="O28" s="12">
        <f>GET_OK_GROUPS_COUNT(tbHeroEnemy[[#This Row],[Camp]],tbHeroEnemy[[#This Row],[Difficulty]],tbHeroEnemy[[#This Row],[IsBoss]],tbHeroEnemy[[#This Row],[Hero1]:[Soldier3]])</f>
        <v>1</v>
      </c>
      <c r="P28" s="7">
        <v>1</v>
      </c>
      <c r="Q28" s="16" t="s">
        <v>390</v>
      </c>
      <c r="R28" s="9" t="s">
        <v>388</v>
      </c>
      <c r="S2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9" spans="2:19">
      <c r="B29" s="16" t="s">
        <v>961</v>
      </c>
      <c r="C29" s="35" t="s">
        <v>1301</v>
      </c>
      <c r="D29" s="16">
        <v>1</v>
      </c>
      <c r="E29" s="16"/>
      <c r="F29" s="7" t="s">
        <v>151</v>
      </c>
      <c r="G29" s="16" t="s">
        <v>1125</v>
      </c>
      <c r="H29" s="7"/>
      <c r="I29" s="16" t="s">
        <v>382</v>
      </c>
      <c r="J29" s="16" t="s">
        <v>382</v>
      </c>
      <c r="K29" s="16"/>
      <c r="L29" s="16"/>
      <c r="M29" s="16"/>
      <c r="N29" s="16"/>
      <c r="O29" s="12">
        <f>GET_OK_GROUPS_COUNT(tbHeroEnemy[[#This Row],[Camp]],tbHeroEnemy[[#This Row],[Difficulty]],tbHeroEnemy[[#This Row],[IsBoss]],tbHeroEnemy[[#This Row],[Hero1]:[Soldier3]])</f>
        <v>1</v>
      </c>
      <c r="P29" s="7">
        <v>1</v>
      </c>
      <c r="Q29" s="16" t="s">
        <v>391</v>
      </c>
      <c r="R29" s="9" t="s">
        <v>912</v>
      </c>
      <c r="S29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0" spans="2:19">
      <c r="B30" s="16" t="s">
        <v>961</v>
      </c>
      <c r="C30" s="35" t="s">
        <v>1301</v>
      </c>
      <c r="D30" s="16">
        <v>2</v>
      </c>
      <c r="E30" s="16"/>
      <c r="F30" s="7" t="s">
        <v>151</v>
      </c>
      <c r="G30" s="16" t="s">
        <v>1125</v>
      </c>
      <c r="H30" s="16" t="b">
        <v>1</v>
      </c>
      <c r="I30" s="16" t="s">
        <v>404</v>
      </c>
      <c r="J30" s="16" t="s">
        <v>384</v>
      </c>
      <c r="K30" s="16"/>
      <c r="L30" s="16"/>
      <c r="M30" s="16"/>
      <c r="N30" s="16"/>
      <c r="O30" s="12">
        <f>GET_OK_GROUPS_COUNT(tbHeroEnemy[[#This Row],[Camp]],tbHeroEnemy[[#This Row],[Difficulty]],tbHeroEnemy[[#This Row],[IsBoss]],tbHeroEnemy[[#This Row],[Hero1]:[Soldier3]])</f>
        <v>1</v>
      </c>
      <c r="P30" s="7">
        <v>1</v>
      </c>
      <c r="Q30" s="16" t="s">
        <v>391</v>
      </c>
      <c r="R30" s="9" t="s">
        <v>404</v>
      </c>
      <c r="S30" s="2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31" spans="2:19">
      <c r="B31" s="16" t="s">
        <v>962</v>
      </c>
      <c r="C31" s="35" t="s">
        <v>1301</v>
      </c>
      <c r="D31" s="16">
        <v>1</v>
      </c>
      <c r="E31" s="16"/>
      <c r="F31" s="7" t="s">
        <v>151</v>
      </c>
      <c r="G31" s="16" t="s">
        <v>1125</v>
      </c>
      <c r="H31" s="7"/>
      <c r="I31" s="16" t="s">
        <v>383</v>
      </c>
      <c r="J31" s="16" t="s">
        <v>382</v>
      </c>
      <c r="K31" s="16"/>
      <c r="L31" s="16"/>
      <c r="M31" s="16"/>
      <c r="N31" s="16"/>
      <c r="O31" s="12">
        <f>GET_OK_GROUPS_COUNT(tbHeroEnemy[[#This Row],[Camp]],tbHeroEnemy[[#This Row],[Difficulty]],tbHeroEnemy[[#This Row],[IsBoss]],tbHeroEnemy[[#This Row],[Hero1]:[Soldier3]])</f>
        <v>1</v>
      </c>
      <c r="P31" s="7">
        <v>1</v>
      </c>
      <c r="Q31" s="16" t="s">
        <v>391</v>
      </c>
      <c r="R31" s="9" t="s">
        <v>912</v>
      </c>
      <c r="S31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32" spans="2:19">
      <c r="B32" s="16" t="s">
        <v>962</v>
      </c>
      <c r="C32" s="35" t="s">
        <v>1301</v>
      </c>
      <c r="D32" s="16">
        <v>2</v>
      </c>
      <c r="E32" s="16"/>
      <c r="F32" s="7" t="s">
        <v>151</v>
      </c>
      <c r="G32" s="16" t="s">
        <v>1126</v>
      </c>
      <c r="H32" s="16" t="b">
        <v>1</v>
      </c>
      <c r="I32" s="16" t="s">
        <v>413</v>
      </c>
      <c r="J32" s="16" t="s">
        <v>385</v>
      </c>
      <c r="K32" s="16"/>
      <c r="L32" s="16"/>
      <c r="M32" s="16"/>
      <c r="N32" s="16"/>
      <c r="O32" s="12">
        <f>GET_OK_GROUPS_COUNT(tbHeroEnemy[[#This Row],[Camp]],tbHeroEnemy[[#This Row],[Difficulty]],tbHeroEnemy[[#This Row],[IsBoss]],tbHeroEnemy[[#This Row],[Hero1]:[Soldier3]])</f>
        <v>1</v>
      </c>
      <c r="P32" s="7">
        <v>1</v>
      </c>
      <c r="Q32" s="16" t="s">
        <v>391</v>
      </c>
      <c r="R32" s="9" t="s">
        <v>413</v>
      </c>
      <c r="S32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33" spans="2:19">
      <c r="B33" s="16" t="s">
        <v>963</v>
      </c>
      <c r="C33" s="35" t="s">
        <v>1301</v>
      </c>
      <c r="D33" s="16">
        <v>1</v>
      </c>
      <c r="E33" s="16"/>
      <c r="F33" s="7" t="s">
        <v>151</v>
      </c>
      <c r="G33" s="16" t="s">
        <v>1126</v>
      </c>
      <c r="H33" s="7"/>
      <c r="I33" s="16" t="s">
        <v>383</v>
      </c>
      <c r="J33" s="16" t="s">
        <v>380</v>
      </c>
      <c r="K33" s="16"/>
      <c r="L33" s="16"/>
      <c r="M33" s="16"/>
      <c r="N33" s="16"/>
      <c r="O33" s="12">
        <f>GET_OK_GROUPS_COUNT(tbHeroEnemy[[#This Row],[Camp]],tbHeroEnemy[[#This Row],[Difficulty]],tbHeroEnemy[[#This Row],[IsBoss]],tbHeroEnemy[[#This Row],[Hero1]:[Soldier3]])</f>
        <v>1</v>
      </c>
      <c r="P33" s="7">
        <v>1</v>
      </c>
      <c r="Q33" s="16" t="s">
        <v>391</v>
      </c>
      <c r="R33" s="9" t="s">
        <v>912</v>
      </c>
      <c r="S33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34" spans="2:19">
      <c r="B34" s="16" t="s">
        <v>963</v>
      </c>
      <c r="C34" s="35" t="s">
        <v>1301</v>
      </c>
      <c r="D34" s="16">
        <v>2</v>
      </c>
      <c r="E34" s="16"/>
      <c r="F34" s="7" t="s">
        <v>151</v>
      </c>
      <c r="G34" s="16" t="s">
        <v>1126</v>
      </c>
      <c r="H34" s="16" t="b">
        <v>1</v>
      </c>
      <c r="I34" s="16" t="s">
        <v>415</v>
      </c>
      <c r="J34" s="16" t="s">
        <v>384</v>
      </c>
      <c r="K34" s="16"/>
      <c r="L34" s="16"/>
      <c r="M34" s="16"/>
      <c r="N34" s="16"/>
      <c r="O34" s="12">
        <f>GET_OK_GROUPS_COUNT(tbHeroEnemy[[#This Row],[Camp]],tbHeroEnemy[[#This Row],[Difficulty]],tbHeroEnemy[[#This Row],[IsBoss]],tbHeroEnemy[[#This Row],[Hero1]:[Soldier3]])</f>
        <v>1</v>
      </c>
      <c r="P34" s="7">
        <v>1</v>
      </c>
      <c r="Q34" s="16" t="s">
        <v>391</v>
      </c>
      <c r="R34" s="9" t="s">
        <v>415</v>
      </c>
      <c r="S34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35" spans="2:19">
      <c r="B35" s="16" t="s">
        <v>964</v>
      </c>
      <c r="C35" s="35" t="s">
        <v>1301</v>
      </c>
      <c r="D35" s="16">
        <v>1</v>
      </c>
      <c r="E35" s="16"/>
      <c r="F35" s="7" t="s">
        <v>151</v>
      </c>
      <c r="G35" s="16" t="s">
        <v>1126</v>
      </c>
      <c r="H35" s="7"/>
      <c r="I35" s="16" t="s">
        <v>382</v>
      </c>
      <c r="J35" s="16" t="s">
        <v>380</v>
      </c>
      <c r="K35" s="16"/>
      <c r="L35" s="16"/>
      <c r="M35" s="16"/>
      <c r="N35" s="16"/>
      <c r="O35" s="12">
        <f>GET_OK_GROUPS_COUNT(tbHeroEnemy[[#This Row],[Camp]],tbHeroEnemy[[#This Row],[Difficulty]],tbHeroEnemy[[#This Row],[IsBoss]],tbHeroEnemy[[#This Row],[Hero1]:[Soldier3]])</f>
        <v>1</v>
      </c>
      <c r="P35" s="7">
        <v>1</v>
      </c>
      <c r="Q35" s="16" t="s">
        <v>391</v>
      </c>
      <c r="R35" s="9" t="s">
        <v>912</v>
      </c>
      <c r="S35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36" spans="2:19">
      <c r="B36" s="16" t="s">
        <v>964</v>
      </c>
      <c r="C36" s="35" t="s">
        <v>1301</v>
      </c>
      <c r="D36" s="16">
        <v>2</v>
      </c>
      <c r="E36" s="16"/>
      <c r="F36" s="7" t="s">
        <v>151</v>
      </c>
      <c r="G36" s="16" t="s">
        <v>1126</v>
      </c>
      <c r="H36" s="16" t="b">
        <v>1</v>
      </c>
      <c r="I36" s="16" t="s">
        <v>417</v>
      </c>
      <c r="J36" s="16" t="s">
        <v>383</v>
      </c>
      <c r="K36" s="16"/>
      <c r="L36" s="16"/>
      <c r="M36" s="16"/>
      <c r="N36" s="16"/>
      <c r="O36" s="12">
        <f>GET_OK_GROUPS_COUNT(tbHeroEnemy[[#This Row],[Camp]],tbHeroEnemy[[#This Row],[Difficulty]],tbHeroEnemy[[#This Row],[IsBoss]],tbHeroEnemy[[#This Row],[Hero1]:[Soldier3]])</f>
        <v>1</v>
      </c>
      <c r="P36" s="7">
        <v>1</v>
      </c>
      <c r="Q36" s="16" t="s">
        <v>391</v>
      </c>
      <c r="R36" s="9" t="s">
        <v>417</v>
      </c>
      <c r="S36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37" spans="2:19">
      <c r="B37" s="16" t="s">
        <v>965</v>
      </c>
      <c r="C37" s="35" t="s">
        <v>1301</v>
      </c>
      <c r="D37" s="16">
        <v>1</v>
      </c>
      <c r="E37" s="16"/>
      <c r="F37" s="7" t="s">
        <v>151</v>
      </c>
      <c r="G37" s="16" t="s">
        <v>1125</v>
      </c>
      <c r="H37" s="7"/>
      <c r="I37" s="16" t="s">
        <v>380</v>
      </c>
      <c r="J37" s="16" t="s">
        <v>385</v>
      </c>
      <c r="K37" s="16"/>
      <c r="L37" s="16"/>
      <c r="M37" s="16"/>
      <c r="N37" s="16"/>
      <c r="O37" s="12">
        <f>GET_OK_GROUPS_COUNT(tbHeroEnemy[[#This Row],[Camp]],tbHeroEnemy[[#This Row],[Difficulty]],tbHeroEnemy[[#This Row],[IsBoss]],tbHeroEnemy[[#This Row],[Hero1]:[Soldier3]])</f>
        <v>1</v>
      </c>
      <c r="P37" s="7">
        <v>1</v>
      </c>
      <c r="Q37" s="16" t="s">
        <v>392</v>
      </c>
      <c r="R37" s="9" t="s">
        <v>912</v>
      </c>
      <c r="S37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38" spans="2:19">
      <c r="B38" s="16" t="s">
        <v>965</v>
      </c>
      <c r="C38" s="35" t="s">
        <v>1301</v>
      </c>
      <c r="D38" s="16">
        <v>2</v>
      </c>
      <c r="E38" s="16"/>
      <c r="F38" s="7" t="s">
        <v>151</v>
      </c>
      <c r="G38" s="16" t="s">
        <v>1125</v>
      </c>
      <c r="H38" s="16" t="b">
        <v>1</v>
      </c>
      <c r="I38" s="16" t="s">
        <v>402</v>
      </c>
      <c r="J38" s="16" t="s">
        <v>384</v>
      </c>
      <c r="K38" s="16"/>
      <c r="L38" s="16"/>
      <c r="M38" s="16"/>
      <c r="N38" s="16"/>
      <c r="O38" s="12">
        <f>GET_OK_GROUPS_COUNT(tbHeroEnemy[[#This Row],[Camp]],tbHeroEnemy[[#This Row],[Difficulty]],tbHeroEnemy[[#This Row],[IsBoss]],tbHeroEnemy[[#This Row],[Hero1]:[Soldier3]])</f>
        <v>1</v>
      </c>
      <c r="P38" s="7">
        <v>1</v>
      </c>
      <c r="Q38" s="16" t="s">
        <v>392</v>
      </c>
      <c r="R38" s="9" t="s">
        <v>402</v>
      </c>
      <c r="S38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39" spans="2:19">
      <c r="B39" s="16" t="s">
        <v>966</v>
      </c>
      <c r="C39" s="35" t="s">
        <v>1301</v>
      </c>
      <c r="D39" s="16">
        <v>1</v>
      </c>
      <c r="E39" s="16"/>
      <c r="F39" s="7" t="s">
        <v>151</v>
      </c>
      <c r="G39" s="16" t="s">
        <v>1125</v>
      </c>
      <c r="H39" s="7"/>
      <c r="I39" s="16" t="s">
        <v>382</v>
      </c>
      <c r="J39" s="16" t="s">
        <v>383</v>
      </c>
      <c r="K39" s="16"/>
      <c r="L39" s="16"/>
      <c r="M39" s="16"/>
      <c r="N39" s="16"/>
      <c r="O39" s="12">
        <f>GET_OK_GROUPS_COUNT(tbHeroEnemy[[#This Row],[Camp]],tbHeroEnemy[[#This Row],[Difficulty]],tbHeroEnemy[[#This Row],[IsBoss]],tbHeroEnemy[[#This Row],[Hero1]:[Soldier3]])</f>
        <v>1</v>
      </c>
      <c r="P39" s="7">
        <v>1</v>
      </c>
      <c r="Q39" s="16" t="s">
        <v>392</v>
      </c>
      <c r="R39" s="9" t="s">
        <v>912</v>
      </c>
      <c r="S3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40" spans="2:19">
      <c r="B40" s="16" t="s">
        <v>966</v>
      </c>
      <c r="C40" s="35" t="s">
        <v>1301</v>
      </c>
      <c r="D40" s="16">
        <v>2</v>
      </c>
      <c r="E40" s="16"/>
      <c r="F40" s="7" t="s">
        <v>151</v>
      </c>
      <c r="G40" s="16" t="s">
        <v>1126</v>
      </c>
      <c r="H40" s="16" t="b">
        <v>1</v>
      </c>
      <c r="I40" s="16" t="s">
        <v>415</v>
      </c>
      <c r="J40" s="16" t="s">
        <v>381</v>
      </c>
      <c r="K40" s="16"/>
      <c r="L40" s="16"/>
      <c r="M40" s="16"/>
      <c r="N40" s="16"/>
      <c r="O40" s="12">
        <f>GET_OK_GROUPS_COUNT(tbHeroEnemy[[#This Row],[Camp]],tbHeroEnemy[[#This Row],[Difficulty]],tbHeroEnemy[[#This Row],[IsBoss]],tbHeroEnemy[[#This Row],[Hero1]:[Soldier3]])</f>
        <v>1</v>
      </c>
      <c r="P40" s="7">
        <v>1</v>
      </c>
      <c r="Q40" s="16" t="s">
        <v>392</v>
      </c>
      <c r="R40" s="9" t="s">
        <v>415</v>
      </c>
      <c r="S40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41" spans="2:19">
      <c r="B41" s="16" t="s">
        <v>967</v>
      </c>
      <c r="C41" s="35" t="s">
        <v>1301</v>
      </c>
      <c r="D41" s="16">
        <v>1</v>
      </c>
      <c r="E41" s="16"/>
      <c r="F41" s="7" t="s">
        <v>151</v>
      </c>
      <c r="G41" s="16" t="s">
        <v>1126</v>
      </c>
      <c r="H41" s="7"/>
      <c r="I41" s="16" t="s">
        <v>384</v>
      </c>
      <c r="J41" s="16" t="s">
        <v>382</v>
      </c>
      <c r="K41" s="16"/>
      <c r="L41" s="16"/>
      <c r="M41" s="16"/>
      <c r="N41" s="16"/>
      <c r="O41" s="12">
        <f>GET_OK_GROUPS_COUNT(tbHeroEnemy[[#This Row],[Camp]],tbHeroEnemy[[#This Row],[Difficulty]],tbHeroEnemy[[#This Row],[IsBoss]],tbHeroEnemy[[#This Row],[Hero1]:[Soldier3]])</f>
        <v>1</v>
      </c>
      <c r="P41" s="7">
        <v>1</v>
      </c>
      <c r="Q41" s="16" t="s">
        <v>392</v>
      </c>
      <c r="R41" s="9" t="s">
        <v>912</v>
      </c>
      <c r="S4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42" spans="2:19">
      <c r="B42" s="16" t="s">
        <v>967</v>
      </c>
      <c r="C42" s="35" t="s">
        <v>1301</v>
      </c>
      <c r="D42" s="16">
        <v>2</v>
      </c>
      <c r="E42" s="16"/>
      <c r="F42" s="7" t="s">
        <v>151</v>
      </c>
      <c r="G42" s="16" t="s">
        <v>1126</v>
      </c>
      <c r="H42" s="16" t="b">
        <v>1</v>
      </c>
      <c r="I42" s="16" t="s">
        <v>424</v>
      </c>
      <c r="J42" s="16" t="s">
        <v>385</v>
      </c>
      <c r="K42" s="16"/>
      <c r="L42" s="16"/>
      <c r="M42" s="16"/>
      <c r="N42" s="16"/>
      <c r="O42" s="12">
        <f>GET_OK_GROUPS_COUNT(tbHeroEnemy[[#This Row],[Camp]],tbHeroEnemy[[#This Row],[Difficulty]],tbHeroEnemy[[#This Row],[IsBoss]],tbHeroEnemy[[#This Row],[Hero1]:[Soldier3]])</f>
        <v>1</v>
      </c>
      <c r="P42" s="7">
        <v>1</v>
      </c>
      <c r="Q42" s="16" t="s">
        <v>392</v>
      </c>
      <c r="R42" s="9" t="s">
        <v>424</v>
      </c>
      <c r="S4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43" spans="2:19">
      <c r="B43" s="16" t="s">
        <v>968</v>
      </c>
      <c r="C43" s="35" t="s">
        <v>1301</v>
      </c>
      <c r="D43" s="16">
        <v>1</v>
      </c>
      <c r="E43" s="16"/>
      <c r="F43" s="7" t="s">
        <v>151</v>
      </c>
      <c r="G43" s="16" t="s">
        <v>1126</v>
      </c>
      <c r="H43" s="7"/>
      <c r="I43" s="16" t="s">
        <v>383</v>
      </c>
      <c r="J43" s="16" t="s">
        <v>385</v>
      </c>
      <c r="K43" s="16"/>
      <c r="L43" s="16"/>
      <c r="M43" s="16"/>
      <c r="N43" s="16"/>
      <c r="O43" s="12">
        <f>GET_OK_GROUPS_COUNT(tbHeroEnemy[[#This Row],[Camp]],tbHeroEnemy[[#This Row],[Difficulty]],tbHeroEnemy[[#This Row],[IsBoss]],tbHeroEnemy[[#This Row],[Hero1]:[Soldier3]])</f>
        <v>1</v>
      </c>
      <c r="P43" s="7">
        <v>1</v>
      </c>
      <c r="Q43" s="16" t="s">
        <v>392</v>
      </c>
      <c r="R43" s="9" t="s">
        <v>912</v>
      </c>
      <c r="S43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44" spans="2:19">
      <c r="B44" s="16" t="s">
        <v>968</v>
      </c>
      <c r="C44" s="35" t="s">
        <v>1301</v>
      </c>
      <c r="D44" s="16">
        <v>2</v>
      </c>
      <c r="E44" s="16"/>
      <c r="F44" s="7" t="s">
        <v>151</v>
      </c>
      <c r="G44" s="16" t="s">
        <v>1126</v>
      </c>
      <c r="H44" s="16" t="b">
        <v>1</v>
      </c>
      <c r="I44" s="16" t="s">
        <v>400</v>
      </c>
      <c r="J44" s="16" t="s">
        <v>384</v>
      </c>
      <c r="K44" s="16"/>
      <c r="L44" s="16"/>
      <c r="M44" s="16"/>
      <c r="N44" s="16"/>
      <c r="O44" s="12">
        <f>GET_OK_GROUPS_COUNT(tbHeroEnemy[[#This Row],[Camp]],tbHeroEnemy[[#This Row],[Difficulty]],tbHeroEnemy[[#This Row],[IsBoss]],tbHeroEnemy[[#This Row],[Hero1]:[Soldier3]])</f>
        <v>1</v>
      </c>
      <c r="P44" s="7">
        <v>1</v>
      </c>
      <c r="Q44" s="16" t="s">
        <v>392</v>
      </c>
      <c r="R44" s="9" t="s">
        <v>400</v>
      </c>
      <c r="S4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45" spans="2:19">
      <c r="B45" s="16" t="s">
        <v>969</v>
      </c>
      <c r="C45" s="35" t="s">
        <v>1301</v>
      </c>
      <c r="D45" s="16">
        <v>1</v>
      </c>
      <c r="E45" s="16"/>
      <c r="F45" s="7" t="s">
        <v>151</v>
      </c>
      <c r="G45" s="16" t="s">
        <v>1125</v>
      </c>
      <c r="H45" s="7"/>
      <c r="I45" s="16" t="s">
        <v>385</v>
      </c>
      <c r="J45" s="16" t="s">
        <v>381</v>
      </c>
      <c r="K45" s="16"/>
      <c r="L45" s="16"/>
      <c r="M45" s="16"/>
      <c r="N45" s="16"/>
      <c r="O45" s="12">
        <f>GET_OK_GROUPS_COUNT(tbHeroEnemy[[#This Row],[Camp]],tbHeroEnemy[[#This Row],[Difficulty]],tbHeroEnemy[[#This Row],[IsBoss]],tbHeroEnemy[[#This Row],[Hero1]:[Soldier3]])</f>
        <v>1</v>
      </c>
      <c r="P45" s="7">
        <v>1</v>
      </c>
      <c r="Q45" s="16" t="s">
        <v>393</v>
      </c>
      <c r="R45" s="9" t="s">
        <v>912</v>
      </c>
      <c r="S45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46" spans="2:19">
      <c r="B46" s="16" t="s">
        <v>969</v>
      </c>
      <c r="C46" s="35" t="s">
        <v>1301</v>
      </c>
      <c r="D46" s="16">
        <v>2</v>
      </c>
      <c r="E46" s="16"/>
      <c r="F46" s="7" t="s">
        <v>151</v>
      </c>
      <c r="G46" s="16" t="s">
        <v>1125</v>
      </c>
      <c r="H46" s="16" t="b">
        <v>1</v>
      </c>
      <c r="I46" s="16" t="s">
        <v>420</v>
      </c>
      <c r="J46" s="16" t="s">
        <v>381</v>
      </c>
      <c r="K46" s="16"/>
      <c r="L46" s="16"/>
      <c r="M46" s="16"/>
      <c r="N46" s="16"/>
      <c r="O46" s="12">
        <f>GET_OK_GROUPS_COUNT(tbHeroEnemy[[#This Row],[Camp]],tbHeroEnemy[[#This Row],[Difficulty]],tbHeroEnemy[[#This Row],[IsBoss]],tbHeroEnemy[[#This Row],[Hero1]:[Soldier3]])</f>
        <v>1</v>
      </c>
      <c r="P46" s="7">
        <v>1</v>
      </c>
      <c r="Q46" s="16" t="s">
        <v>393</v>
      </c>
      <c r="R46" s="9" t="s">
        <v>420</v>
      </c>
      <c r="S46" s="2" t="str">
        <f>GET_OK_GROUP(tbHeroEnemy[[#This Row],[Camp]],tbHeroEnemy[[#This Row],[Difficulty]],tbHeroEnemy[[#This Row],[IsBoss]],tbHeroEnemy[[#This Row],[Hero1]:[Soldier3]],tbHeroEnemy[[#This Row],[GroupID]])</f>
        <v>三国-困难-[B]强英+法英</v>
      </c>
    </row>
    <row r="47" spans="2:19">
      <c r="B47" s="16" t="s">
        <v>970</v>
      </c>
      <c r="C47" s="35" t="s">
        <v>1301</v>
      </c>
      <c r="D47" s="16">
        <v>1</v>
      </c>
      <c r="E47" s="16"/>
      <c r="F47" s="7" t="s">
        <v>151</v>
      </c>
      <c r="G47" s="16" t="s">
        <v>1125</v>
      </c>
      <c r="H47" s="7"/>
      <c r="I47" s="16" t="s">
        <v>385</v>
      </c>
      <c r="J47" s="16" t="s">
        <v>381</v>
      </c>
      <c r="K47" s="16"/>
      <c r="L47" s="16"/>
      <c r="M47" s="16"/>
      <c r="N47" s="16"/>
      <c r="O47" s="12">
        <f>GET_OK_GROUPS_COUNT(tbHeroEnemy[[#This Row],[Camp]],tbHeroEnemy[[#This Row],[Difficulty]],tbHeroEnemy[[#This Row],[IsBoss]],tbHeroEnemy[[#This Row],[Hero1]:[Soldier3]])</f>
        <v>1</v>
      </c>
      <c r="P47" s="7">
        <v>1</v>
      </c>
      <c r="Q47" s="16" t="s">
        <v>393</v>
      </c>
      <c r="R47" s="9" t="s">
        <v>912</v>
      </c>
      <c r="S47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48" spans="2:19">
      <c r="B48" s="16" t="s">
        <v>970</v>
      </c>
      <c r="C48" s="35" t="s">
        <v>1301</v>
      </c>
      <c r="D48" s="16">
        <v>2</v>
      </c>
      <c r="E48" s="16"/>
      <c r="F48" s="7" t="s">
        <v>151</v>
      </c>
      <c r="G48" s="16" t="s">
        <v>1126</v>
      </c>
      <c r="H48" s="16" t="b">
        <v>1</v>
      </c>
      <c r="I48" s="16" t="s">
        <v>430</v>
      </c>
      <c r="J48" s="16" t="s">
        <v>382</v>
      </c>
      <c r="K48" s="16"/>
      <c r="L48" s="16"/>
      <c r="M48" s="16"/>
      <c r="N48" s="16"/>
      <c r="O48" s="12">
        <f>GET_OK_GROUPS_COUNT(tbHeroEnemy[[#This Row],[Camp]],tbHeroEnemy[[#This Row],[Difficulty]],tbHeroEnemy[[#This Row],[IsBoss]],tbHeroEnemy[[#This Row],[Hero1]:[Soldier3]])</f>
        <v>1</v>
      </c>
      <c r="P48" s="7">
        <v>1</v>
      </c>
      <c r="Q48" s="16" t="s">
        <v>393</v>
      </c>
      <c r="R48" s="9" t="s">
        <v>430</v>
      </c>
      <c r="S48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49" spans="2:19">
      <c r="B49" s="16" t="s">
        <v>971</v>
      </c>
      <c r="C49" s="35" t="s">
        <v>1301</v>
      </c>
      <c r="D49" s="16">
        <v>1</v>
      </c>
      <c r="E49" s="16"/>
      <c r="F49" s="7" t="s">
        <v>151</v>
      </c>
      <c r="G49" s="16" t="s">
        <v>1126</v>
      </c>
      <c r="H49" s="7"/>
      <c r="I49" s="16" t="s">
        <v>383</v>
      </c>
      <c r="J49" s="16" t="s">
        <v>381</v>
      </c>
      <c r="K49" s="16"/>
      <c r="L49" s="16"/>
      <c r="M49" s="16"/>
      <c r="N49" s="16"/>
      <c r="O49" s="12">
        <f>GET_OK_GROUPS_COUNT(tbHeroEnemy[[#This Row],[Camp]],tbHeroEnemy[[#This Row],[Difficulty]],tbHeroEnemy[[#This Row],[IsBoss]],tbHeroEnemy[[#This Row],[Hero1]:[Soldier3]])</f>
        <v>1</v>
      </c>
      <c r="P49" s="7">
        <v>1</v>
      </c>
      <c r="Q49" s="16" t="s">
        <v>393</v>
      </c>
      <c r="R49" s="9" t="s">
        <v>912</v>
      </c>
      <c r="S4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50" spans="2:19">
      <c r="B50" s="16" t="s">
        <v>971</v>
      </c>
      <c r="C50" s="35" t="s">
        <v>1301</v>
      </c>
      <c r="D50" s="16">
        <v>2</v>
      </c>
      <c r="E50" s="16"/>
      <c r="F50" s="7" t="s">
        <v>151</v>
      </c>
      <c r="G50" s="16" t="s">
        <v>1126</v>
      </c>
      <c r="H50" s="16" t="b">
        <v>1</v>
      </c>
      <c r="I50" s="16" t="s">
        <v>24</v>
      </c>
      <c r="J50" s="16" t="s">
        <v>381</v>
      </c>
      <c r="K50" s="16"/>
      <c r="L50" s="16"/>
      <c r="M50" s="16"/>
      <c r="N50" s="16"/>
      <c r="O50" s="12">
        <f>GET_OK_GROUPS_COUNT(tbHeroEnemy[[#This Row],[Camp]],tbHeroEnemy[[#This Row],[Difficulty]],tbHeroEnemy[[#This Row],[IsBoss]],tbHeroEnemy[[#This Row],[Hero1]:[Soldier3]])</f>
        <v>1</v>
      </c>
      <c r="P50" s="7">
        <v>1</v>
      </c>
      <c r="Q50" s="16" t="s">
        <v>393</v>
      </c>
      <c r="R50" s="9" t="s">
        <v>24</v>
      </c>
      <c r="S50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51" spans="2:19">
      <c r="B51" s="16" t="s">
        <v>972</v>
      </c>
      <c r="C51" s="35" t="s">
        <v>1301</v>
      </c>
      <c r="D51" s="16">
        <v>1</v>
      </c>
      <c r="E51" s="16"/>
      <c r="F51" s="7" t="s">
        <v>151</v>
      </c>
      <c r="G51" s="16" t="s">
        <v>1126</v>
      </c>
      <c r="H51" s="7"/>
      <c r="I51" s="16" t="s">
        <v>380</v>
      </c>
      <c r="J51" s="16" t="s">
        <v>380</v>
      </c>
      <c r="K51" s="16"/>
      <c r="L51" s="16"/>
      <c r="M51" s="16"/>
      <c r="N51" s="16"/>
      <c r="O51" s="12">
        <f>GET_OK_GROUPS_COUNT(tbHeroEnemy[[#This Row],[Camp]],tbHeroEnemy[[#This Row],[Difficulty]],tbHeroEnemy[[#This Row],[IsBoss]],tbHeroEnemy[[#This Row],[Hero1]:[Soldier3]])</f>
        <v>1</v>
      </c>
      <c r="P51" s="7">
        <v>1</v>
      </c>
      <c r="Q51" s="16" t="s">
        <v>393</v>
      </c>
      <c r="R51" s="9" t="s">
        <v>912</v>
      </c>
      <c r="S51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52" spans="2:19">
      <c r="B52" s="16" t="s">
        <v>972</v>
      </c>
      <c r="C52" s="35" t="s">
        <v>1301</v>
      </c>
      <c r="D52" s="16">
        <v>2</v>
      </c>
      <c r="E52" s="16"/>
      <c r="F52" s="7" t="s">
        <v>151</v>
      </c>
      <c r="G52" s="16" t="s">
        <v>1126</v>
      </c>
      <c r="H52" s="16" t="b">
        <v>1</v>
      </c>
      <c r="I52" s="16" t="s">
        <v>397</v>
      </c>
      <c r="J52" s="16" t="s">
        <v>384</v>
      </c>
      <c r="K52" s="16"/>
      <c r="L52" s="16"/>
      <c r="M52" s="16"/>
      <c r="N52" s="16"/>
      <c r="O52" s="12">
        <f>GET_OK_GROUPS_COUNT(tbHeroEnemy[[#This Row],[Camp]],tbHeroEnemy[[#This Row],[Difficulty]],tbHeroEnemy[[#This Row],[IsBoss]],tbHeroEnemy[[#This Row],[Hero1]:[Soldier3]])</f>
        <v>1</v>
      </c>
      <c r="P52" s="7">
        <v>1</v>
      </c>
      <c r="Q52" s="16" t="s">
        <v>393</v>
      </c>
      <c r="R52" s="9" t="s">
        <v>397</v>
      </c>
      <c r="S52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53" spans="2:19">
      <c r="B53" s="16" t="s">
        <v>973</v>
      </c>
      <c r="C53" s="35" t="s">
        <v>1301</v>
      </c>
      <c r="D53" s="16">
        <v>1</v>
      </c>
      <c r="E53" s="16"/>
      <c r="F53" s="7" t="s">
        <v>151</v>
      </c>
      <c r="G53" s="16" t="s">
        <v>1125</v>
      </c>
      <c r="H53" s="7"/>
      <c r="I53" s="16" t="s">
        <v>385</v>
      </c>
      <c r="J53" s="16" t="s">
        <v>381</v>
      </c>
      <c r="K53" s="16"/>
      <c r="L53" s="16"/>
      <c r="M53" s="16"/>
      <c r="N53" s="16"/>
      <c r="O53" s="12">
        <f>GET_OK_GROUPS_COUNT(tbHeroEnemy[[#This Row],[Camp]],tbHeroEnemy[[#This Row],[Difficulty]],tbHeroEnemy[[#This Row],[IsBoss]],tbHeroEnemy[[#This Row],[Hero1]:[Soldier3]])</f>
        <v>1</v>
      </c>
      <c r="P53" s="7">
        <v>1</v>
      </c>
      <c r="Q53" s="16" t="s">
        <v>24</v>
      </c>
      <c r="R53" s="9" t="s">
        <v>912</v>
      </c>
      <c r="S53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54" spans="2:19">
      <c r="B54" s="16" t="s">
        <v>973</v>
      </c>
      <c r="C54" s="35" t="s">
        <v>1301</v>
      </c>
      <c r="D54" s="16">
        <v>2</v>
      </c>
      <c r="E54" s="16"/>
      <c r="F54" s="7" t="s">
        <v>151</v>
      </c>
      <c r="G54" s="16" t="s">
        <v>1125</v>
      </c>
      <c r="H54" s="16" t="b">
        <v>1</v>
      </c>
      <c r="I54" s="16" t="s">
        <v>396</v>
      </c>
      <c r="J54" s="16" t="s">
        <v>381</v>
      </c>
      <c r="K54" s="16"/>
      <c r="L54" s="16"/>
      <c r="M54" s="16"/>
      <c r="N54" s="16"/>
      <c r="O54" s="12">
        <f>GET_OK_GROUPS_COUNT(tbHeroEnemy[[#This Row],[Camp]],tbHeroEnemy[[#This Row],[Difficulty]],tbHeroEnemy[[#This Row],[IsBoss]],tbHeroEnemy[[#This Row],[Hero1]:[Soldier3]])</f>
        <v>1</v>
      </c>
      <c r="P54" s="7">
        <v>1</v>
      </c>
      <c r="Q54" s="16" t="s">
        <v>24</v>
      </c>
      <c r="R54" s="9" t="s">
        <v>396</v>
      </c>
      <c r="S54" s="2" t="str">
        <f>GET_OK_GROUP(tbHeroEnemy[[#This Row],[Camp]],tbHeroEnemy[[#This Row],[Difficulty]],tbHeroEnemy[[#This Row],[IsBoss]],tbHeroEnemy[[#This Row],[Hero1]:[Soldier3]],tbHeroEnemy[[#This Row],[GroupID]])</f>
        <v>三国-困难-[B]铁英+强英</v>
      </c>
    </row>
    <row r="55" spans="2:19">
      <c r="B55" s="16" t="s">
        <v>974</v>
      </c>
      <c r="C55" s="35" t="s">
        <v>1301</v>
      </c>
      <c r="D55" s="16">
        <v>1</v>
      </c>
      <c r="E55" s="16"/>
      <c r="F55" s="7" t="s">
        <v>151</v>
      </c>
      <c r="G55" s="16" t="s">
        <v>1125</v>
      </c>
      <c r="H55" s="7"/>
      <c r="I55" s="16" t="s">
        <v>384</v>
      </c>
      <c r="J55" s="16" t="s">
        <v>385</v>
      </c>
      <c r="K55" s="16"/>
      <c r="L55" s="16"/>
      <c r="M55" s="16"/>
      <c r="N55" s="16"/>
      <c r="O55" s="12">
        <f>GET_OK_GROUPS_COUNT(tbHeroEnemy[[#This Row],[Camp]],tbHeroEnemy[[#This Row],[Difficulty]],tbHeroEnemy[[#This Row],[IsBoss]],tbHeroEnemy[[#This Row],[Hero1]:[Soldier3]])</f>
        <v>1</v>
      </c>
      <c r="P55" s="7">
        <v>1</v>
      </c>
      <c r="Q55" s="16" t="s">
        <v>24</v>
      </c>
      <c r="R55" s="9" t="s">
        <v>912</v>
      </c>
      <c r="S5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56" spans="2:19">
      <c r="B56" s="16" t="s">
        <v>974</v>
      </c>
      <c r="C56" s="35" t="s">
        <v>1301</v>
      </c>
      <c r="D56" s="16">
        <v>2</v>
      </c>
      <c r="E56" s="16"/>
      <c r="F56" s="7" t="s">
        <v>151</v>
      </c>
      <c r="G56" s="16" t="s">
        <v>1126</v>
      </c>
      <c r="H56" s="16" t="b">
        <v>1</v>
      </c>
      <c r="I56" s="16" t="s">
        <v>426</v>
      </c>
      <c r="J56" s="16" t="s">
        <v>384</v>
      </c>
      <c r="K56" s="16"/>
      <c r="L56" s="16"/>
      <c r="M56" s="16"/>
      <c r="N56" s="16"/>
      <c r="O56" s="12">
        <f>GET_OK_GROUPS_COUNT(tbHeroEnemy[[#This Row],[Camp]],tbHeroEnemy[[#This Row],[Difficulty]],tbHeroEnemy[[#This Row],[IsBoss]],tbHeroEnemy[[#This Row],[Hero1]:[Soldier3]])</f>
        <v>1</v>
      </c>
      <c r="P56" s="7">
        <v>1</v>
      </c>
      <c r="Q56" s="16" t="s">
        <v>24</v>
      </c>
      <c r="R56" s="9" t="s">
        <v>426</v>
      </c>
      <c r="S56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57" spans="2:19">
      <c r="B57" s="16" t="s">
        <v>975</v>
      </c>
      <c r="C57" s="35" t="s">
        <v>1301</v>
      </c>
      <c r="D57" s="16">
        <v>1</v>
      </c>
      <c r="E57" s="16"/>
      <c r="F57" s="7" t="s">
        <v>151</v>
      </c>
      <c r="G57" s="16" t="s">
        <v>1126</v>
      </c>
      <c r="H57" s="7"/>
      <c r="I57" s="16" t="s">
        <v>385</v>
      </c>
      <c r="J57" s="16" t="s">
        <v>382</v>
      </c>
      <c r="K57" s="16"/>
      <c r="L57" s="16"/>
      <c r="M57" s="16"/>
      <c r="N57" s="16"/>
      <c r="O57" s="12">
        <f>GET_OK_GROUPS_COUNT(tbHeroEnemy[[#This Row],[Camp]],tbHeroEnemy[[#This Row],[Difficulty]],tbHeroEnemy[[#This Row],[IsBoss]],tbHeroEnemy[[#This Row],[Hero1]:[Soldier3]])</f>
        <v>1</v>
      </c>
      <c r="P57" s="7">
        <v>1</v>
      </c>
      <c r="Q57" s="16" t="s">
        <v>24</v>
      </c>
      <c r="R57" s="9" t="s">
        <v>912</v>
      </c>
      <c r="S57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58" spans="2:19">
      <c r="B58" s="16" t="s">
        <v>975</v>
      </c>
      <c r="C58" s="35" t="s">
        <v>1301</v>
      </c>
      <c r="D58" s="16">
        <v>2</v>
      </c>
      <c r="E58" s="16"/>
      <c r="F58" s="7" t="s">
        <v>151</v>
      </c>
      <c r="G58" s="16" t="s">
        <v>1126</v>
      </c>
      <c r="H58" s="16" t="b">
        <v>1</v>
      </c>
      <c r="I58" s="16" t="s">
        <v>433</v>
      </c>
      <c r="J58" s="16" t="s">
        <v>384</v>
      </c>
      <c r="K58" s="16"/>
      <c r="L58" s="16"/>
      <c r="M58" s="16"/>
      <c r="N58" s="16"/>
      <c r="O58" s="12">
        <f>GET_OK_GROUPS_COUNT(tbHeroEnemy[[#This Row],[Camp]],tbHeroEnemy[[#This Row],[Difficulty]],tbHeroEnemy[[#This Row],[IsBoss]],tbHeroEnemy[[#This Row],[Hero1]:[Soldier3]])</f>
        <v>1</v>
      </c>
      <c r="P58" s="7">
        <v>1</v>
      </c>
      <c r="Q58" s="16" t="s">
        <v>24</v>
      </c>
      <c r="R58" s="9" t="s">
        <v>433</v>
      </c>
      <c r="S58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59" spans="2:19">
      <c r="B59" s="16" t="s">
        <v>976</v>
      </c>
      <c r="C59" s="35" t="s">
        <v>1301</v>
      </c>
      <c r="D59" s="16">
        <v>1</v>
      </c>
      <c r="E59" s="16"/>
      <c r="F59" s="7" t="s">
        <v>151</v>
      </c>
      <c r="G59" s="16" t="s">
        <v>1126</v>
      </c>
      <c r="H59" s="7"/>
      <c r="I59" s="16" t="s">
        <v>383</v>
      </c>
      <c r="J59" s="16" t="s">
        <v>381</v>
      </c>
      <c r="K59" s="16"/>
      <c r="L59" s="16"/>
      <c r="M59" s="16"/>
      <c r="N59" s="16"/>
      <c r="O59" s="12">
        <f>GET_OK_GROUPS_COUNT(tbHeroEnemy[[#This Row],[Camp]],tbHeroEnemy[[#This Row],[Difficulty]],tbHeroEnemy[[#This Row],[IsBoss]],tbHeroEnemy[[#This Row],[Hero1]:[Soldier3]])</f>
        <v>1</v>
      </c>
      <c r="P59" s="7">
        <v>1</v>
      </c>
      <c r="Q59" s="16" t="s">
        <v>24</v>
      </c>
      <c r="R59" s="9" t="s">
        <v>912</v>
      </c>
      <c r="S5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60" spans="2:19">
      <c r="B60" s="16" t="s">
        <v>976</v>
      </c>
      <c r="C60" s="35" t="s">
        <v>1301</v>
      </c>
      <c r="D60" s="16">
        <v>2</v>
      </c>
      <c r="E60" s="16"/>
      <c r="F60" s="7" t="s">
        <v>151</v>
      </c>
      <c r="G60" s="16" t="s">
        <v>1126</v>
      </c>
      <c r="H60" s="16" t="b">
        <v>1</v>
      </c>
      <c r="I60" s="16" t="s">
        <v>404</v>
      </c>
      <c r="J60" s="16" t="s">
        <v>381</v>
      </c>
      <c r="K60" s="16"/>
      <c r="L60" s="16"/>
      <c r="M60" s="16"/>
      <c r="N60" s="16"/>
      <c r="O60" s="12">
        <f>GET_OK_GROUPS_COUNT(tbHeroEnemy[[#This Row],[Camp]],tbHeroEnemy[[#This Row],[Difficulty]],tbHeroEnemy[[#This Row],[IsBoss]],tbHeroEnemy[[#This Row],[Hero1]:[Soldier3]])</f>
        <v>1</v>
      </c>
      <c r="P60" s="7">
        <v>1</v>
      </c>
      <c r="Q60" s="16" t="s">
        <v>24</v>
      </c>
      <c r="R60" s="9" t="s">
        <v>404</v>
      </c>
      <c r="S60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61" spans="2:19">
      <c r="B61" s="16" t="s">
        <v>977</v>
      </c>
      <c r="C61" s="35" t="s">
        <v>1301</v>
      </c>
      <c r="D61" s="16">
        <v>1</v>
      </c>
      <c r="E61" s="16"/>
      <c r="F61" s="7" t="s">
        <v>151</v>
      </c>
      <c r="G61" s="16" t="s">
        <v>1125</v>
      </c>
      <c r="H61" s="7"/>
      <c r="I61" s="16" t="s">
        <v>381</v>
      </c>
      <c r="J61" s="16" t="s">
        <v>381</v>
      </c>
      <c r="K61" s="16"/>
      <c r="L61" s="16"/>
      <c r="M61" s="16"/>
      <c r="N61" s="16"/>
      <c r="O61" s="12">
        <f>GET_OK_GROUPS_COUNT(tbHeroEnemy[[#This Row],[Camp]],tbHeroEnemy[[#This Row],[Difficulty]],tbHeroEnemy[[#This Row],[IsBoss]],tbHeroEnemy[[#This Row],[Hero1]:[Soldier3]])</f>
        <v>1</v>
      </c>
      <c r="P61" s="7">
        <v>1</v>
      </c>
      <c r="Q61" s="16" t="s">
        <v>394</v>
      </c>
      <c r="R61" s="9" t="s">
        <v>912</v>
      </c>
      <c r="S61" s="2" t="str">
        <f>GET_OK_GROUP(tbHeroEnemy[[#This Row],[Camp]],tbHeroEnemy[[#This Row],[Difficulty]],tbHeroEnemy[[#This Row],[IsBoss]],tbHeroEnemy[[#This Row],[Hero1]:[Soldier3]],tbHeroEnemy[[#This Row],[GroupID]])</f>
        <v>三国-困难-强英+强英</v>
      </c>
    </row>
    <row r="62" spans="2:19">
      <c r="B62" s="16" t="s">
        <v>977</v>
      </c>
      <c r="C62" s="35" t="s">
        <v>1301</v>
      </c>
      <c r="D62" s="16">
        <v>2</v>
      </c>
      <c r="E62" s="16"/>
      <c r="F62" s="7" t="s">
        <v>151</v>
      </c>
      <c r="G62" s="16" t="s">
        <v>1125</v>
      </c>
      <c r="H62" s="16" t="b">
        <v>1</v>
      </c>
      <c r="I62" s="16" t="s">
        <v>400</v>
      </c>
      <c r="J62" s="16" t="s">
        <v>380</v>
      </c>
      <c r="K62" s="16"/>
      <c r="L62" s="16"/>
      <c r="M62" s="16"/>
      <c r="N62" s="16"/>
      <c r="O62" s="12">
        <f>GET_OK_GROUPS_COUNT(tbHeroEnemy[[#This Row],[Camp]],tbHeroEnemy[[#This Row],[Difficulty]],tbHeroEnemy[[#This Row],[IsBoss]],tbHeroEnemy[[#This Row],[Hero1]:[Soldier3]])</f>
        <v>1</v>
      </c>
      <c r="P62" s="7">
        <v>1</v>
      </c>
      <c r="Q62" s="16" t="s">
        <v>394</v>
      </c>
      <c r="R62" s="9" t="s">
        <v>400</v>
      </c>
      <c r="S62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63" spans="2:19">
      <c r="B63" s="16" t="s">
        <v>978</v>
      </c>
      <c r="C63" s="35" t="s">
        <v>1301</v>
      </c>
      <c r="D63" s="16">
        <v>1</v>
      </c>
      <c r="E63" s="16"/>
      <c r="F63" s="7" t="s">
        <v>151</v>
      </c>
      <c r="G63" s="16" t="s">
        <v>1125</v>
      </c>
      <c r="H63" s="7"/>
      <c r="I63" s="16" t="s">
        <v>385</v>
      </c>
      <c r="J63" s="16" t="s">
        <v>380</v>
      </c>
      <c r="K63" s="16"/>
      <c r="L63" s="16"/>
      <c r="M63" s="16"/>
      <c r="N63" s="16"/>
      <c r="O63" s="12">
        <f>GET_OK_GROUPS_COUNT(tbHeroEnemy[[#This Row],[Camp]],tbHeroEnemy[[#This Row],[Difficulty]],tbHeroEnemy[[#This Row],[IsBoss]],tbHeroEnemy[[#This Row],[Hero1]:[Soldier3]])</f>
        <v>1</v>
      </c>
      <c r="P63" s="7">
        <v>1</v>
      </c>
      <c r="Q63" s="16" t="s">
        <v>394</v>
      </c>
      <c r="R63" s="9" t="s">
        <v>912</v>
      </c>
      <c r="S63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64" spans="2:19">
      <c r="B64" s="16" t="s">
        <v>978</v>
      </c>
      <c r="C64" s="35" t="s">
        <v>1301</v>
      </c>
      <c r="D64" s="16">
        <v>2</v>
      </c>
      <c r="E64" s="16"/>
      <c r="F64" s="7" t="s">
        <v>151</v>
      </c>
      <c r="G64" s="16" t="s">
        <v>1126</v>
      </c>
      <c r="H64" s="16" t="b">
        <v>1</v>
      </c>
      <c r="I64" s="16" t="s">
        <v>389</v>
      </c>
      <c r="J64" s="16" t="s">
        <v>382</v>
      </c>
      <c r="K64" s="16"/>
      <c r="L64" s="16"/>
      <c r="M64" s="16"/>
      <c r="N64" s="16"/>
      <c r="O64" s="12">
        <f>GET_OK_GROUPS_COUNT(tbHeroEnemy[[#This Row],[Camp]],tbHeroEnemy[[#This Row],[Difficulty]],tbHeroEnemy[[#This Row],[IsBoss]],tbHeroEnemy[[#This Row],[Hero1]:[Soldier3]])</f>
        <v>1</v>
      </c>
      <c r="P64" s="7">
        <v>1</v>
      </c>
      <c r="Q64" s="16" t="s">
        <v>394</v>
      </c>
      <c r="R64" s="9" t="s">
        <v>389</v>
      </c>
      <c r="S64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65" spans="2:19">
      <c r="B65" s="16" t="s">
        <v>979</v>
      </c>
      <c r="C65" s="35" t="s">
        <v>1301</v>
      </c>
      <c r="D65" s="16">
        <v>1</v>
      </c>
      <c r="E65" s="16"/>
      <c r="F65" s="7" t="s">
        <v>151</v>
      </c>
      <c r="G65" s="16" t="s">
        <v>1126</v>
      </c>
      <c r="H65" s="7"/>
      <c r="I65" s="16" t="s">
        <v>380</v>
      </c>
      <c r="J65" s="16" t="s">
        <v>380</v>
      </c>
      <c r="K65" s="16"/>
      <c r="L65" s="16"/>
      <c r="M65" s="16"/>
      <c r="N65" s="16"/>
      <c r="O65" s="12">
        <f>GET_OK_GROUPS_COUNT(tbHeroEnemy[[#This Row],[Camp]],tbHeroEnemy[[#This Row],[Difficulty]],tbHeroEnemy[[#This Row],[IsBoss]],tbHeroEnemy[[#This Row],[Hero1]:[Soldier3]])</f>
        <v>1</v>
      </c>
      <c r="P65" s="7">
        <v>1</v>
      </c>
      <c r="Q65" s="16" t="s">
        <v>394</v>
      </c>
      <c r="R65" s="9" t="s">
        <v>912</v>
      </c>
      <c r="S65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66" spans="2:19">
      <c r="B66" s="16" t="s">
        <v>979</v>
      </c>
      <c r="C66" s="35" t="s">
        <v>1301</v>
      </c>
      <c r="D66" s="16">
        <v>2</v>
      </c>
      <c r="E66" s="16"/>
      <c r="F66" s="7" t="s">
        <v>151</v>
      </c>
      <c r="G66" s="16" t="s">
        <v>1126</v>
      </c>
      <c r="H66" s="16" t="b">
        <v>1</v>
      </c>
      <c r="I66" s="16" t="s">
        <v>392</v>
      </c>
      <c r="J66" s="16" t="s">
        <v>381</v>
      </c>
      <c r="K66" s="16"/>
      <c r="L66" s="16"/>
      <c r="M66" s="16"/>
      <c r="N66" s="16"/>
      <c r="O66" s="12">
        <f>GET_OK_GROUPS_COUNT(tbHeroEnemy[[#This Row],[Camp]],tbHeroEnemy[[#This Row],[Difficulty]],tbHeroEnemy[[#This Row],[IsBoss]],tbHeroEnemy[[#This Row],[Hero1]:[Soldier3]])</f>
        <v>1</v>
      </c>
      <c r="P66" s="7">
        <v>1</v>
      </c>
      <c r="Q66" s="16" t="s">
        <v>394</v>
      </c>
      <c r="R66" s="9" t="s">
        <v>392</v>
      </c>
      <c r="S66" s="2" t="str">
        <f>GET_OK_GROUP(tbHeroEnemy[[#This Row],[Camp]],tbHeroEnemy[[#This Row],[Difficulty]],tbHeroEnemy[[#This Row],[IsBoss]],tbHeroEnemy[[#This Row],[Hero1]:[Soldier3]],tbHeroEnemy[[#This Row],[GroupID]])</f>
        <v>三国-超难-[B]强英+强英</v>
      </c>
    </row>
    <row r="67" spans="2:19">
      <c r="B67" s="16" t="s">
        <v>980</v>
      </c>
      <c r="C67" s="35" t="s">
        <v>1301</v>
      </c>
      <c r="D67" s="16">
        <v>1</v>
      </c>
      <c r="E67" s="16"/>
      <c r="F67" s="7" t="s">
        <v>151</v>
      </c>
      <c r="G67" s="16" t="s">
        <v>1126</v>
      </c>
      <c r="H67" s="7"/>
      <c r="I67" s="16" t="s">
        <v>384</v>
      </c>
      <c r="J67" s="16" t="s">
        <v>384</v>
      </c>
      <c r="K67" s="16"/>
      <c r="L67" s="16"/>
      <c r="M67" s="16"/>
      <c r="N67" s="16"/>
      <c r="O67" s="12">
        <f>GET_OK_GROUPS_COUNT(tbHeroEnemy[[#This Row],[Camp]],tbHeroEnemy[[#This Row],[Difficulty]],tbHeroEnemy[[#This Row],[IsBoss]],tbHeroEnemy[[#This Row],[Hero1]:[Soldier3]])</f>
        <v>1</v>
      </c>
      <c r="P67" s="7">
        <v>1</v>
      </c>
      <c r="Q67" s="16" t="s">
        <v>394</v>
      </c>
      <c r="R67" s="9" t="s">
        <v>912</v>
      </c>
      <c r="S67" s="2" t="str">
        <f>GET_OK_GROUP(tbHeroEnemy[[#This Row],[Camp]],tbHeroEnemy[[#This Row],[Difficulty]],tbHeroEnemy[[#This Row],[IsBoss]],tbHeroEnemy[[#This Row],[Hero1]:[Soldier3]],tbHeroEnemy[[#This Row],[GroupID]])</f>
        <v>三国-超难-法英+法英</v>
      </c>
    </row>
    <row r="68" spans="2:19">
      <c r="B68" s="16" t="s">
        <v>980</v>
      </c>
      <c r="C68" s="35" t="s">
        <v>1301</v>
      </c>
      <c r="D68" s="16">
        <v>2</v>
      </c>
      <c r="E68" s="16"/>
      <c r="F68" s="7" t="s">
        <v>151</v>
      </c>
      <c r="G68" s="16" t="s">
        <v>1126</v>
      </c>
      <c r="H68" s="16" t="b">
        <v>1</v>
      </c>
      <c r="I68" s="16" t="s">
        <v>390</v>
      </c>
      <c r="J68" s="16" t="s">
        <v>380</v>
      </c>
      <c r="K68" s="16"/>
      <c r="L68" s="16"/>
      <c r="M68" s="16"/>
      <c r="N68" s="16"/>
      <c r="O68" s="12">
        <f>GET_OK_GROUPS_COUNT(tbHeroEnemy[[#This Row],[Camp]],tbHeroEnemy[[#This Row],[Difficulty]],tbHeroEnemy[[#This Row],[IsBoss]],tbHeroEnemy[[#This Row],[Hero1]:[Soldier3]])</f>
        <v>1</v>
      </c>
      <c r="P68" s="7">
        <v>1</v>
      </c>
      <c r="Q68" s="16" t="s">
        <v>394</v>
      </c>
      <c r="R68" s="9" t="s">
        <v>390</v>
      </c>
      <c r="S68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69" spans="2:19">
      <c r="B69" s="16" t="s">
        <v>981</v>
      </c>
      <c r="C69" s="35" t="s">
        <v>1301</v>
      </c>
      <c r="D69" s="16">
        <v>1</v>
      </c>
      <c r="E69" s="16"/>
      <c r="F69" s="7" t="s">
        <v>151</v>
      </c>
      <c r="G69" s="16" t="s">
        <v>1125</v>
      </c>
      <c r="H69" s="7"/>
      <c r="I69" s="16" t="s">
        <v>382</v>
      </c>
      <c r="J69" s="16" t="s">
        <v>383</v>
      </c>
      <c r="K69" s="16"/>
      <c r="L69" s="16"/>
      <c r="M69" s="16"/>
      <c r="N69" s="16"/>
      <c r="O69" s="12">
        <f>GET_OK_GROUPS_COUNT(tbHeroEnemy[[#This Row],[Camp]],tbHeroEnemy[[#This Row],[Difficulty]],tbHeroEnemy[[#This Row],[IsBoss]],tbHeroEnemy[[#This Row],[Hero1]:[Soldier3]])</f>
        <v>1</v>
      </c>
      <c r="P69" s="7">
        <v>1</v>
      </c>
      <c r="Q69" s="16" t="s">
        <v>27</v>
      </c>
      <c r="R69" s="9" t="s">
        <v>912</v>
      </c>
      <c r="S6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70" spans="2:19">
      <c r="B70" s="16" t="s">
        <v>981</v>
      </c>
      <c r="C70" s="35" t="s">
        <v>1301</v>
      </c>
      <c r="D70" s="16">
        <v>2</v>
      </c>
      <c r="E70" s="16"/>
      <c r="F70" s="7" t="s">
        <v>151</v>
      </c>
      <c r="G70" s="16" t="s">
        <v>1125</v>
      </c>
      <c r="H70" s="16" t="b">
        <v>1</v>
      </c>
      <c r="I70" s="16" t="s">
        <v>430</v>
      </c>
      <c r="J70" s="16" t="s">
        <v>383</v>
      </c>
      <c r="K70" s="16"/>
      <c r="L70" s="16"/>
      <c r="M70" s="16"/>
      <c r="N70" s="16"/>
      <c r="O70" s="12">
        <f>GET_OK_GROUPS_COUNT(tbHeroEnemy[[#This Row],[Camp]],tbHeroEnemy[[#This Row],[Difficulty]],tbHeroEnemy[[#This Row],[IsBoss]],tbHeroEnemy[[#This Row],[Hero1]:[Soldier3]])</f>
        <v>1</v>
      </c>
      <c r="P70" s="7">
        <v>1</v>
      </c>
      <c r="Q70" s="16" t="s">
        <v>27</v>
      </c>
      <c r="R70" s="9" t="s">
        <v>430</v>
      </c>
      <c r="S70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71" spans="2:19">
      <c r="B71" s="16" t="s">
        <v>982</v>
      </c>
      <c r="C71" s="35" t="s">
        <v>1301</v>
      </c>
      <c r="D71" s="16">
        <v>1</v>
      </c>
      <c r="E71" s="16"/>
      <c r="F71" s="7" t="s">
        <v>151</v>
      </c>
      <c r="G71" s="16" t="s">
        <v>1125</v>
      </c>
      <c r="H71" s="7"/>
      <c r="I71" s="16" t="s">
        <v>381</v>
      </c>
      <c r="J71" s="16" t="s">
        <v>380</v>
      </c>
      <c r="K71" s="16"/>
      <c r="L71" s="16"/>
      <c r="M71" s="16"/>
      <c r="N71" s="16"/>
      <c r="O71" s="12">
        <f>GET_OK_GROUPS_COUNT(tbHeroEnemy[[#This Row],[Camp]],tbHeroEnemy[[#This Row],[Difficulty]],tbHeroEnemy[[#This Row],[IsBoss]],tbHeroEnemy[[#This Row],[Hero1]:[Soldier3]])</f>
        <v>1</v>
      </c>
      <c r="P71" s="7">
        <v>1</v>
      </c>
      <c r="Q71" s="16" t="s">
        <v>27</v>
      </c>
      <c r="R71" s="9" t="s">
        <v>912</v>
      </c>
      <c r="S71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72" spans="2:19">
      <c r="B72" s="16" t="s">
        <v>982</v>
      </c>
      <c r="C72" s="35" t="s">
        <v>1301</v>
      </c>
      <c r="D72" s="16">
        <v>2</v>
      </c>
      <c r="E72" s="16"/>
      <c r="F72" s="7" t="s">
        <v>151</v>
      </c>
      <c r="G72" s="16" t="s">
        <v>1126</v>
      </c>
      <c r="H72" s="16" t="b">
        <v>1</v>
      </c>
      <c r="I72" s="16" t="s">
        <v>399</v>
      </c>
      <c r="J72" s="16" t="s">
        <v>380</v>
      </c>
      <c r="K72" s="16"/>
      <c r="L72" s="16"/>
      <c r="M72" s="16"/>
      <c r="N72" s="16"/>
      <c r="O72" s="12">
        <f>GET_OK_GROUPS_COUNT(tbHeroEnemy[[#This Row],[Camp]],tbHeroEnemy[[#This Row],[Difficulty]],tbHeroEnemy[[#This Row],[IsBoss]],tbHeroEnemy[[#This Row],[Hero1]:[Soldier3]])</f>
        <v>1</v>
      </c>
      <c r="P72" s="7">
        <v>1</v>
      </c>
      <c r="Q72" s="16" t="s">
        <v>27</v>
      </c>
      <c r="R72" s="9" t="s">
        <v>399</v>
      </c>
      <c r="S72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73" spans="2:19">
      <c r="B73" s="16" t="s">
        <v>983</v>
      </c>
      <c r="C73" s="35" t="s">
        <v>1301</v>
      </c>
      <c r="D73" s="16">
        <v>1</v>
      </c>
      <c r="E73" s="16"/>
      <c r="F73" s="7" t="s">
        <v>151</v>
      </c>
      <c r="G73" s="16" t="s">
        <v>1126</v>
      </c>
      <c r="H73" s="7"/>
      <c r="I73" s="16" t="s">
        <v>383</v>
      </c>
      <c r="J73" s="16" t="s">
        <v>383</v>
      </c>
      <c r="K73" s="16"/>
      <c r="L73" s="16"/>
      <c r="M73" s="16"/>
      <c r="N73" s="16"/>
      <c r="O73" s="12">
        <f>GET_OK_GROUPS_COUNT(tbHeroEnemy[[#This Row],[Camp]],tbHeroEnemy[[#This Row],[Difficulty]],tbHeroEnemy[[#This Row],[IsBoss]],tbHeroEnemy[[#This Row],[Hero1]:[Soldier3]])</f>
        <v>1</v>
      </c>
      <c r="P73" s="7">
        <v>1</v>
      </c>
      <c r="Q73" s="16" t="s">
        <v>27</v>
      </c>
      <c r="R73" s="9" t="s">
        <v>912</v>
      </c>
      <c r="S73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74" spans="2:19">
      <c r="B74" s="16" t="s">
        <v>983</v>
      </c>
      <c r="C74" s="35" t="s">
        <v>1301</v>
      </c>
      <c r="D74" s="16">
        <v>2</v>
      </c>
      <c r="E74" s="16"/>
      <c r="F74" s="7" t="s">
        <v>151</v>
      </c>
      <c r="G74" s="16" t="s">
        <v>1126</v>
      </c>
      <c r="H74" s="16" t="b">
        <v>1</v>
      </c>
      <c r="I74" s="16" t="s">
        <v>419</v>
      </c>
      <c r="J74" s="16" t="s">
        <v>384</v>
      </c>
      <c r="K74" s="16"/>
      <c r="L74" s="16"/>
      <c r="M74" s="16"/>
      <c r="N74" s="16"/>
      <c r="O74" s="12">
        <f>GET_OK_GROUPS_COUNT(tbHeroEnemy[[#This Row],[Camp]],tbHeroEnemy[[#This Row],[Difficulty]],tbHeroEnemy[[#This Row],[IsBoss]],tbHeroEnemy[[#This Row],[Hero1]:[Soldier3]])</f>
        <v>1</v>
      </c>
      <c r="P74" s="7">
        <v>1</v>
      </c>
      <c r="Q74" s="16" t="s">
        <v>27</v>
      </c>
      <c r="R74" s="9" t="s">
        <v>419</v>
      </c>
      <c r="S74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75" spans="2:19">
      <c r="B75" s="16" t="s">
        <v>984</v>
      </c>
      <c r="C75" s="35" t="s">
        <v>1301</v>
      </c>
      <c r="D75" s="16">
        <v>1</v>
      </c>
      <c r="E75" s="16"/>
      <c r="F75" s="7" t="s">
        <v>151</v>
      </c>
      <c r="G75" s="16" t="s">
        <v>1126</v>
      </c>
      <c r="H75" s="7"/>
      <c r="I75" s="16" t="s">
        <v>385</v>
      </c>
      <c r="J75" s="16" t="s">
        <v>381</v>
      </c>
      <c r="K75" s="16"/>
      <c r="L75" s="16"/>
      <c r="M75" s="16"/>
      <c r="N75" s="16"/>
      <c r="O75" s="12">
        <f>GET_OK_GROUPS_COUNT(tbHeroEnemy[[#This Row],[Camp]],tbHeroEnemy[[#This Row],[Difficulty]],tbHeroEnemy[[#This Row],[IsBoss]],tbHeroEnemy[[#This Row],[Hero1]:[Soldier3]])</f>
        <v>1</v>
      </c>
      <c r="P75" s="7">
        <v>1</v>
      </c>
      <c r="Q75" s="16" t="s">
        <v>27</v>
      </c>
      <c r="R75" s="9" t="s">
        <v>912</v>
      </c>
      <c r="S75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76" spans="2:19">
      <c r="B76" s="16" t="s">
        <v>984</v>
      </c>
      <c r="C76" s="35" t="s">
        <v>1301</v>
      </c>
      <c r="D76" s="16">
        <v>2</v>
      </c>
      <c r="E76" s="16"/>
      <c r="F76" s="7" t="s">
        <v>151</v>
      </c>
      <c r="G76" s="16" t="s">
        <v>1126</v>
      </c>
      <c r="H76" s="16" t="b">
        <v>1</v>
      </c>
      <c r="I76" s="16" t="s">
        <v>420</v>
      </c>
      <c r="J76" s="16" t="s">
        <v>384</v>
      </c>
      <c r="K76" s="16"/>
      <c r="L76" s="16"/>
      <c r="M76" s="16"/>
      <c r="N76" s="16"/>
      <c r="O76" s="12">
        <f>GET_OK_GROUPS_COUNT(tbHeroEnemy[[#This Row],[Camp]],tbHeroEnemy[[#This Row],[Difficulty]],tbHeroEnemy[[#This Row],[IsBoss]],tbHeroEnemy[[#This Row],[Hero1]:[Soldier3]])</f>
        <v>1</v>
      </c>
      <c r="P76" s="7">
        <v>1</v>
      </c>
      <c r="Q76" s="16" t="s">
        <v>27</v>
      </c>
      <c r="R76" s="9" t="s">
        <v>420</v>
      </c>
      <c r="S76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77" spans="2:19">
      <c r="B77" s="16" t="s">
        <v>1238</v>
      </c>
      <c r="C77" s="35" t="s">
        <v>1301</v>
      </c>
      <c r="D77" s="16">
        <v>1</v>
      </c>
      <c r="E77" s="16"/>
      <c r="F77" s="7" t="s">
        <v>151</v>
      </c>
      <c r="G77" s="16" t="s">
        <v>1125</v>
      </c>
      <c r="H77" s="7"/>
      <c r="I77" s="16" t="s">
        <v>380</v>
      </c>
      <c r="J77" s="16" t="s">
        <v>382</v>
      </c>
      <c r="K77" s="16"/>
      <c r="L77" s="16"/>
      <c r="M77" s="16"/>
      <c r="N77" s="16"/>
      <c r="O77" s="12">
        <f>GET_OK_GROUPS_COUNT(tbHeroEnemy[[#This Row],[Camp]],tbHeroEnemy[[#This Row],[Difficulty]],tbHeroEnemy[[#This Row],[IsBoss]],tbHeroEnemy[[#This Row],[Hero1]:[Soldier3]])</f>
        <v>1</v>
      </c>
      <c r="P77" s="7">
        <v>1</v>
      </c>
      <c r="Q77" s="16" t="s">
        <v>395</v>
      </c>
      <c r="R77" s="9" t="s">
        <v>912</v>
      </c>
      <c r="S77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78" spans="2:19">
      <c r="B78" s="16" t="s">
        <v>1238</v>
      </c>
      <c r="C78" s="35" t="s">
        <v>1301</v>
      </c>
      <c r="D78" s="16">
        <v>2</v>
      </c>
      <c r="E78" s="16"/>
      <c r="F78" s="7" t="s">
        <v>151</v>
      </c>
      <c r="G78" s="16" t="s">
        <v>1125</v>
      </c>
      <c r="H78" s="16" t="b">
        <v>1</v>
      </c>
      <c r="I78" s="16" t="s">
        <v>395</v>
      </c>
      <c r="J78" s="16" t="s">
        <v>383</v>
      </c>
      <c r="K78" s="16"/>
      <c r="L78" s="16"/>
      <c r="M78" s="16"/>
      <c r="N78" s="16"/>
      <c r="O78" s="12">
        <f>GET_OK_GROUPS_COUNT(tbHeroEnemy[[#This Row],[Camp]],tbHeroEnemy[[#This Row],[Difficulty]],tbHeroEnemy[[#This Row],[IsBoss]],tbHeroEnemy[[#This Row],[Hero1]:[Soldier3]])</f>
        <v>1</v>
      </c>
      <c r="P78" s="7">
        <v>1</v>
      </c>
      <c r="Q78" s="16" t="s">
        <v>395</v>
      </c>
      <c r="R78" s="9" t="s">
        <v>395</v>
      </c>
      <c r="S78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79" spans="2:19">
      <c r="B79" s="16" t="s">
        <v>1239</v>
      </c>
      <c r="C79" s="35" t="s">
        <v>1301</v>
      </c>
      <c r="D79" s="16">
        <v>1</v>
      </c>
      <c r="E79" s="16"/>
      <c r="F79" s="7" t="s">
        <v>151</v>
      </c>
      <c r="G79" s="16" t="s">
        <v>1125</v>
      </c>
      <c r="H79" s="7"/>
      <c r="I79" s="16" t="s">
        <v>384</v>
      </c>
      <c r="J79" s="16" t="s">
        <v>380</v>
      </c>
      <c r="K79" s="16"/>
      <c r="L79" s="16"/>
      <c r="M79" s="16"/>
      <c r="N79" s="16"/>
      <c r="O79" s="12">
        <f>GET_OK_GROUPS_COUNT(tbHeroEnemy[[#This Row],[Camp]],tbHeroEnemy[[#This Row],[Difficulty]],tbHeroEnemy[[#This Row],[IsBoss]],tbHeroEnemy[[#This Row],[Hero1]:[Soldier3]])</f>
        <v>1</v>
      </c>
      <c r="P79" s="7">
        <v>1</v>
      </c>
      <c r="Q79" s="16" t="s">
        <v>395</v>
      </c>
      <c r="R79" s="9" t="s">
        <v>912</v>
      </c>
      <c r="S79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80" spans="2:19">
      <c r="B80" s="16" t="s">
        <v>1239</v>
      </c>
      <c r="C80" s="35" t="s">
        <v>1301</v>
      </c>
      <c r="D80" s="16">
        <v>2</v>
      </c>
      <c r="E80" s="16"/>
      <c r="F80" s="7" t="s">
        <v>151</v>
      </c>
      <c r="G80" s="16" t="s">
        <v>1126</v>
      </c>
      <c r="H80" s="16" t="b">
        <v>1</v>
      </c>
      <c r="I80" s="16" t="s">
        <v>408</v>
      </c>
      <c r="J80" s="16" t="s">
        <v>382</v>
      </c>
      <c r="K80" s="16"/>
      <c r="L80" s="16"/>
      <c r="M80" s="16"/>
      <c r="N80" s="16"/>
      <c r="O80" s="12">
        <f>GET_OK_GROUPS_COUNT(tbHeroEnemy[[#This Row],[Camp]],tbHeroEnemy[[#This Row],[Difficulty]],tbHeroEnemy[[#This Row],[IsBoss]],tbHeroEnemy[[#This Row],[Hero1]:[Soldier3]])</f>
        <v>1</v>
      </c>
      <c r="P80" s="7">
        <v>1</v>
      </c>
      <c r="Q80" s="16" t="s">
        <v>395</v>
      </c>
      <c r="R80" s="9" t="s">
        <v>408</v>
      </c>
      <c r="S80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81" spans="2:19">
      <c r="B81" s="16" t="s">
        <v>1240</v>
      </c>
      <c r="C81" s="35" t="s">
        <v>1301</v>
      </c>
      <c r="D81" s="16">
        <v>1</v>
      </c>
      <c r="E81" s="16"/>
      <c r="F81" s="7" t="s">
        <v>151</v>
      </c>
      <c r="G81" s="16" t="s">
        <v>1126</v>
      </c>
      <c r="H81" s="7"/>
      <c r="I81" s="16" t="s">
        <v>380</v>
      </c>
      <c r="J81" s="16" t="s">
        <v>385</v>
      </c>
      <c r="K81" s="16"/>
      <c r="L81" s="16"/>
      <c r="M81" s="16"/>
      <c r="N81" s="16"/>
      <c r="O81" s="12">
        <f>GET_OK_GROUPS_COUNT(tbHeroEnemy[[#This Row],[Camp]],tbHeroEnemy[[#This Row],[Difficulty]],tbHeroEnemy[[#This Row],[IsBoss]],tbHeroEnemy[[#This Row],[Hero1]:[Soldier3]])</f>
        <v>1</v>
      </c>
      <c r="P81" s="7">
        <v>1</v>
      </c>
      <c r="Q81" s="16" t="s">
        <v>395</v>
      </c>
      <c r="R81" s="9" t="s">
        <v>912</v>
      </c>
      <c r="S81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82" spans="2:19">
      <c r="B82" s="16" t="s">
        <v>1240</v>
      </c>
      <c r="C82" s="35" t="s">
        <v>1301</v>
      </c>
      <c r="D82" s="16">
        <v>2</v>
      </c>
      <c r="E82" s="16"/>
      <c r="F82" s="7" t="s">
        <v>151</v>
      </c>
      <c r="G82" s="16" t="s">
        <v>1126</v>
      </c>
      <c r="H82" s="16" t="b">
        <v>1</v>
      </c>
      <c r="I82" s="16" t="s">
        <v>431</v>
      </c>
      <c r="J82" s="16" t="s">
        <v>381</v>
      </c>
      <c r="K82" s="16"/>
      <c r="L82" s="16"/>
      <c r="M82" s="16"/>
      <c r="N82" s="16"/>
      <c r="O82" s="12">
        <f>GET_OK_GROUPS_COUNT(tbHeroEnemy[[#This Row],[Camp]],tbHeroEnemy[[#This Row],[Difficulty]],tbHeroEnemy[[#This Row],[IsBoss]],tbHeroEnemy[[#This Row],[Hero1]:[Soldier3]])</f>
        <v>1</v>
      </c>
      <c r="P82" s="7">
        <v>1</v>
      </c>
      <c r="Q82" s="16" t="s">
        <v>395</v>
      </c>
      <c r="R82" s="9" t="s">
        <v>431</v>
      </c>
      <c r="S8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83" spans="2:19">
      <c r="B83" s="16" t="s">
        <v>1241</v>
      </c>
      <c r="C83" s="35" t="s">
        <v>1301</v>
      </c>
      <c r="D83" s="16">
        <v>1</v>
      </c>
      <c r="E83" s="16"/>
      <c r="F83" s="7" t="s">
        <v>151</v>
      </c>
      <c r="G83" s="16" t="s">
        <v>1126</v>
      </c>
      <c r="H83" s="7"/>
      <c r="I83" s="16" t="s">
        <v>384</v>
      </c>
      <c r="J83" s="16" t="s">
        <v>385</v>
      </c>
      <c r="K83" s="16"/>
      <c r="L83" s="16"/>
      <c r="M83" s="16"/>
      <c r="N83" s="16"/>
      <c r="O83" s="12">
        <f>GET_OK_GROUPS_COUNT(tbHeroEnemy[[#This Row],[Camp]],tbHeroEnemy[[#This Row],[Difficulty]],tbHeroEnemy[[#This Row],[IsBoss]],tbHeroEnemy[[#This Row],[Hero1]:[Soldier3]])</f>
        <v>1</v>
      </c>
      <c r="P83" s="7">
        <v>1</v>
      </c>
      <c r="Q83" s="16" t="s">
        <v>395</v>
      </c>
      <c r="R83" s="9" t="s">
        <v>912</v>
      </c>
      <c r="S83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84" spans="2:19">
      <c r="B84" s="16" t="s">
        <v>1241</v>
      </c>
      <c r="C84" s="35" t="s">
        <v>1301</v>
      </c>
      <c r="D84" s="16">
        <v>2</v>
      </c>
      <c r="E84" s="16"/>
      <c r="F84" s="7" t="s">
        <v>151</v>
      </c>
      <c r="G84" s="16" t="s">
        <v>1126</v>
      </c>
      <c r="H84" s="16" t="b">
        <v>1</v>
      </c>
      <c r="I84" s="16" t="s">
        <v>393</v>
      </c>
      <c r="J84" s="16" t="s">
        <v>383</v>
      </c>
      <c r="K84" s="16"/>
      <c r="L84" s="16"/>
      <c r="M84" s="16"/>
      <c r="N84" s="16"/>
      <c r="O84" s="12">
        <f>GET_OK_GROUPS_COUNT(tbHeroEnemy[[#This Row],[Camp]],tbHeroEnemy[[#This Row],[Difficulty]],tbHeroEnemy[[#This Row],[IsBoss]],tbHeroEnemy[[#This Row],[Hero1]:[Soldier3]])</f>
        <v>1</v>
      </c>
      <c r="P84" s="7">
        <v>1</v>
      </c>
      <c r="Q84" s="16" t="s">
        <v>395</v>
      </c>
      <c r="R84" s="9" t="s">
        <v>393</v>
      </c>
      <c r="S84" s="2" t="str">
        <f>GET_OK_GROUP(tbHeroEnemy[[#This Row],[Camp]],tbHeroEnemy[[#This Row],[Difficulty]],tbHeroEnemy[[#This Row],[IsBoss]],tbHeroEnemy[[#This Row],[Hero1]:[Soldier3]],tbHeroEnemy[[#This Row],[GroupID]])</f>
        <v>三国-超难-[B]炼英+刺英</v>
      </c>
    </row>
    <row r="85" spans="2:19">
      <c r="B85" s="16" t="s">
        <v>985</v>
      </c>
      <c r="C85" s="35" t="s">
        <v>1301</v>
      </c>
      <c r="D85" s="16">
        <v>1</v>
      </c>
      <c r="E85" s="16"/>
      <c r="F85" s="7" t="s">
        <v>151</v>
      </c>
      <c r="G85" s="16" t="s">
        <v>1125</v>
      </c>
      <c r="H85" s="7"/>
      <c r="I85" s="16" t="s">
        <v>383</v>
      </c>
      <c r="J85" s="16" t="s">
        <v>383</v>
      </c>
      <c r="K85" s="16"/>
      <c r="L85" s="16"/>
      <c r="M85" s="16"/>
      <c r="N85" s="16"/>
      <c r="O85" s="12">
        <f>GET_OK_GROUPS_COUNT(tbHeroEnemy[[#This Row],[Camp]],tbHeroEnemy[[#This Row],[Difficulty]],tbHeroEnemy[[#This Row],[IsBoss]],tbHeroEnemy[[#This Row],[Hero1]:[Soldier3]])</f>
        <v>1</v>
      </c>
      <c r="P85" s="7">
        <v>1</v>
      </c>
      <c r="Q85" s="16" t="s">
        <v>396</v>
      </c>
      <c r="R85" s="9" t="s">
        <v>912</v>
      </c>
      <c r="S85" s="2" t="str">
        <f>GET_OK_GROUP(tbHeroEnemy[[#This Row],[Camp]],tbHeroEnemy[[#This Row],[Difficulty]],tbHeroEnemy[[#This Row],[IsBoss]],tbHeroEnemy[[#This Row],[Hero1]:[Soldier3]],tbHeroEnemy[[#This Row],[GroupID]])</f>
        <v>三国-困难-炼英+炼英</v>
      </c>
    </row>
    <row r="86" spans="2:19">
      <c r="B86" s="16" t="s">
        <v>985</v>
      </c>
      <c r="C86" s="35" t="s">
        <v>1301</v>
      </c>
      <c r="D86" s="16">
        <v>2</v>
      </c>
      <c r="E86" s="16"/>
      <c r="F86" s="7" t="s">
        <v>151</v>
      </c>
      <c r="G86" s="16" t="s">
        <v>1125</v>
      </c>
      <c r="H86" s="16" t="b">
        <v>1</v>
      </c>
      <c r="I86" s="16" t="s">
        <v>404</v>
      </c>
      <c r="J86" s="16" t="s">
        <v>383</v>
      </c>
      <c r="K86" s="16"/>
      <c r="L86" s="16"/>
      <c r="M86" s="16"/>
      <c r="N86" s="16"/>
      <c r="O86" s="12">
        <f>GET_OK_GROUPS_COUNT(tbHeroEnemy[[#This Row],[Camp]],tbHeroEnemy[[#This Row],[Difficulty]],tbHeroEnemy[[#This Row],[IsBoss]],tbHeroEnemy[[#This Row],[Hero1]:[Soldier3]])</f>
        <v>1</v>
      </c>
      <c r="P86" s="7">
        <v>1</v>
      </c>
      <c r="Q86" s="16" t="s">
        <v>396</v>
      </c>
      <c r="R86" s="9" t="s">
        <v>404</v>
      </c>
      <c r="S86" s="2" t="str">
        <f>GET_OK_GROUP(tbHeroEnemy[[#This Row],[Camp]],tbHeroEnemy[[#This Row],[Difficulty]],tbHeroEnemy[[#This Row],[IsBoss]],tbHeroEnemy[[#This Row],[Hero1]:[Soldier3]],tbHeroEnemy[[#This Row],[GroupID]])</f>
        <v>三国-困难-[B]铁英+炼英</v>
      </c>
    </row>
    <row r="87" spans="2:19">
      <c r="B87" s="16" t="s">
        <v>986</v>
      </c>
      <c r="C87" s="35" t="s">
        <v>1301</v>
      </c>
      <c r="D87" s="16">
        <v>1</v>
      </c>
      <c r="E87" s="16"/>
      <c r="F87" s="7" t="s">
        <v>151</v>
      </c>
      <c r="G87" s="16" t="s">
        <v>1125</v>
      </c>
      <c r="H87" s="7"/>
      <c r="I87" s="16" t="s">
        <v>384</v>
      </c>
      <c r="J87" s="16" t="s">
        <v>383</v>
      </c>
      <c r="K87" s="16"/>
      <c r="L87" s="16"/>
      <c r="M87" s="16"/>
      <c r="N87" s="16"/>
      <c r="O87" s="12">
        <f>GET_OK_GROUPS_COUNT(tbHeroEnemy[[#This Row],[Camp]],tbHeroEnemy[[#This Row],[Difficulty]],tbHeroEnemy[[#This Row],[IsBoss]],tbHeroEnemy[[#This Row],[Hero1]:[Soldier3]])</f>
        <v>1</v>
      </c>
      <c r="P87" s="7">
        <v>1</v>
      </c>
      <c r="Q87" s="16" t="s">
        <v>396</v>
      </c>
      <c r="R87" s="9" t="s">
        <v>912</v>
      </c>
      <c r="S87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88" spans="2:19">
      <c r="B88" s="16" t="s">
        <v>986</v>
      </c>
      <c r="C88" s="35" t="s">
        <v>1301</v>
      </c>
      <c r="D88" s="16">
        <v>2</v>
      </c>
      <c r="E88" s="16"/>
      <c r="F88" s="7" t="s">
        <v>151</v>
      </c>
      <c r="G88" s="16" t="s">
        <v>1126</v>
      </c>
      <c r="H88" s="16" t="b">
        <v>1</v>
      </c>
      <c r="I88" s="16" t="s">
        <v>415</v>
      </c>
      <c r="J88" s="16" t="s">
        <v>384</v>
      </c>
      <c r="K88" s="16"/>
      <c r="L88" s="16"/>
      <c r="M88" s="16"/>
      <c r="N88" s="16"/>
      <c r="O88" s="12">
        <f>GET_OK_GROUPS_COUNT(tbHeroEnemy[[#This Row],[Camp]],tbHeroEnemy[[#This Row],[Difficulty]],tbHeroEnemy[[#This Row],[IsBoss]],tbHeroEnemy[[#This Row],[Hero1]:[Soldier3]])</f>
        <v>1</v>
      </c>
      <c r="P88" s="7">
        <v>1</v>
      </c>
      <c r="Q88" s="16" t="s">
        <v>396</v>
      </c>
      <c r="R88" s="9" t="s">
        <v>415</v>
      </c>
      <c r="S88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89" spans="2:19">
      <c r="B89" s="16" t="s">
        <v>987</v>
      </c>
      <c r="C89" s="35" t="s">
        <v>1301</v>
      </c>
      <c r="D89" s="16">
        <v>1</v>
      </c>
      <c r="E89" s="16"/>
      <c r="F89" s="7" t="s">
        <v>151</v>
      </c>
      <c r="G89" s="16" t="s">
        <v>1126</v>
      </c>
      <c r="H89" s="7"/>
      <c r="I89" s="16" t="s">
        <v>383</v>
      </c>
      <c r="J89" s="16" t="s">
        <v>383</v>
      </c>
      <c r="K89" s="16"/>
      <c r="L89" s="16"/>
      <c r="M89" s="16"/>
      <c r="N89" s="16"/>
      <c r="O89" s="12">
        <f>GET_OK_GROUPS_COUNT(tbHeroEnemy[[#This Row],[Camp]],tbHeroEnemy[[#This Row],[Difficulty]],tbHeroEnemy[[#This Row],[IsBoss]],tbHeroEnemy[[#This Row],[Hero1]:[Soldier3]])</f>
        <v>1</v>
      </c>
      <c r="P89" s="7">
        <v>1</v>
      </c>
      <c r="Q89" s="16" t="s">
        <v>396</v>
      </c>
      <c r="R89" s="9" t="s">
        <v>912</v>
      </c>
      <c r="S89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90" spans="2:19">
      <c r="B90" s="16" t="s">
        <v>987</v>
      </c>
      <c r="C90" s="35" t="s">
        <v>1301</v>
      </c>
      <c r="D90" s="16">
        <v>2</v>
      </c>
      <c r="E90" s="16"/>
      <c r="F90" s="7" t="s">
        <v>151</v>
      </c>
      <c r="G90" s="16" t="s">
        <v>1126</v>
      </c>
      <c r="H90" s="16" t="b">
        <v>1</v>
      </c>
      <c r="I90" s="16" t="s">
        <v>403</v>
      </c>
      <c r="J90" s="16" t="s">
        <v>380</v>
      </c>
      <c r="K90" s="16"/>
      <c r="L90" s="16"/>
      <c r="M90" s="16"/>
      <c r="N90" s="16"/>
      <c r="O90" s="12">
        <f>GET_OK_GROUPS_COUNT(tbHeroEnemy[[#This Row],[Camp]],tbHeroEnemy[[#This Row],[Difficulty]],tbHeroEnemy[[#This Row],[IsBoss]],tbHeroEnemy[[#This Row],[Hero1]:[Soldier3]])</f>
        <v>1</v>
      </c>
      <c r="P90" s="7">
        <v>1</v>
      </c>
      <c r="Q90" s="16" t="s">
        <v>396</v>
      </c>
      <c r="R90" s="9" t="s">
        <v>403</v>
      </c>
      <c r="S90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91" spans="2:19">
      <c r="B91" s="16" t="s">
        <v>988</v>
      </c>
      <c r="C91" s="35" t="s">
        <v>1301</v>
      </c>
      <c r="D91" s="16">
        <v>1</v>
      </c>
      <c r="E91" s="16"/>
      <c r="F91" s="7" t="s">
        <v>151</v>
      </c>
      <c r="G91" s="16" t="s">
        <v>1126</v>
      </c>
      <c r="H91" s="7"/>
      <c r="I91" s="16" t="s">
        <v>382</v>
      </c>
      <c r="J91" s="16" t="s">
        <v>381</v>
      </c>
      <c r="K91" s="16"/>
      <c r="L91" s="16"/>
      <c r="M91" s="16"/>
      <c r="N91" s="16"/>
      <c r="O91" s="12">
        <f>GET_OK_GROUPS_COUNT(tbHeroEnemy[[#This Row],[Camp]],tbHeroEnemy[[#This Row],[Difficulty]],tbHeroEnemy[[#This Row],[IsBoss]],tbHeroEnemy[[#This Row],[Hero1]:[Soldier3]])</f>
        <v>1</v>
      </c>
      <c r="P91" s="7">
        <v>1</v>
      </c>
      <c r="Q91" s="16" t="s">
        <v>396</v>
      </c>
      <c r="R91" s="9" t="s">
        <v>912</v>
      </c>
      <c r="S91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92" spans="2:19">
      <c r="B92" s="16" t="s">
        <v>988</v>
      </c>
      <c r="C92" s="35" t="s">
        <v>1301</v>
      </c>
      <c r="D92" s="16">
        <v>2</v>
      </c>
      <c r="E92" s="16"/>
      <c r="F92" s="7" t="s">
        <v>151</v>
      </c>
      <c r="G92" s="16" t="s">
        <v>1126</v>
      </c>
      <c r="H92" s="16" t="b">
        <v>1</v>
      </c>
      <c r="I92" s="16" t="s">
        <v>396</v>
      </c>
      <c r="J92" s="16" t="s">
        <v>384</v>
      </c>
      <c r="K92" s="16"/>
      <c r="L92" s="16"/>
      <c r="M92" s="16"/>
      <c r="N92" s="16"/>
      <c r="O92" s="12">
        <f>GET_OK_GROUPS_COUNT(tbHeroEnemy[[#This Row],[Camp]],tbHeroEnemy[[#This Row],[Difficulty]],tbHeroEnemy[[#This Row],[IsBoss]],tbHeroEnemy[[#This Row],[Hero1]:[Soldier3]])</f>
        <v>1</v>
      </c>
      <c r="P92" s="7">
        <v>1</v>
      </c>
      <c r="Q92" s="16" t="s">
        <v>396</v>
      </c>
      <c r="R92" s="9" t="s">
        <v>396</v>
      </c>
      <c r="S92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93" spans="2:19">
      <c r="B93" s="16" t="s">
        <v>989</v>
      </c>
      <c r="C93" s="35" t="s">
        <v>1301</v>
      </c>
      <c r="D93" s="16">
        <v>1</v>
      </c>
      <c r="E93" s="16"/>
      <c r="F93" s="7" t="s">
        <v>151</v>
      </c>
      <c r="G93" s="16" t="s">
        <v>1125</v>
      </c>
      <c r="H93" s="7"/>
      <c r="I93" s="16" t="s">
        <v>380</v>
      </c>
      <c r="J93" s="16" t="s">
        <v>381</v>
      </c>
      <c r="K93" s="16"/>
      <c r="L93" s="16"/>
      <c r="M93" s="16"/>
      <c r="N93" s="16"/>
      <c r="O93" s="12">
        <f>GET_OK_GROUPS_COUNT(tbHeroEnemy[[#This Row],[Camp]],tbHeroEnemy[[#This Row],[Difficulty]],tbHeroEnemy[[#This Row],[IsBoss]],tbHeroEnemy[[#This Row],[Hero1]:[Soldier3]])</f>
        <v>1</v>
      </c>
      <c r="P93" s="7">
        <v>1</v>
      </c>
      <c r="Q93" s="16" t="s">
        <v>397</v>
      </c>
      <c r="R93" s="9" t="s">
        <v>912</v>
      </c>
      <c r="S93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94" spans="2:19">
      <c r="B94" s="16" t="s">
        <v>989</v>
      </c>
      <c r="C94" s="35" t="s">
        <v>1301</v>
      </c>
      <c r="D94" s="16">
        <v>2</v>
      </c>
      <c r="E94" s="16"/>
      <c r="F94" s="7" t="s">
        <v>151</v>
      </c>
      <c r="G94" s="16" t="s">
        <v>1125</v>
      </c>
      <c r="H94" s="16" t="b">
        <v>1</v>
      </c>
      <c r="I94" s="16" t="s">
        <v>424</v>
      </c>
      <c r="J94" s="16" t="s">
        <v>383</v>
      </c>
      <c r="K94" s="16"/>
      <c r="L94" s="16"/>
      <c r="M94" s="16"/>
      <c r="N94" s="16"/>
      <c r="O94" s="12">
        <f>GET_OK_GROUPS_COUNT(tbHeroEnemy[[#This Row],[Camp]],tbHeroEnemy[[#This Row],[Difficulty]],tbHeroEnemy[[#This Row],[IsBoss]],tbHeroEnemy[[#This Row],[Hero1]:[Soldier3]])</f>
        <v>1</v>
      </c>
      <c r="P94" s="7">
        <v>1</v>
      </c>
      <c r="Q94" s="16" t="s">
        <v>397</v>
      </c>
      <c r="R94" s="9" t="s">
        <v>424</v>
      </c>
      <c r="S94" s="2" t="str">
        <f>GET_OK_GROUP(tbHeroEnemy[[#This Row],[Camp]],tbHeroEnemy[[#This Row],[Difficulty]],tbHeroEnemy[[#This Row],[IsBoss]],tbHeroEnemy[[#This Row],[Hero1]:[Soldier3]],tbHeroEnemy[[#This Row],[GroupID]])</f>
        <v>三国-困难-[B]强英+炼英</v>
      </c>
    </row>
    <row r="95" spans="2:19">
      <c r="B95" s="16" t="s">
        <v>990</v>
      </c>
      <c r="C95" s="35" t="s">
        <v>1301</v>
      </c>
      <c r="D95" s="16">
        <v>1</v>
      </c>
      <c r="E95" s="16"/>
      <c r="F95" s="7" t="s">
        <v>151</v>
      </c>
      <c r="G95" s="16" t="s">
        <v>1125</v>
      </c>
      <c r="H95" s="7"/>
      <c r="I95" s="16" t="s">
        <v>383</v>
      </c>
      <c r="J95" s="16" t="s">
        <v>381</v>
      </c>
      <c r="K95" s="16"/>
      <c r="L95" s="16"/>
      <c r="M95" s="16"/>
      <c r="N95" s="16"/>
      <c r="O95" s="12">
        <f>GET_OK_GROUPS_COUNT(tbHeroEnemy[[#This Row],[Camp]],tbHeroEnemy[[#This Row],[Difficulty]],tbHeroEnemy[[#This Row],[IsBoss]],tbHeroEnemy[[#This Row],[Hero1]:[Soldier3]])</f>
        <v>1</v>
      </c>
      <c r="P95" s="7">
        <v>1</v>
      </c>
      <c r="Q95" s="16" t="s">
        <v>397</v>
      </c>
      <c r="R95" s="9" t="s">
        <v>912</v>
      </c>
      <c r="S95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96" spans="2:19">
      <c r="B96" s="16" t="s">
        <v>990</v>
      </c>
      <c r="C96" s="35" t="s">
        <v>1301</v>
      </c>
      <c r="D96" s="16">
        <v>2</v>
      </c>
      <c r="E96" s="16"/>
      <c r="F96" s="7" t="s">
        <v>151</v>
      </c>
      <c r="G96" s="16" t="s">
        <v>1126</v>
      </c>
      <c r="H96" s="16" t="b">
        <v>1</v>
      </c>
      <c r="I96" s="16" t="s">
        <v>433</v>
      </c>
      <c r="J96" s="16" t="s">
        <v>380</v>
      </c>
      <c r="K96" s="16"/>
      <c r="L96" s="16"/>
      <c r="M96" s="16"/>
      <c r="N96" s="16"/>
      <c r="O96" s="12">
        <f>GET_OK_GROUPS_COUNT(tbHeroEnemy[[#This Row],[Camp]],tbHeroEnemy[[#This Row],[Difficulty]],tbHeroEnemy[[#This Row],[IsBoss]],tbHeroEnemy[[#This Row],[Hero1]:[Soldier3]])</f>
        <v>1</v>
      </c>
      <c r="P96" s="7">
        <v>1</v>
      </c>
      <c r="Q96" s="16" t="s">
        <v>397</v>
      </c>
      <c r="R96" s="9" t="s">
        <v>433</v>
      </c>
      <c r="S9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97" spans="2:19">
      <c r="B97" s="16" t="s">
        <v>991</v>
      </c>
      <c r="C97" s="35" t="s">
        <v>1301</v>
      </c>
      <c r="D97" s="16">
        <v>1</v>
      </c>
      <c r="E97" s="16"/>
      <c r="F97" s="7" t="s">
        <v>151</v>
      </c>
      <c r="G97" s="16" t="s">
        <v>1126</v>
      </c>
      <c r="H97" s="7"/>
      <c r="I97" s="16" t="s">
        <v>384</v>
      </c>
      <c r="J97" s="16" t="s">
        <v>382</v>
      </c>
      <c r="K97" s="16"/>
      <c r="L97" s="16"/>
      <c r="M97" s="16"/>
      <c r="N97" s="16"/>
      <c r="O97" s="12">
        <f>GET_OK_GROUPS_COUNT(tbHeroEnemy[[#This Row],[Camp]],tbHeroEnemy[[#This Row],[Difficulty]],tbHeroEnemy[[#This Row],[IsBoss]],tbHeroEnemy[[#This Row],[Hero1]:[Soldier3]])</f>
        <v>1</v>
      </c>
      <c r="P97" s="7">
        <v>1</v>
      </c>
      <c r="Q97" s="16" t="s">
        <v>397</v>
      </c>
      <c r="R97" s="9" t="s">
        <v>912</v>
      </c>
      <c r="S97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98" spans="2:19">
      <c r="B98" s="16" t="s">
        <v>991</v>
      </c>
      <c r="C98" s="35" t="s">
        <v>1301</v>
      </c>
      <c r="D98" s="16">
        <v>2</v>
      </c>
      <c r="E98" s="16"/>
      <c r="F98" s="7" t="s">
        <v>151</v>
      </c>
      <c r="G98" s="16" t="s">
        <v>1126</v>
      </c>
      <c r="H98" s="16" t="b">
        <v>1</v>
      </c>
      <c r="I98" s="16" t="s">
        <v>402</v>
      </c>
      <c r="J98" s="16" t="s">
        <v>381</v>
      </c>
      <c r="K98" s="16"/>
      <c r="L98" s="16"/>
      <c r="M98" s="16"/>
      <c r="N98" s="16"/>
      <c r="O98" s="12">
        <f>GET_OK_GROUPS_COUNT(tbHeroEnemy[[#This Row],[Camp]],tbHeroEnemy[[#This Row],[Difficulty]],tbHeroEnemy[[#This Row],[IsBoss]],tbHeroEnemy[[#This Row],[Hero1]:[Soldier3]])</f>
        <v>1</v>
      </c>
      <c r="P98" s="7">
        <v>1</v>
      </c>
      <c r="Q98" s="16" t="s">
        <v>397</v>
      </c>
      <c r="R98" s="9" t="s">
        <v>402</v>
      </c>
      <c r="S9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99" spans="2:19">
      <c r="B99" s="16" t="s">
        <v>992</v>
      </c>
      <c r="C99" s="35" t="s">
        <v>1301</v>
      </c>
      <c r="D99" s="16">
        <v>1</v>
      </c>
      <c r="E99" s="16"/>
      <c r="F99" s="7" t="s">
        <v>151</v>
      </c>
      <c r="G99" s="16" t="s">
        <v>1126</v>
      </c>
      <c r="H99" s="7"/>
      <c r="I99" s="16" t="s">
        <v>381</v>
      </c>
      <c r="J99" s="16" t="s">
        <v>385</v>
      </c>
      <c r="K99" s="16"/>
      <c r="L99" s="16"/>
      <c r="M99" s="16"/>
      <c r="N99" s="16"/>
      <c r="O99" s="12">
        <f>GET_OK_GROUPS_COUNT(tbHeroEnemy[[#This Row],[Camp]],tbHeroEnemy[[#This Row],[Difficulty]],tbHeroEnemy[[#This Row],[IsBoss]],tbHeroEnemy[[#This Row],[Hero1]:[Soldier3]])</f>
        <v>1</v>
      </c>
      <c r="P99" s="7">
        <v>1</v>
      </c>
      <c r="Q99" s="16" t="s">
        <v>397</v>
      </c>
      <c r="R99" s="9" t="s">
        <v>912</v>
      </c>
      <c r="S99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100" spans="2:19">
      <c r="B100" s="16" t="s">
        <v>992</v>
      </c>
      <c r="C100" s="35" t="s">
        <v>1301</v>
      </c>
      <c r="D100" s="16">
        <v>2</v>
      </c>
      <c r="E100" s="16"/>
      <c r="F100" s="7" t="s">
        <v>151</v>
      </c>
      <c r="G100" s="16" t="s">
        <v>1126</v>
      </c>
      <c r="H100" s="16" t="b">
        <v>1</v>
      </c>
      <c r="I100" s="16" t="s">
        <v>417</v>
      </c>
      <c r="J100" s="16" t="s">
        <v>385</v>
      </c>
      <c r="K100" s="16"/>
      <c r="L100" s="16"/>
      <c r="M100" s="16"/>
      <c r="N100" s="16"/>
      <c r="O100" s="12">
        <f>GET_OK_GROUPS_COUNT(tbHeroEnemy[[#This Row],[Camp]],tbHeroEnemy[[#This Row],[Difficulty]],tbHeroEnemy[[#This Row],[IsBoss]],tbHeroEnemy[[#This Row],[Hero1]:[Soldier3]])</f>
        <v>1</v>
      </c>
      <c r="P100" s="7">
        <v>1</v>
      </c>
      <c r="Q100" s="16" t="s">
        <v>397</v>
      </c>
      <c r="R100" s="9" t="s">
        <v>417</v>
      </c>
      <c r="S100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101" spans="2:19">
      <c r="B101" s="16" t="s">
        <v>993</v>
      </c>
      <c r="C101" s="35" t="s">
        <v>1301</v>
      </c>
      <c r="D101" s="16">
        <v>1</v>
      </c>
      <c r="E101" s="16"/>
      <c r="F101" s="7" t="s">
        <v>151</v>
      </c>
      <c r="G101" s="16" t="s">
        <v>1125</v>
      </c>
      <c r="H101" s="7"/>
      <c r="I101" s="16" t="s">
        <v>380</v>
      </c>
      <c r="J101" s="16" t="s">
        <v>384</v>
      </c>
      <c r="K101" s="16"/>
      <c r="L101" s="16"/>
      <c r="M101" s="16"/>
      <c r="N101" s="16"/>
      <c r="O101" s="12">
        <f>GET_OK_GROUPS_COUNT(tbHeroEnemy[[#This Row],[Camp]],tbHeroEnemy[[#This Row],[Difficulty]],tbHeroEnemy[[#This Row],[IsBoss]],tbHeroEnemy[[#This Row],[Hero1]:[Soldier3]])</f>
        <v>1</v>
      </c>
      <c r="P101" s="7">
        <v>1</v>
      </c>
      <c r="Q101" s="16" t="s">
        <v>398</v>
      </c>
      <c r="R101" s="9" t="s">
        <v>912</v>
      </c>
      <c r="S101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102" spans="2:19">
      <c r="B102" s="16" t="s">
        <v>993</v>
      </c>
      <c r="C102" s="35" t="s">
        <v>1301</v>
      </c>
      <c r="D102" s="16">
        <v>2</v>
      </c>
      <c r="E102" s="16"/>
      <c r="F102" s="7" t="s">
        <v>151</v>
      </c>
      <c r="G102" s="16" t="s">
        <v>1125</v>
      </c>
      <c r="H102" s="16" t="b">
        <v>1</v>
      </c>
      <c r="I102" s="16" t="s">
        <v>391</v>
      </c>
      <c r="J102" s="16" t="s">
        <v>384</v>
      </c>
      <c r="K102" s="16"/>
      <c r="L102" s="16"/>
      <c r="M102" s="16"/>
      <c r="N102" s="16"/>
      <c r="O102" s="12">
        <f>GET_OK_GROUPS_COUNT(tbHeroEnemy[[#This Row],[Camp]],tbHeroEnemy[[#This Row],[Difficulty]],tbHeroEnemy[[#This Row],[IsBoss]],tbHeroEnemy[[#This Row],[Hero1]:[Soldier3]])</f>
        <v>1</v>
      </c>
      <c r="P102" s="7">
        <v>1</v>
      </c>
      <c r="Q102" s="16" t="s">
        <v>398</v>
      </c>
      <c r="R102" s="9" t="s">
        <v>391</v>
      </c>
      <c r="S102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103" spans="2:19">
      <c r="B103" s="16" t="s">
        <v>994</v>
      </c>
      <c r="C103" s="35" t="s">
        <v>1301</v>
      </c>
      <c r="D103" s="16">
        <v>1</v>
      </c>
      <c r="E103" s="16"/>
      <c r="F103" s="7" t="s">
        <v>151</v>
      </c>
      <c r="G103" s="16" t="s">
        <v>1125</v>
      </c>
      <c r="H103" s="7"/>
      <c r="I103" s="16" t="s">
        <v>384</v>
      </c>
      <c r="J103" s="16" t="s">
        <v>383</v>
      </c>
      <c r="K103" s="16"/>
      <c r="L103" s="16"/>
      <c r="M103" s="16"/>
      <c r="N103" s="16"/>
      <c r="O103" s="12">
        <f>GET_OK_GROUPS_COUNT(tbHeroEnemy[[#This Row],[Camp]],tbHeroEnemy[[#This Row],[Difficulty]],tbHeroEnemy[[#This Row],[IsBoss]],tbHeroEnemy[[#This Row],[Hero1]:[Soldier3]])</f>
        <v>1</v>
      </c>
      <c r="P103" s="7">
        <v>1</v>
      </c>
      <c r="Q103" s="16" t="s">
        <v>398</v>
      </c>
      <c r="R103" s="9" t="s">
        <v>912</v>
      </c>
      <c r="S103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104" spans="2:19">
      <c r="B104" s="16" t="s">
        <v>994</v>
      </c>
      <c r="C104" s="35" t="s">
        <v>1301</v>
      </c>
      <c r="D104" s="16">
        <v>2</v>
      </c>
      <c r="E104" s="16"/>
      <c r="F104" s="7" t="s">
        <v>151</v>
      </c>
      <c r="G104" s="16" t="s">
        <v>1126</v>
      </c>
      <c r="H104" s="16" t="b">
        <v>1</v>
      </c>
      <c r="I104" s="16" t="s">
        <v>410</v>
      </c>
      <c r="J104" s="16" t="s">
        <v>384</v>
      </c>
      <c r="K104" s="16"/>
      <c r="L104" s="16"/>
      <c r="M104" s="16"/>
      <c r="N104" s="16"/>
      <c r="O104" s="12">
        <f>GET_OK_GROUPS_COUNT(tbHeroEnemy[[#This Row],[Camp]],tbHeroEnemy[[#This Row],[Difficulty]],tbHeroEnemy[[#This Row],[IsBoss]],tbHeroEnemy[[#This Row],[Hero1]:[Soldier3]])</f>
        <v>1</v>
      </c>
      <c r="P104" s="7">
        <v>1</v>
      </c>
      <c r="Q104" s="16" t="s">
        <v>398</v>
      </c>
      <c r="R104" s="9" t="s">
        <v>410</v>
      </c>
      <c r="S10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05" spans="2:19">
      <c r="B105" s="16" t="s">
        <v>995</v>
      </c>
      <c r="C105" s="35" t="s">
        <v>1301</v>
      </c>
      <c r="D105" s="16">
        <v>1</v>
      </c>
      <c r="E105" s="16"/>
      <c r="F105" s="7" t="s">
        <v>151</v>
      </c>
      <c r="G105" s="16" t="s">
        <v>1126</v>
      </c>
      <c r="H105" s="7"/>
      <c r="I105" s="16" t="s">
        <v>382</v>
      </c>
      <c r="J105" s="16" t="s">
        <v>381</v>
      </c>
      <c r="K105" s="16"/>
      <c r="L105" s="16"/>
      <c r="M105" s="16"/>
      <c r="N105" s="16"/>
      <c r="O105" s="12">
        <f>GET_OK_GROUPS_COUNT(tbHeroEnemy[[#This Row],[Camp]],tbHeroEnemy[[#This Row],[Difficulty]],tbHeroEnemy[[#This Row],[IsBoss]],tbHeroEnemy[[#This Row],[Hero1]:[Soldier3]])</f>
        <v>1</v>
      </c>
      <c r="P105" s="7">
        <v>1</v>
      </c>
      <c r="Q105" s="16" t="s">
        <v>398</v>
      </c>
      <c r="R105" s="9" t="s">
        <v>912</v>
      </c>
      <c r="S105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06" spans="2:19">
      <c r="B106" s="16" t="s">
        <v>995</v>
      </c>
      <c r="C106" s="35" t="s">
        <v>1301</v>
      </c>
      <c r="D106" s="16">
        <v>2</v>
      </c>
      <c r="E106" s="16"/>
      <c r="F106" s="7" t="s">
        <v>151</v>
      </c>
      <c r="G106" s="16" t="s">
        <v>1126</v>
      </c>
      <c r="H106" s="16" t="b">
        <v>1</v>
      </c>
      <c r="I106" s="16" t="s">
        <v>431</v>
      </c>
      <c r="J106" s="16" t="s">
        <v>385</v>
      </c>
      <c r="K106" s="16"/>
      <c r="L106" s="16"/>
      <c r="M106" s="16"/>
      <c r="N106" s="16"/>
      <c r="O106" s="12">
        <f>GET_OK_GROUPS_COUNT(tbHeroEnemy[[#This Row],[Camp]],tbHeroEnemy[[#This Row],[Difficulty]],tbHeroEnemy[[#This Row],[IsBoss]],tbHeroEnemy[[#This Row],[Hero1]:[Soldier3]])</f>
        <v>1</v>
      </c>
      <c r="P106" s="7">
        <v>1</v>
      </c>
      <c r="Q106" s="16" t="s">
        <v>398</v>
      </c>
      <c r="R106" s="9" t="s">
        <v>431</v>
      </c>
      <c r="S106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07" spans="2:19">
      <c r="B107" s="16" t="s">
        <v>996</v>
      </c>
      <c r="C107" s="35" t="s">
        <v>1301</v>
      </c>
      <c r="D107" s="16">
        <v>1</v>
      </c>
      <c r="E107" s="16"/>
      <c r="F107" s="7" t="s">
        <v>151</v>
      </c>
      <c r="G107" s="16" t="s">
        <v>1126</v>
      </c>
      <c r="H107" s="7"/>
      <c r="I107" s="16" t="s">
        <v>382</v>
      </c>
      <c r="J107" s="16" t="s">
        <v>385</v>
      </c>
      <c r="K107" s="16"/>
      <c r="L107" s="16"/>
      <c r="M107" s="16"/>
      <c r="N107" s="16"/>
      <c r="O107" s="12">
        <f>GET_OK_GROUPS_COUNT(tbHeroEnemy[[#This Row],[Camp]],tbHeroEnemy[[#This Row],[Difficulty]],tbHeroEnemy[[#This Row],[IsBoss]],tbHeroEnemy[[#This Row],[Hero1]:[Soldier3]])</f>
        <v>1</v>
      </c>
      <c r="P107" s="7">
        <v>1</v>
      </c>
      <c r="Q107" s="16" t="s">
        <v>398</v>
      </c>
      <c r="R107" s="9" t="s">
        <v>912</v>
      </c>
      <c r="S107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108" spans="2:19">
      <c r="B108" s="16" t="s">
        <v>996</v>
      </c>
      <c r="C108" s="35" t="s">
        <v>1301</v>
      </c>
      <c r="D108" s="16">
        <v>2</v>
      </c>
      <c r="E108" s="16"/>
      <c r="F108" s="7" t="s">
        <v>151</v>
      </c>
      <c r="G108" s="16" t="s">
        <v>1126</v>
      </c>
      <c r="H108" s="16" t="b">
        <v>1</v>
      </c>
      <c r="I108" s="16" t="s">
        <v>429</v>
      </c>
      <c r="J108" s="16" t="s">
        <v>384</v>
      </c>
      <c r="K108" s="16"/>
      <c r="L108" s="16"/>
      <c r="M108" s="16"/>
      <c r="N108" s="16"/>
      <c r="O108" s="12">
        <f>GET_OK_GROUPS_COUNT(tbHeroEnemy[[#This Row],[Camp]],tbHeroEnemy[[#This Row],[Difficulty]],tbHeroEnemy[[#This Row],[IsBoss]],tbHeroEnemy[[#This Row],[Hero1]:[Soldier3]])</f>
        <v>1</v>
      </c>
      <c r="P108" s="7">
        <v>1</v>
      </c>
      <c r="Q108" s="16" t="s">
        <v>398</v>
      </c>
      <c r="R108" s="9" t="s">
        <v>429</v>
      </c>
      <c r="S108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109" spans="2:19">
      <c r="B109" s="16" t="s">
        <v>997</v>
      </c>
      <c r="C109" s="35" t="s">
        <v>1301</v>
      </c>
      <c r="D109" s="16">
        <v>1</v>
      </c>
      <c r="E109" s="16"/>
      <c r="F109" s="7" t="s">
        <v>151</v>
      </c>
      <c r="G109" s="16" t="s">
        <v>1125</v>
      </c>
      <c r="H109" s="7"/>
      <c r="I109" s="16" t="s">
        <v>384</v>
      </c>
      <c r="J109" s="16" t="s">
        <v>384</v>
      </c>
      <c r="K109" s="16"/>
      <c r="L109" s="16"/>
      <c r="M109" s="16"/>
      <c r="N109" s="16"/>
      <c r="O109" s="12">
        <f>GET_OK_GROUPS_COUNT(tbHeroEnemy[[#This Row],[Camp]],tbHeroEnemy[[#This Row],[Difficulty]],tbHeroEnemy[[#This Row],[IsBoss]],tbHeroEnemy[[#This Row],[Hero1]:[Soldier3]])</f>
        <v>1</v>
      </c>
      <c r="P109" s="7">
        <v>1</v>
      </c>
      <c r="Q109" s="16" t="s">
        <v>399</v>
      </c>
      <c r="R109" s="9" t="s">
        <v>912</v>
      </c>
      <c r="S10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10" spans="2:19">
      <c r="B110" s="16" t="s">
        <v>997</v>
      </c>
      <c r="C110" s="35" t="s">
        <v>1301</v>
      </c>
      <c r="D110" s="16">
        <v>2</v>
      </c>
      <c r="E110" s="16"/>
      <c r="F110" s="7" t="s">
        <v>151</v>
      </c>
      <c r="G110" s="16" t="s">
        <v>1125</v>
      </c>
      <c r="H110" s="16" t="b">
        <v>1</v>
      </c>
      <c r="I110" s="16" t="s">
        <v>400</v>
      </c>
      <c r="J110" s="16" t="s">
        <v>381</v>
      </c>
      <c r="K110" s="16"/>
      <c r="L110" s="16"/>
      <c r="M110" s="16"/>
      <c r="N110" s="16"/>
      <c r="O110" s="12">
        <f>GET_OK_GROUPS_COUNT(tbHeroEnemy[[#This Row],[Camp]],tbHeroEnemy[[#This Row],[Difficulty]],tbHeroEnemy[[#This Row],[IsBoss]],tbHeroEnemy[[#This Row],[Hero1]:[Soldier3]])</f>
        <v>1</v>
      </c>
      <c r="P110" s="7">
        <v>1</v>
      </c>
      <c r="Q110" s="16" t="s">
        <v>399</v>
      </c>
      <c r="R110" s="9" t="s">
        <v>400</v>
      </c>
      <c r="S110" s="2" t="str">
        <f>GET_OK_GROUP(tbHeroEnemy[[#This Row],[Camp]],tbHeroEnemy[[#This Row],[Difficulty]],tbHeroEnemy[[#This Row],[IsBoss]],tbHeroEnemy[[#This Row],[Hero1]:[Soldier3]],tbHeroEnemy[[#This Row],[GroupID]])</f>
        <v>三国-困难-[B]盾英+强英</v>
      </c>
    </row>
    <row r="111" spans="2:19">
      <c r="B111" s="16" t="s">
        <v>998</v>
      </c>
      <c r="C111" s="35" t="s">
        <v>1301</v>
      </c>
      <c r="D111" s="16">
        <v>1</v>
      </c>
      <c r="E111" s="16"/>
      <c r="F111" s="7" t="s">
        <v>151</v>
      </c>
      <c r="G111" s="16" t="s">
        <v>1125</v>
      </c>
      <c r="H111" s="7"/>
      <c r="I111" s="16" t="s">
        <v>380</v>
      </c>
      <c r="J111" s="16" t="s">
        <v>383</v>
      </c>
      <c r="K111" s="16"/>
      <c r="L111" s="16"/>
      <c r="M111" s="16"/>
      <c r="N111" s="16"/>
      <c r="O111" s="12">
        <f>GET_OK_GROUPS_COUNT(tbHeroEnemy[[#This Row],[Camp]],tbHeroEnemy[[#This Row],[Difficulty]],tbHeroEnemy[[#This Row],[IsBoss]],tbHeroEnemy[[#This Row],[Hero1]:[Soldier3]])</f>
        <v>1</v>
      </c>
      <c r="P111" s="7">
        <v>1</v>
      </c>
      <c r="Q111" s="16" t="s">
        <v>399</v>
      </c>
      <c r="R111" s="9" t="s">
        <v>912</v>
      </c>
      <c r="S111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112" spans="2:19">
      <c r="B112" s="16" t="s">
        <v>998</v>
      </c>
      <c r="C112" s="35" t="s">
        <v>1301</v>
      </c>
      <c r="D112" s="16">
        <v>2</v>
      </c>
      <c r="E112" s="16"/>
      <c r="F112" s="7" t="s">
        <v>151</v>
      </c>
      <c r="G112" s="16" t="s">
        <v>1126</v>
      </c>
      <c r="H112" s="16" t="b">
        <v>1</v>
      </c>
      <c r="I112" s="16" t="s">
        <v>391</v>
      </c>
      <c r="J112" s="16" t="s">
        <v>385</v>
      </c>
      <c r="K112" s="16"/>
      <c r="L112" s="16"/>
      <c r="M112" s="16"/>
      <c r="N112" s="16"/>
      <c r="O112" s="12">
        <f>GET_OK_GROUPS_COUNT(tbHeroEnemy[[#This Row],[Camp]],tbHeroEnemy[[#This Row],[Difficulty]],tbHeroEnemy[[#This Row],[IsBoss]],tbHeroEnemy[[#This Row],[Hero1]:[Soldier3]])</f>
        <v>1</v>
      </c>
      <c r="P112" s="7">
        <v>1</v>
      </c>
      <c r="Q112" s="16" t="s">
        <v>399</v>
      </c>
      <c r="R112" s="9" t="s">
        <v>391</v>
      </c>
      <c r="S112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13" spans="2:19">
      <c r="B113" s="16" t="s">
        <v>999</v>
      </c>
      <c r="C113" s="35" t="s">
        <v>1301</v>
      </c>
      <c r="D113" s="16">
        <v>1</v>
      </c>
      <c r="E113" s="16"/>
      <c r="F113" s="7" t="s">
        <v>151</v>
      </c>
      <c r="G113" s="16" t="s">
        <v>1126</v>
      </c>
      <c r="H113" s="7"/>
      <c r="I113" s="16" t="s">
        <v>385</v>
      </c>
      <c r="J113" s="16" t="s">
        <v>383</v>
      </c>
      <c r="K113" s="16"/>
      <c r="L113" s="16"/>
      <c r="M113" s="16"/>
      <c r="N113" s="16"/>
      <c r="O113" s="12">
        <f>GET_OK_GROUPS_COUNT(tbHeroEnemy[[#This Row],[Camp]],tbHeroEnemy[[#This Row],[Difficulty]],tbHeroEnemy[[#This Row],[IsBoss]],tbHeroEnemy[[#This Row],[Hero1]:[Soldier3]])</f>
        <v>1</v>
      </c>
      <c r="P113" s="7">
        <v>1</v>
      </c>
      <c r="Q113" s="16" t="s">
        <v>399</v>
      </c>
      <c r="R113" s="9" t="s">
        <v>912</v>
      </c>
      <c r="S113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114" spans="2:19">
      <c r="B114" s="16" t="s">
        <v>999</v>
      </c>
      <c r="C114" s="35" t="s">
        <v>1301</v>
      </c>
      <c r="D114" s="16">
        <v>2</v>
      </c>
      <c r="E114" s="16"/>
      <c r="F114" s="7" t="s">
        <v>151</v>
      </c>
      <c r="G114" s="16" t="s">
        <v>1126</v>
      </c>
      <c r="H114" s="16" t="b">
        <v>1</v>
      </c>
      <c r="I114" s="16" t="s">
        <v>418</v>
      </c>
      <c r="J114" s="16" t="s">
        <v>380</v>
      </c>
      <c r="K114" s="16"/>
      <c r="L114" s="16"/>
      <c r="M114" s="16"/>
      <c r="N114" s="16"/>
      <c r="O114" s="12">
        <f>GET_OK_GROUPS_COUNT(tbHeroEnemy[[#This Row],[Camp]],tbHeroEnemy[[#This Row],[Difficulty]],tbHeroEnemy[[#This Row],[IsBoss]],tbHeroEnemy[[#This Row],[Hero1]:[Soldier3]])</f>
        <v>1</v>
      </c>
      <c r="P114" s="7">
        <v>1</v>
      </c>
      <c r="Q114" s="16" t="s">
        <v>399</v>
      </c>
      <c r="R114" s="9" t="s">
        <v>418</v>
      </c>
      <c r="S114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15" spans="2:19">
      <c r="B115" s="16" t="s">
        <v>1000</v>
      </c>
      <c r="C115" s="35" t="s">
        <v>1301</v>
      </c>
      <c r="D115" s="16">
        <v>1</v>
      </c>
      <c r="E115" s="16"/>
      <c r="F115" s="7" t="s">
        <v>151</v>
      </c>
      <c r="G115" s="16" t="s">
        <v>1126</v>
      </c>
      <c r="H115" s="7"/>
      <c r="I115" s="16" t="s">
        <v>382</v>
      </c>
      <c r="J115" s="16" t="s">
        <v>380</v>
      </c>
      <c r="K115" s="16"/>
      <c r="L115" s="16"/>
      <c r="M115" s="16"/>
      <c r="N115" s="16"/>
      <c r="O115" s="12">
        <f>GET_OK_GROUPS_COUNT(tbHeroEnemy[[#This Row],[Camp]],tbHeroEnemy[[#This Row],[Difficulty]],tbHeroEnemy[[#This Row],[IsBoss]],tbHeroEnemy[[#This Row],[Hero1]:[Soldier3]])</f>
        <v>1</v>
      </c>
      <c r="P115" s="7">
        <v>1</v>
      </c>
      <c r="Q115" s="16" t="s">
        <v>399</v>
      </c>
      <c r="R115" s="9" t="s">
        <v>912</v>
      </c>
      <c r="S115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16" spans="2:19">
      <c r="B116" s="16" t="s">
        <v>1000</v>
      </c>
      <c r="C116" s="35" t="s">
        <v>1301</v>
      </c>
      <c r="D116" s="16">
        <v>2</v>
      </c>
      <c r="E116" s="16"/>
      <c r="F116" s="7" t="s">
        <v>151</v>
      </c>
      <c r="G116" s="16" t="s">
        <v>1126</v>
      </c>
      <c r="H116" s="16" t="b">
        <v>1</v>
      </c>
      <c r="I116" s="16" t="s">
        <v>428</v>
      </c>
      <c r="J116" s="16" t="s">
        <v>381</v>
      </c>
      <c r="K116" s="16"/>
      <c r="L116" s="16"/>
      <c r="M116" s="16"/>
      <c r="N116" s="16"/>
      <c r="O116" s="12">
        <f>GET_OK_GROUPS_COUNT(tbHeroEnemy[[#This Row],[Camp]],tbHeroEnemy[[#This Row],[Difficulty]],tbHeroEnemy[[#This Row],[IsBoss]],tbHeroEnemy[[#This Row],[Hero1]:[Soldier3]])</f>
        <v>1</v>
      </c>
      <c r="P116" s="7">
        <v>1</v>
      </c>
      <c r="Q116" s="16" t="s">
        <v>399</v>
      </c>
      <c r="R116" s="9" t="s">
        <v>428</v>
      </c>
      <c r="S116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117" spans="2:19">
      <c r="B117" s="16" t="s">
        <v>1001</v>
      </c>
      <c r="C117" s="35" t="s">
        <v>1301</v>
      </c>
      <c r="D117" s="16">
        <v>1</v>
      </c>
      <c r="E117" s="16"/>
      <c r="F117" s="7" t="s">
        <v>151</v>
      </c>
      <c r="G117" s="16" t="s">
        <v>1125</v>
      </c>
      <c r="H117" s="7"/>
      <c r="I117" s="16" t="s">
        <v>384</v>
      </c>
      <c r="J117" s="16" t="s">
        <v>384</v>
      </c>
      <c r="K117" s="16"/>
      <c r="L117" s="16"/>
      <c r="M117" s="16"/>
      <c r="N117" s="16"/>
      <c r="O117" s="12">
        <f>GET_OK_GROUPS_COUNT(tbHeroEnemy[[#This Row],[Camp]],tbHeroEnemy[[#This Row],[Difficulty]],tbHeroEnemy[[#This Row],[IsBoss]],tbHeroEnemy[[#This Row],[Hero1]:[Soldier3]])</f>
        <v>1</v>
      </c>
      <c r="P117" s="7">
        <v>1</v>
      </c>
      <c r="Q117" s="16" t="s">
        <v>400</v>
      </c>
      <c r="R117" s="9" t="s">
        <v>912</v>
      </c>
      <c r="S117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18" spans="2:19">
      <c r="B118" s="16" t="s">
        <v>1001</v>
      </c>
      <c r="C118" s="35" t="s">
        <v>1301</v>
      </c>
      <c r="D118" s="16">
        <v>2</v>
      </c>
      <c r="E118" s="16"/>
      <c r="F118" s="7" t="s">
        <v>151</v>
      </c>
      <c r="G118" s="16" t="s">
        <v>1125</v>
      </c>
      <c r="H118" s="16" t="b">
        <v>1</v>
      </c>
      <c r="I118" s="16" t="s">
        <v>413</v>
      </c>
      <c r="J118" s="16" t="s">
        <v>380</v>
      </c>
      <c r="K118" s="16"/>
      <c r="L118" s="16"/>
      <c r="M118" s="16"/>
      <c r="N118" s="16"/>
      <c r="O118" s="12">
        <f>GET_OK_GROUPS_COUNT(tbHeroEnemy[[#This Row],[Camp]],tbHeroEnemy[[#This Row],[Difficulty]],tbHeroEnemy[[#This Row],[IsBoss]],tbHeroEnemy[[#This Row],[Hero1]:[Soldier3]])</f>
        <v>1</v>
      </c>
      <c r="P118" s="7">
        <v>1</v>
      </c>
      <c r="Q118" s="16" t="s">
        <v>400</v>
      </c>
      <c r="R118" s="9" t="s">
        <v>413</v>
      </c>
      <c r="S118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119" spans="2:19">
      <c r="B119" s="16" t="s">
        <v>1002</v>
      </c>
      <c r="C119" s="35" t="s">
        <v>1301</v>
      </c>
      <c r="D119" s="16">
        <v>1</v>
      </c>
      <c r="E119" s="16"/>
      <c r="F119" s="7" t="s">
        <v>151</v>
      </c>
      <c r="G119" s="16" t="s">
        <v>1125</v>
      </c>
      <c r="H119" s="7"/>
      <c r="I119" s="16" t="s">
        <v>381</v>
      </c>
      <c r="J119" s="16" t="s">
        <v>385</v>
      </c>
      <c r="K119" s="16"/>
      <c r="L119" s="16"/>
      <c r="M119" s="16"/>
      <c r="N119" s="16"/>
      <c r="O119" s="12">
        <f>GET_OK_GROUPS_COUNT(tbHeroEnemy[[#This Row],[Camp]],tbHeroEnemy[[#This Row],[Difficulty]],tbHeroEnemy[[#This Row],[IsBoss]],tbHeroEnemy[[#This Row],[Hero1]:[Soldier3]])</f>
        <v>1</v>
      </c>
      <c r="P119" s="7">
        <v>1</v>
      </c>
      <c r="Q119" s="16" t="s">
        <v>400</v>
      </c>
      <c r="R119" s="9" t="s">
        <v>912</v>
      </c>
      <c r="S119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120" spans="2:19">
      <c r="B120" s="16" t="s">
        <v>1002</v>
      </c>
      <c r="C120" s="35" t="s">
        <v>1301</v>
      </c>
      <c r="D120" s="16">
        <v>2</v>
      </c>
      <c r="E120" s="16"/>
      <c r="F120" s="7" t="s">
        <v>151</v>
      </c>
      <c r="G120" s="16" t="s">
        <v>1126</v>
      </c>
      <c r="H120" s="16" t="b">
        <v>1</v>
      </c>
      <c r="I120" s="16" t="s">
        <v>27</v>
      </c>
      <c r="J120" s="16" t="s">
        <v>385</v>
      </c>
      <c r="K120" s="16"/>
      <c r="L120" s="16"/>
      <c r="M120" s="16"/>
      <c r="N120" s="16"/>
      <c r="O120" s="12">
        <f>GET_OK_GROUPS_COUNT(tbHeroEnemy[[#This Row],[Camp]],tbHeroEnemy[[#This Row],[Difficulty]],tbHeroEnemy[[#This Row],[IsBoss]],tbHeroEnemy[[#This Row],[Hero1]:[Soldier3]])</f>
        <v>1</v>
      </c>
      <c r="P120" s="7">
        <v>1</v>
      </c>
      <c r="Q120" s="16" t="s">
        <v>400</v>
      </c>
      <c r="R120" s="9" t="s">
        <v>27</v>
      </c>
      <c r="S12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21" spans="2:19">
      <c r="B121" s="16" t="s">
        <v>1003</v>
      </c>
      <c r="C121" s="35" t="s">
        <v>1301</v>
      </c>
      <c r="D121" s="16">
        <v>1</v>
      </c>
      <c r="E121" s="16"/>
      <c r="F121" s="7" t="s">
        <v>151</v>
      </c>
      <c r="G121" s="16" t="s">
        <v>1126</v>
      </c>
      <c r="H121" s="7"/>
      <c r="I121" s="16" t="s">
        <v>384</v>
      </c>
      <c r="J121" s="16" t="s">
        <v>382</v>
      </c>
      <c r="K121" s="16"/>
      <c r="L121" s="16"/>
      <c r="M121" s="16"/>
      <c r="N121" s="16"/>
      <c r="O121" s="12">
        <f>GET_OK_GROUPS_COUNT(tbHeroEnemy[[#This Row],[Camp]],tbHeroEnemy[[#This Row],[Difficulty]],tbHeroEnemy[[#This Row],[IsBoss]],tbHeroEnemy[[#This Row],[Hero1]:[Soldier3]])</f>
        <v>1</v>
      </c>
      <c r="P121" s="7">
        <v>1</v>
      </c>
      <c r="Q121" s="16" t="s">
        <v>400</v>
      </c>
      <c r="R121" s="9" t="s">
        <v>912</v>
      </c>
      <c r="S12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22" spans="2:19">
      <c r="B122" s="16" t="s">
        <v>1003</v>
      </c>
      <c r="C122" s="35" t="s">
        <v>1301</v>
      </c>
      <c r="D122" s="16">
        <v>2</v>
      </c>
      <c r="E122" s="16"/>
      <c r="F122" s="7" t="s">
        <v>151</v>
      </c>
      <c r="G122" s="16" t="s">
        <v>1126</v>
      </c>
      <c r="H122" s="16" t="b">
        <v>1</v>
      </c>
      <c r="I122" s="16" t="s">
        <v>408</v>
      </c>
      <c r="J122" s="16" t="s">
        <v>382</v>
      </c>
      <c r="K122" s="16"/>
      <c r="L122" s="16"/>
      <c r="M122" s="16"/>
      <c r="N122" s="16"/>
      <c r="O122" s="12">
        <f>GET_OK_GROUPS_COUNT(tbHeroEnemy[[#This Row],[Camp]],tbHeroEnemy[[#This Row],[Difficulty]],tbHeroEnemy[[#This Row],[IsBoss]],tbHeroEnemy[[#This Row],[Hero1]:[Soldier3]])</f>
        <v>1</v>
      </c>
      <c r="P122" s="7">
        <v>1</v>
      </c>
      <c r="Q122" s="16" t="s">
        <v>400</v>
      </c>
      <c r="R122" s="9" t="s">
        <v>408</v>
      </c>
      <c r="S122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123" spans="2:19">
      <c r="B123" s="16" t="s">
        <v>1004</v>
      </c>
      <c r="C123" s="35" t="s">
        <v>1301</v>
      </c>
      <c r="D123" s="16">
        <v>1</v>
      </c>
      <c r="E123" s="16"/>
      <c r="F123" s="7" t="s">
        <v>151</v>
      </c>
      <c r="G123" s="16" t="s">
        <v>1126</v>
      </c>
      <c r="H123" s="7"/>
      <c r="I123" s="16" t="s">
        <v>382</v>
      </c>
      <c r="J123" s="16" t="s">
        <v>380</v>
      </c>
      <c r="K123" s="16"/>
      <c r="L123" s="16"/>
      <c r="M123" s="16"/>
      <c r="N123" s="16"/>
      <c r="O123" s="12">
        <f>GET_OK_GROUPS_COUNT(tbHeroEnemy[[#This Row],[Camp]],tbHeroEnemy[[#This Row],[Difficulty]],tbHeroEnemy[[#This Row],[IsBoss]],tbHeroEnemy[[#This Row],[Hero1]:[Soldier3]])</f>
        <v>1</v>
      </c>
      <c r="P123" s="7">
        <v>1</v>
      </c>
      <c r="Q123" s="16" t="s">
        <v>400</v>
      </c>
      <c r="R123" s="9" t="s">
        <v>912</v>
      </c>
      <c r="S123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24" spans="2:19">
      <c r="B124" s="16" t="s">
        <v>1004</v>
      </c>
      <c r="C124" s="35" t="s">
        <v>1301</v>
      </c>
      <c r="D124" s="16">
        <v>2</v>
      </c>
      <c r="E124" s="16"/>
      <c r="F124" s="7" t="s">
        <v>151</v>
      </c>
      <c r="G124" s="16" t="s">
        <v>1126</v>
      </c>
      <c r="H124" s="16" t="b">
        <v>1</v>
      </c>
      <c r="I124" s="16" t="s">
        <v>410</v>
      </c>
      <c r="J124" s="16" t="s">
        <v>385</v>
      </c>
      <c r="K124" s="16"/>
      <c r="L124" s="16"/>
      <c r="M124" s="16"/>
      <c r="N124" s="16"/>
      <c r="O124" s="12">
        <f>GET_OK_GROUPS_COUNT(tbHeroEnemy[[#This Row],[Camp]],tbHeroEnemy[[#This Row],[Difficulty]],tbHeroEnemy[[#This Row],[IsBoss]],tbHeroEnemy[[#This Row],[Hero1]:[Soldier3]])</f>
        <v>1</v>
      </c>
      <c r="P124" s="7">
        <v>1</v>
      </c>
      <c r="Q124" s="16" t="s">
        <v>400</v>
      </c>
      <c r="R124" s="9" t="s">
        <v>410</v>
      </c>
      <c r="S124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125" spans="2:19">
      <c r="B125" s="16" t="s">
        <v>1005</v>
      </c>
      <c r="C125" s="35" t="s">
        <v>1301</v>
      </c>
      <c r="D125" s="16">
        <v>1</v>
      </c>
      <c r="E125" s="16"/>
      <c r="F125" s="7" t="s">
        <v>151</v>
      </c>
      <c r="G125" s="16" t="s">
        <v>1125</v>
      </c>
      <c r="H125" s="7"/>
      <c r="I125" s="16" t="s">
        <v>384</v>
      </c>
      <c r="J125" s="16" t="s">
        <v>380</v>
      </c>
      <c r="K125" s="16"/>
      <c r="L125" s="16"/>
      <c r="M125" s="16"/>
      <c r="N125" s="16"/>
      <c r="O125" s="12">
        <f>GET_OK_GROUPS_COUNT(tbHeroEnemy[[#This Row],[Camp]],tbHeroEnemy[[#This Row],[Difficulty]],tbHeroEnemy[[#This Row],[IsBoss]],tbHeroEnemy[[#This Row],[Hero1]:[Soldier3]])</f>
        <v>1</v>
      </c>
      <c r="P125" s="7">
        <v>1</v>
      </c>
      <c r="Q125" s="16" t="s">
        <v>401</v>
      </c>
      <c r="R125" s="9" t="s">
        <v>912</v>
      </c>
      <c r="S125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126" spans="2:19">
      <c r="B126" s="16" t="s">
        <v>1005</v>
      </c>
      <c r="C126" s="35" t="s">
        <v>1301</v>
      </c>
      <c r="D126" s="16">
        <v>2</v>
      </c>
      <c r="E126" s="16"/>
      <c r="F126" s="7" t="s">
        <v>151</v>
      </c>
      <c r="G126" s="16" t="s">
        <v>1125</v>
      </c>
      <c r="H126" s="16" t="b">
        <v>1</v>
      </c>
      <c r="I126" s="16" t="s">
        <v>405</v>
      </c>
      <c r="J126" s="16" t="s">
        <v>383</v>
      </c>
      <c r="K126" s="16"/>
      <c r="L126" s="16"/>
      <c r="M126" s="16"/>
      <c r="N126" s="16"/>
      <c r="O126" s="12">
        <f>GET_OK_GROUPS_COUNT(tbHeroEnemy[[#This Row],[Camp]],tbHeroEnemy[[#This Row],[Difficulty]],tbHeroEnemy[[#This Row],[IsBoss]],tbHeroEnemy[[#This Row],[Hero1]:[Soldier3]])</f>
        <v>1</v>
      </c>
      <c r="P126" s="7">
        <v>1</v>
      </c>
      <c r="Q126" s="16" t="s">
        <v>401</v>
      </c>
      <c r="R126" s="9" t="s">
        <v>405</v>
      </c>
      <c r="S126" s="2" t="str">
        <f>GET_OK_GROUP(tbHeroEnemy[[#This Row],[Camp]],tbHeroEnemy[[#This Row],[Difficulty]],tbHeroEnemy[[#This Row],[IsBoss]],tbHeroEnemy[[#This Row],[Hero1]:[Soldier3]],tbHeroEnemy[[#This Row],[GroupID]])</f>
        <v>三国-困难-[B]盾英+炼英</v>
      </c>
    </row>
    <row r="127" spans="2:19">
      <c r="B127" s="16" t="s">
        <v>1006</v>
      </c>
      <c r="C127" s="35" t="s">
        <v>1301</v>
      </c>
      <c r="D127" s="16">
        <v>1</v>
      </c>
      <c r="E127" s="16"/>
      <c r="F127" s="7" t="s">
        <v>151</v>
      </c>
      <c r="G127" s="16" t="s">
        <v>1125</v>
      </c>
      <c r="H127" s="7"/>
      <c r="I127" s="16" t="s">
        <v>381</v>
      </c>
      <c r="J127" s="16" t="s">
        <v>380</v>
      </c>
      <c r="K127" s="16"/>
      <c r="L127" s="16"/>
      <c r="M127" s="16"/>
      <c r="N127" s="16"/>
      <c r="O127" s="12">
        <f>GET_OK_GROUPS_COUNT(tbHeroEnemy[[#This Row],[Camp]],tbHeroEnemy[[#This Row],[Difficulty]],tbHeroEnemy[[#This Row],[IsBoss]],tbHeroEnemy[[#This Row],[Hero1]:[Soldier3]])</f>
        <v>1</v>
      </c>
      <c r="P127" s="7">
        <v>1</v>
      </c>
      <c r="Q127" s="16" t="s">
        <v>401</v>
      </c>
      <c r="R127" s="9" t="s">
        <v>912</v>
      </c>
      <c r="S127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128" spans="2:19">
      <c r="B128" s="16" t="s">
        <v>1006</v>
      </c>
      <c r="C128" s="35" t="s">
        <v>1301</v>
      </c>
      <c r="D128" s="16">
        <v>2</v>
      </c>
      <c r="E128" s="16"/>
      <c r="F128" s="7" t="s">
        <v>151</v>
      </c>
      <c r="G128" s="16" t="s">
        <v>1126</v>
      </c>
      <c r="H128" s="16" t="b">
        <v>1</v>
      </c>
      <c r="I128" s="16" t="s">
        <v>413</v>
      </c>
      <c r="J128" s="16" t="s">
        <v>381</v>
      </c>
      <c r="K128" s="16"/>
      <c r="L128" s="16"/>
      <c r="M128" s="16"/>
      <c r="N128" s="16"/>
      <c r="O128" s="12">
        <f>GET_OK_GROUPS_COUNT(tbHeroEnemy[[#This Row],[Camp]],tbHeroEnemy[[#This Row],[Difficulty]],tbHeroEnemy[[#This Row],[IsBoss]],tbHeroEnemy[[#This Row],[Hero1]:[Soldier3]])</f>
        <v>1</v>
      </c>
      <c r="P128" s="7">
        <v>1</v>
      </c>
      <c r="Q128" s="16" t="s">
        <v>401</v>
      </c>
      <c r="R128" s="9" t="s">
        <v>413</v>
      </c>
      <c r="S128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129" spans="2:19">
      <c r="B129" s="16" t="s">
        <v>1007</v>
      </c>
      <c r="C129" s="35" t="s">
        <v>1301</v>
      </c>
      <c r="D129" s="16">
        <v>1</v>
      </c>
      <c r="E129" s="16"/>
      <c r="F129" s="7" t="s">
        <v>151</v>
      </c>
      <c r="G129" s="16" t="s">
        <v>1126</v>
      </c>
      <c r="H129" s="7"/>
      <c r="I129" s="16" t="s">
        <v>384</v>
      </c>
      <c r="J129" s="16" t="s">
        <v>382</v>
      </c>
      <c r="K129" s="16"/>
      <c r="L129" s="16"/>
      <c r="M129" s="16"/>
      <c r="N129" s="16"/>
      <c r="O129" s="12">
        <f>GET_OK_GROUPS_COUNT(tbHeroEnemy[[#This Row],[Camp]],tbHeroEnemy[[#This Row],[Difficulty]],tbHeroEnemy[[#This Row],[IsBoss]],tbHeroEnemy[[#This Row],[Hero1]:[Soldier3]])</f>
        <v>1</v>
      </c>
      <c r="P129" s="7">
        <v>1</v>
      </c>
      <c r="Q129" s="16" t="s">
        <v>401</v>
      </c>
      <c r="R129" s="9" t="s">
        <v>912</v>
      </c>
      <c r="S129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30" spans="2:19">
      <c r="B130" s="16" t="s">
        <v>1007</v>
      </c>
      <c r="C130" s="35" t="s">
        <v>1301</v>
      </c>
      <c r="D130" s="16">
        <v>2</v>
      </c>
      <c r="E130" s="16"/>
      <c r="F130" s="7" t="s">
        <v>151</v>
      </c>
      <c r="G130" s="16" t="s">
        <v>1126</v>
      </c>
      <c r="H130" s="16" t="b">
        <v>1</v>
      </c>
      <c r="I130" s="16" t="s">
        <v>422</v>
      </c>
      <c r="J130" s="16" t="s">
        <v>380</v>
      </c>
      <c r="K130" s="16"/>
      <c r="L130" s="16"/>
      <c r="M130" s="16"/>
      <c r="N130" s="16"/>
      <c r="O130" s="12">
        <f>GET_OK_GROUPS_COUNT(tbHeroEnemy[[#This Row],[Camp]],tbHeroEnemy[[#This Row],[Difficulty]],tbHeroEnemy[[#This Row],[IsBoss]],tbHeroEnemy[[#This Row],[Hero1]:[Soldier3]])</f>
        <v>1</v>
      </c>
      <c r="P130" s="7">
        <v>1</v>
      </c>
      <c r="Q130" s="16" t="s">
        <v>401</v>
      </c>
      <c r="R130" s="9" t="s">
        <v>422</v>
      </c>
      <c r="S130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131" spans="2:19">
      <c r="B131" s="16" t="s">
        <v>1008</v>
      </c>
      <c r="C131" s="35" t="s">
        <v>1301</v>
      </c>
      <c r="D131" s="16">
        <v>1</v>
      </c>
      <c r="E131" s="16"/>
      <c r="F131" s="7" t="s">
        <v>151</v>
      </c>
      <c r="G131" s="16" t="s">
        <v>1126</v>
      </c>
      <c r="H131" s="7"/>
      <c r="I131" s="16" t="s">
        <v>384</v>
      </c>
      <c r="J131" s="16" t="s">
        <v>380</v>
      </c>
      <c r="K131" s="16"/>
      <c r="L131" s="16"/>
      <c r="M131" s="16"/>
      <c r="N131" s="16"/>
      <c r="O131" s="12">
        <f>GET_OK_GROUPS_COUNT(tbHeroEnemy[[#This Row],[Camp]],tbHeroEnemy[[#This Row],[Difficulty]],tbHeroEnemy[[#This Row],[IsBoss]],tbHeroEnemy[[#This Row],[Hero1]:[Soldier3]])</f>
        <v>1</v>
      </c>
      <c r="P131" s="7">
        <v>1</v>
      </c>
      <c r="Q131" s="16" t="s">
        <v>401</v>
      </c>
      <c r="R131" s="9" t="s">
        <v>912</v>
      </c>
      <c r="S131" s="2" t="str">
        <f>GET_OK_GROUP(tbHeroEnemy[[#This Row],[Camp]],tbHeroEnemy[[#This Row],[Difficulty]],tbHeroEnemy[[#This Row],[IsBoss]],tbHeroEnemy[[#This Row],[Hero1]:[Soldier3]],tbHeroEnemy[[#This Row],[GroupID]])</f>
        <v>三国-超难-盾英+法英</v>
      </c>
    </row>
    <row r="132" spans="2:19">
      <c r="B132" s="16" t="s">
        <v>1008</v>
      </c>
      <c r="C132" s="35" t="s">
        <v>1301</v>
      </c>
      <c r="D132" s="16">
        <v>2</v>
      </c>
      <c r="E132" s="16"/>
      <c r="F132" s="7" t="s">
        <v>151</v>
      </c>
      <c r="G132" s="16" t="s">
        <v>1126</v>
      </c>
      <c r="H132" s="16" t="b">
        <v>1</v>
      </c>
      <c r="I132" s="16" t="s">
        <v>408</v>
      </c>
      <c r="J132" s="16" t="s">
        <v>382</v>
      </c>
      <c r="K132" s="16"/>
      <c r="L132" s="16"/>
      <c r="M132" s="16"/>
      <c r="N132" s="16"/>
      <c r="O132" s="12">
        <f>GET_OK_GROUPS_COUNT(tbHeroEnemy[[#This Row],[Camp]],tbHeroEnemy[[#This Row],[Difficulty]],tbHeroEnemy[[#This Row],[IsBoss]],tbHeroEnemy[[#This Row],[Hero1]:[Soldier3]])</f>
        <v>1</v>
      </c>
      <c r="P132" s="7">
        <v>1</v>
      </c>
      <c r="Q132" s="16" t="s">
        <v>401</v>
      </c>
      <c r="R132" s="9" t="s">
        <v>408</v>
      </c>
      <c r="S132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133" spans="2:19">
      <c r="B133" s="16" t="s">
        <v>1009</v>
      </c>
      <c r="C133" s="35" t="s">
        <v>1301</v>
      </c>
      <c r="D133" s="16">
        <v>1</v>
      </c>
      <c r="E133" s="16"/>
      <c r="F133" s="7" t="s">
        <v>151</v>
      </c>
      <c r="G133" s="16" t="s">
        <v>1125</v>
      </c>
      <c r="H133" s="7"/>
      <c r="I133" s="16" t="s">
        <v>382</v>
      </c>
      <c r="J133" s="16" t="s">
        <v>382</v>
      </c>
      <c r="K133" s="16"/>
      <c r="L133" s="16"/>
      <c r="M133" s="16"/>
      <c r="N133" s="16"/>
      <c r="O133" s="12">
        <f>GET_OK_GROUPS_COUNT(tbHeroEnemy[[#This Row],[Camp]],tbHeroEnemy[[#This Row],[Difficulty]],tbHeroEnemy[[#This Row],[IsBoss]],tbHeroEnemy[[#This Row],[Hero1]:[Soldier3]])</f>
        <v>1</v>
      </c>
      <c r="P133" s="7">
        <v>1</v>
      </c>
      <c r="Q133" s="16" t="s">
        <v>402</v>
      </c>
      <c r="R133" s="9" t="s">
        <v>912</v>
      </c>
      <c r="S133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134" spans="2:19">
      <c r="B134" s="16" t="s">
        <v>1009</v>
      </c>
      <c r="C134" s="35" t="s">
        <v>1301</v>
      </c>
      <c r="D134" s="16">
        <v>2</v>
      </c>
      <c r="E134" s="16"/>
      <c r="F134" s="7" t="s">
        <v>151</v>
      </c>
      <c r="G134" s="16" t="s">
        <v>1125</v>
      </c>
      <c r="H134" s="16" t="b">
        <v>1</v>
      </c>
      <c r="I134" s="16" t="s">
        <v>403</v>
      </c>
      <c r="J134" s="16" t="s">
        <v>383</v>
      </c>
      <c r="K134" s="16"/>
      <c r="L134" s="16"/>
      <c r="M134" s="16"/>
      <c r="N134" s="16"/>
      <c r="O134" s="12">
        <f>GET_OK_GROUPS_COUNT(tbHeroEnemy[[#This Row],[Camp]],tbHeroEnemy[[#This Row],[Difficulty]],tbHeroEnemy[[#This Row],[IsBoss]],tbHeroEnemy[[#This Row],[Hero1]:[Soldier3]])</f>
        <v>1</v>
      </c>
      <c r="P134" s="7">
        <v>1</v>
      </c>
      <c r="Q134" s="16" t="s">
        <v>402</v>
      </c>
      <c r="R134" s="9" t="s">
        <v>403</v>
      </c>
      <c r="S134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135" spans="2:19">
      <c r="B135" s="16" t="s">
        <v>1010</v>
      </c>
      <c r="C135" s="35" t="s">
        <v>1301</v>
      </c>
      <c r="D135" s="16">
        <v>1</v>
      </c>
      <c r="E135" s="16"/>
      <c r="F135" s="7" t="s">
        <v>151</v>
      </c>
      <c r="G135" s="16" t="s">
        <v>1125</v>
      </c>
      <c r="H135" s="7"/>
      <c r="I135" s="16" t="s">
        <v>385</v>
      </c>
      <c r="J135" s="16" t="s">
        <v>381</v>
      </c>
      <c r="K135" s="16"/>
      <c r="L135" s="16"/>
      <c r="M135" s="16"/>
      <c r="N135" s="16"/>
      <c r="O135" s="12">
        <f>GET_OK_GROUPS_COUNT(tbHeroEnemy[[#This Row],[Camp]],tbHeroEnemy[[#This Row],[Difficulty]],tbHeroEnemy[[#This Row],[IsBoss]],tbHeroEnemy[[#This Row],[Hero1]:[Soldier3]])</f>
        <v>1</v>
      </c>
      <c r="P135" s="7">
        <v>1</v>
      </c>
      <c r="Q135" s="16" t="s">
        <v>402</v>
      </c>
      <c r="R135" s="9" t="s">
        <v>912</v>
      </c>
      <c r="S135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136" spans="2:19">
      <c r="B136" s="16" t="s">
        <v>1010</v>
      </c>
      <c r="C136" s="35" t="s">
        <v>1301</v>
      </c>
      <c r="D136" s="16">
        <v>2</v>
      </c>
      <c r="E136" s="16"/>
      <c r="F136" s="7" t="s">
        <v>151</v>
      </c>
      <c r="G136" s="16" t="s">
        <v>1126</v>
      </c>
      <c r="H136" s="16" t="b">
        <v>1</v>
      </c>
      <c r="I136" s="16" t="s">
        <v>389</v>
      </c>
      <c r="J136" s="16" t="s">
        <v>385</v>
      </c>
      <c r="K136" s="16"/>
      <c r="L136" s="16"/>
      <c r="M136" s="16"/>
      <c r="N136" s="16"/>
      <c r="O136" s="12">
        <f>GET_OK_GROUPS_COUNT(tbHeroEnemy[[#This Row],[Camp]],tbHeroEnemy[[#This Row],[Difficulty]],tbHeroEnemy[[#This Row],[IsBoss]],tbHeroEnemy[[#This Row],[Hero1]:[Soldier3]])</f>
        <v>1</v>
      </c>
      <c r="P136" s="7">
        <v>1</v>
      </c>
      <c r="Q136" s="16" t="s">
        <v>402</v>
      </c>
      <c r="R136" s="9" t="s">
        <v>389</v>
      </c>
      <c r="S13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137" spans="2:19">
      <c r="B137" s="16" t="s">
        <v>1011</v>
      </c>
      <c r="C137" s="35" t="s">
        <v>1301</v>
      </c>
      <c r="D137" s="16">
        <v>1</v>
      </c>
      <c r="E137" s="16"/>
      <c r="F137" s="7" t="s">
        <v>151</v>
      </c>
      <c r="G137" s="16" t="s">
        <v>1126</v>
      </c>
      <c r="H137" s="7"/>
      <c r="I137" s="16" t="s">
        <v>383</v>
      </c>
      <c r="J137" s="16" t="s">
        <v>380</v>
      </c>
      <c r="K137" s="16"/>
      <c r="L137" s="16"/>
      <c r="M137" s="16"/>
      <c r="N137" s="16"/>
      <c r="O137" s="12">
        <f>GET_OK_GROUPS_COUNT(tbHeroEnemy[[#This Row],[Camp]],tbHeroEnemy[[#This Row],[Difficulty]],tbHeroEnemy[[#This Row],[IsBoss]],tbHeroEnemy[[#This Row],[Hero1]:[Soldier3]])</f>
        <v>1</v>
      </c>
      <c r="P137" s="7">
        <v>1</v>
      </c>
      <c r="Q137" s="16" t="s">
        <v>402</v>
      </c>
      <c r="R137" s="9" t="s">
        <v>912</v>
      </c>
      <c r="S137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138" spans="2:19">
      <c r="B138" s="16" t="s">
        <v>1011</v>
      </c>
      <c r="C138" s="35" t="s">
        <v>1301</v>
      </c>
      <c r="D138" s="16">
        <v>2</v>
      </c>
      <c r="E138" s="16"/>
      <c r="F138" s="7" t="s">
        <v>151</v>
      </c>
      <c r="G138" s="16" t="s">
        <v>1126</v>
      </c>
      <c r="H138" s="16" t="b">
        <v>1</v>
      </c>
      <c r="I138" s="16" t="s">
        <v>417</v>
      </c>
      <c r="J138" s="16" t="s">
        <v>381</v>
      </c>
      <c r="K138" s="16"/>
      <c r="L138" s="16"/>
      <c r="M138" s="16"/>
      <c r="N138" s="16"/>
      <c r="O138" s="12">
        <f>GET_OK_GROUPS_COUNT(tbHeroEnemy[[#This Row],[Camp]],tbHeroEnemy[[#This Row],[Difficulty]],tbHeroEnemy[[#This Row],[IsBoss]],tbHeroEnemy[[#This Row],[Hero1]:[Soldier3]])</f>
        <v>1</v>
      </c>
      <c r="P138" s="7">
        <v>1</v>
      </c>
      <c r="Q138" s="16" t="s">
        <v>402</v>
      </c>
      <c r="R138" s="9" t="s">
        <v>417</v>
      </c>
      <c r="S138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139" spans="2:19">
      <c r="B139" s="16" t="s">
        <v>1012</v>
      </c>
      <c r="C139" s="35" t="s">
        <v>1301</v>
      </c>
      <c r="D139" s="16">
        <v>1</v>
      </c>
      <c r="E139" s="16"/>
      <c r="F139" s="7" t="s">
        <v>151</v>
      </c>
      <c r="G139" s="16" t="s">
        <v>1126</v>
      </c>
      <c r="H139" s="7"/>
      <c r="I139" s="16" t="s">
        <v>380</v>
      </c>
      <c r="J139" s="16" t="s">
        <v>382</v>
      </c>
      <c r="K139" s="16"/>
      <c r="L139" s="16"/>
      <c r="M139" s="16"/>
      <c r="N139" s="16"/>
      <c r="O139" s="12">
        <f>GET_OK_GROUPS_COUNT(tbHeroEnemy[[#This Row],[Camp]],tbHeroEnemy[[#This Row],[Difficulty]],tbHeroEnemy[[#This Row],[IsBoss]],tbHeroEnemy[[#This Row],[Hero1]:[Soldier3]])</f>
        <v>1</v>
      </c>
      <c r="P139" s="7">
        <v>1</v>
      </c>
      <c r="Q139" s="16" t="s">
        <v>402</v>
      </c>
      <c r="R139" s="9" t="s">
        <v>912</v>
      </c>
      <c r="S139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40" spans="2:19">
      <c r="B140" s="16" t="s">
        <v>1012</v>
      </c>
      <c r="C140" s="35" t="s">
        <v>1301</v>
      </c>
      <c r="D140" s="16">
        <v>2</v>
      </c>
      <c r="E140" s="16"/>
      <c r="F140" s="7" t="s">
        <v>151</v>
      </c>
      <c r="G140" s="16" t="s">
        <v>1126</v>
      </c>
      <c r="H140" s="16" t="b">
        <v>1</v>
      </c>
      <c r="I140" s="16" t="s">
        <v>393</v>
      </c>
      <c r="J140" s="16" t="s">
        <v>382</v>
      </c>
      <c r="K140" s="16"/>
      <c r="L140" s="16"/>
      <c r="M140" s="16"/>
      <c r="N140" s="16"/>
      <c r="O140" s="12">
        <f>GET_OK_GROUPS_COUNT(tbHeroEnemy[[#This Row],[Camp]],tbHeroEnemy[[#This Row],[Difficulty]],tbHeroEnemy[[#This Row],[IsBoss]],tbHeroEnemy[[#This Row],[Hero1]:[Soldier3]])</f>
        <v>1</v>
      </c>
      <c r="P140" s="7">
        <v>1</v>
      </c>
      <c r="Q140" s="16" t="s">
        <v>402</v>
      </c>
      <c r="R140" s="9" t="s">
        <v>393</v>
      </c>
      <c r="S140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141" spans="2:19">
      <c r="B141" s="16" t="s">
        <v>1013</v>
      </c>
      <c r="C141" s="35" t="s">
        <v>1301</v>
      </c>
      <c r="D141" s="16">
        <v>1</v>
      </c>
      <c r="E141" s="16"/>
      <c r="F141" s="7" t="s">
        <v>151</v>
      </c>
      <c r="G141" s="16" t="s">
        <v>1125</v>
      </c>
      <c r="H141" s="7"/>
      <c r="I141" s="16" t="s">
        <v>385</v>
      </c>
      <c r="J141" s="16" t="s">
        <v>382</v>
      </c>
      <c r="K141" s="16"/>
      <c r="L141" s="16"/>
      <c r="M141" s="16"/>
      <c r="N141" s="16"/>
      <c r="O141" s="12">
        <f>GET_OK_GROUPS_COUNT(tbHeroEnemy[[#This Row],[Camp]],tbHeroEnemy[[#This Row],[Difficulty]],tbHeroEnemy[[#This Row],[IsBoss]],tbHeroEnemy[[#This Row],[Hero1]:[Soldier3]])</f>
        <v>1</v>
      </c>
      <c r="P141" s="7">
        <v>1</v>
      </c>
      <c r="Q141" s="16" t="s">
        <v>403</v>
      </c>
      <c r="R141" s="9" t="s">
        <v>912</v>
      </c>
      <c r="S141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142" spans="2:19">
      <c r="B142" s="16" t="s">
        <v>1013</v>
      </c>
      <c r="C142" s="35" t="s">
        <v>1301</v>
      </c>
      <c r="D142" s="16">
        <v>2</v>
      </c>
      <c r="E142" s="16"/>
      <c r="F142" s="7" t="s">
        <v>151</v>
      </c>
      <c r="G142" s="16" t="s">
        <v>1125</v>
      </c>
      <c r="H142" s="16" t="b">
        <v>1</v>
      </c>
      <c r="I142" s="16" t="s">
        <v>430</v>
      </c>
      <c r="J142" s="16" t="s">
        <v>385</v>
      </c>
      <c r="K142" s="16"/>
      <c r="L142" s="16"/>
      <c r="M142" s="16"/>
      <c r="N142" s="16"/>
      <c r="O142" s="12">
        <f>GET_OK_GROUPS_COUNT(tbHeroEnemy[[#This Row],[Camp]],tbHeroEnemy[[#This Row],[Difficulty]],tbHeroEnemy[[#This Row],[IsBoss]],tbHeroEnemy[[#This Row],[Hero1]:[Soldier3]])</f>
        <v>1</v>
      </c>
      <c r="P142" s="7">
        <v>1</v>
      </c>
      <c r="Q142" s="16" t="s">
        <v>403</v>
      </c>
      <c r="R142" s="9" t="s">
        <v>430</v>
      </c>
      <c r="S142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143" spans="2:19">
      <c r="B143" s="16" t="s">
        <v>1014</v>
      </c>
      <c r="C143" s="35" t="s">
        <v>1301</v>
      </c>
      <c r="D143" s="16">
        <v>1</v>
      </c>
      <c r="E143" s="16"/>
      <c r="F143" s="7" t="s">
        <v>151</v>
      </c>
      <c r="G143" s="16" t="s">
        <v>1125</v>
      </c>
      <c r="H143" s="7"/>
      <c r="I143" s="16" t="s">
        <v>383</v>
      </c>
      <c r="J143" s="16" t="s">
        <v>384</v>
      </c>
      <c r="K143" s="16"/>
      <c r="L143" s="16"/>
      <c r="M143" s="16"/>
      <c r="N143" s="16"/>
      <c r="O143" s="12">
        <f>GET_OK_GROUPS_COUNT(tbHeroEnemy[[#This Row],[Camp]],tbHeroEnemy[[#This Row],[Difficulty]],tbHeroEnemy[[#This Row],[IsBoss]],tbHeroEnemy[[#This Row],[Hero1]:[Soldier3]])</f>
        <v>1</v>
      </c>
      <c r="P143" s="7">
        <v>1</v>
      </c>
      <c r="Q143" s="16" t="s">
        <v>403</v>
      </c>
      <c r="R143" s="9" t="s">
        <v>912</v>
      </c>
      <c r="S143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144" spans="2:19">
      <c r="B144" s="16" t="s">
        <v>1014</v>
      </c>
      <c r="C144" s="35" t="s">
        <v>1301</v>
      </c>
      <c r="D144" s="16">
        <v>2</v>
      </c>
      <c r="E144" s="16"/>
      <c r="F144" s="7" t="s">
        <v>151</v>
      </c>
      <c r="G144" s="16" t="s">
        <v>1126</v>
      </c>
      <c r="H144" s="16" t="b">
        <v>1</v>
      </c>
      <c r="I144" s="16" t="s">
        <v>402</v>
      </c>
      <c r="J144" s="16" t="s">
        <v>380</v>
      </c>
      <c r="K144" s="16"/>
      <c r="L144" s="16"/>
      <c r="M144" s="16"/>
      <c r="N144" s="16"/>
      <c r="O144" s="12">
        <f>GET_OK_GROUPS_COUNT(tbHeroEnemy[[#This Row],[Camp]],tbHeroEnemy[[#This Row],[Difficulty]],tbHeroEnemy[[#This Row],[IsBoss]],tbHeroEnemy[[#This Row],[Hero1]:[Soldier3]])</f>
        <v>1</v>
      </c>
      <c r="P144" s="7">
        <v>1</v>
      </c>
      <c r="Q144" s="16" t="s">
        <v>403</v>
      </c>
      <c r="R144" s="9" t="s">
        <v>402</v>
      </c>
      <c r="S144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45" spans="2:19">
      <c r="B145" s="16" t="s">
        <v>1015</v>
      </c>
      <c r="C145" s="35" t="s">
        <v>1301</v>
      </c>
      <c r="D145" s="16">
        <v>1</v>
      </c>
      <c r="E145" s="16"/>
      <c r="F145" s="7" t="s">
        <v>151</v>
      </c>
      <c r="G145" s="16" t="s">
        <v>1126</v>
      </c>
      <c r="H145" s="7"/>
      <c r="I145" s="16" t="s">
        <v>380</v>
      </c>
      <c r="J145" s="16" t="s">
        <v>382</v>
      </c>
      <c r="K145" s="16"/>
      <c r="L145" s="16"/>
      <c r="M145" s="16"/>
      <c r="N145" s="16"/>
      <c r="O145" s="12">
        <f>GET_OK_GROUPS_COUNT(tbHeroEnemy[[#This Row],[Camp]],tbHeroEnemy[[#This Row],[Difficulty]],tbHeroEnemy[[#This Row],[IsBoss]],tbHeroEnemy[[#This Row],[Hero1]:[Soldier3]])</f>
        <v>1</v>
      </c>
      <c r="P145" s="7">
        <v>1</v>
      </c>
      <c r="Q145" s="16" t="s">
        <v>403</v>
      </c>
      <c r="R145" s="9" t="s">
        <v>912</v>
      </c>
      <c r="S145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46" spans="2:19">
      <c r="B146" s="16" t="s">
        <v>1015</v>
      </c>
      <c r="C146" s="35" t="s">
        <v>1301</v>
      </c>
      <c r="D146" s="16">
        <v>2</v>
      </c>
      <c r="E146" s="16"/>
      <c r="F146" s="7" t="s">
        <v>151</v>
      </c>
      <c r="G146" s="16" t="s">
        <v>1126</v>
      </c>
      <c r="H146" s="16" t="b">
        <v>1</v>
      </c>
      <c r="I146" s="16" t="s">
        <v>403</v>
      </c>
      <c r="J146" s="16" t="s">
        <v>381</v>
      </c>
      <c r="K146" s="16"/>
      <c r="L146" s="16"/>
      <c r="M146" s="16"/>
      <c r="N146" s="16"/>
      <c r="O146" s="12">
        <f>GET_OK_GROUPS_COUNT(tbHeroEnemy[[#This Row],[Camp]],tbHeroEnemy[[#This Row],[Difficulty]],tbHeroEnemy[[#This Row],[IsBoss]],tbHeroEnemy[[#This Row],[Hero1]:[Soldier3]])</f>
        <v>1</v>
      </c>
      <c r="P146" s="7">
        <v>1</v>
      </c>
      <c r="Q146" s="16" t="s">
        <v>403</v>
      </c>
      <c r="R146" s="9" t="s">
        <v>403</v>
      </c>
      <c r="S146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147" spans="2:19">
      <c r="B147" s="16" t="s">
        <v>1016</v>
      </c>
      <c r="C147" s="35" t="s">
        <v>1301</v>
      </c>
      <c r="D147" s="16">
        <v>1</v>
      </c>
      <c r="E147" s="16"/>
      <c r="F147" s="7" t="s">
        <v>151</v>
      </c>
      <c r="G147" s="16" t="s">
        <v>1126</v>
      </c>
      <c r="H147" s="7"/>
      <c r="I147" s="16" t="s">
        <v>385</v>
      </c>
      <c r="J147" s="16" t="s">
        <v>385</v>
      </c>
      <c r="K147" s="16"/>
      <c r="L147" s="16"/>
      <c r="M147" s="16"/>
      <c r="N147" s="16"/>
      <c r="O147" s="12">
        <f>GET_OK_GROUPS_COUNT(tbHeroEnemy[[#This Row],[Camp]],tbHeroEnemy[[#This Row],[Difficulty]],tbHeroEnemy[[#This Row],[IsBoss]],tbHeroEnemy[[#This Row],[Hero1]:[Soldier3]])</f>
        <v>1</v>
      </c>
      <c r="P147" s="7">
        <v>1</v>
      </c>
      <c r="Q147" s="16" t="s">
        <v>403</v>
      </c>
      <c r="R147" s="9" t="s">
        <v>912</v>
      </c>
      <c r="S147" s="2" t="str">
        <f>GET_OK_GROUP(tbHeroEnemy[[#This Row],[Camp]],tbHeroEnemy[[#This Row],[Difficulty]],tbHeroEnemy[[#This Row],[IsBoss]],tbHeroEnemy[[#This Row],[Hero1]:[Soldier3]],tbHeroEnemy[[#This Row],[GroupID]])</f>
        <v>三国-超难-刺英+刺英</v>
      </c>
    </row>
    <row r="148" spans="2:19">
      <c r="B148" s="16" t="s">
        <v>1016</v>
      </c>
      <c r="C148" s="35" t="s">
        <v>1301</v>
      </c>
      <c r="D148" s="16">
        <v>2</v>
      </c>
      <c r="E148" s="16"/>
      <c r="F148" s="7" t="s">
        <v>151</v>
      </c>
      <c r="G148" s="16" t="s">
        <v>1126</v>
      </c>
      <c r="H148" s="16" t="b">
        <v>1</v>
      </c>
      <c r="I148" s="16" t="s">
        <v>401</v>
      </c>
      <c r="J148" s="16" t="s">
        <v>384</v>
      </c>
      <c r="K148" s="16"/>
      <c r="L148" s="16"/>
      <c r="M148" s="16"/>
      <c r="N148" s="16"/>
      <c r="O148" s="12">
        <f>GET_OK_GROUPS_COUNT(tbHeroEnemy[[#This Row],[Camp]],tbHeroEnemy[[#This Row],[Difficulty]],tbHeroEnemy[[#This Row],[IsBoss]],tbHeroEnemy[[#This Row],[Hero1]:[Soldier3]])</f>
        <v>1</v>
      </c>
      <c r="P148" s="7">
        <v>1</v>
      </c>
      <c r="Q148" s="16" t="s">
        <v>403</v>
      </c>
      <c r="R148" s="9" t="s">
        <v>401</v>
      </c>
      <c r="S148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149" spans="2:19">
      <c r="B149" s="16" t="s">
        <v>1017</v>
      </c>
      <c r="C149" s="35" t="s">
        <v>1301</v>
      </c>
      <c r="D149" s="16">
        <v>1</v>
      </c>
      <c r="E149" s="16"/>
      <c r="F149" s="7" t="s">
        <v>151</v>
      </c>
      <c r="G149" s="16" t="s">
        <v>1125</v>
      </c>
      <c r="H149" s="7"/>
      <c r="I149" s="16" t="s">
        <v>380</v>
      </c>
      <c r="J149" s="16" t="s">
        <v>383</v>
      </c>
      <c r="K149" s="16"/>
      <c r="L149" s="16"/>
      <c r="M149" s="16"/>
      <c r="N149" s="16"/>
      <c r="O149" s="12">
        <f>GET_OK_GROUPS_COUNT(tbHeroEnemy[[#This Row],[Camp]],tbHeroEnemy[[#This Row],[Difficulty]],tbHeroEnemy[[#This Row],[IsBoss]],tbHeroEnemy[[#This Row],[Hero1]:[Soldier3]])</f>
        <v>1</v>
      </c>
      <c r="P149" s="7">
        <v>1</v>
      </c>
      <c r="Q149" s="16" t="s">
        <v>404</v>
      </c>
      <c r="R149" s="9" t="s">
        <v>912</v>
      </c>
      <c r="S149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150" spans="2:19">
      <c r="B150" s="16" t="s">
        <v>1017</v>
      </c>
      <c r="C150" s="35" t="s">
        <v>1301</v>
      </c>
      <c r="D150" s="16">
        <v>2</v>
      </c>
      <c r="E150" s="16"/>
      <c r="F150" s="7" t="s">
        <v>151</v>
      </c>
      <c r="G150" s="16" t="s">
        <v>1125</v>
      </c>
      <c r="H150" s="16" t="b">
        <v>1</v>
      </c>
      <c r="I150" s="16" t="s">
        <v>399</v>
      </c>
      <c r="J150" s="16" t="s">
        <v>380</v>
      </c>
      <c r="K150" s="16"/>
      <c r="L150" s="16"/>
      <c r="M150" s="16"/>
      <c r="N150" s="16"/>
      <c r="O150" s="12">
        <f>GET_OK_GROUPS_COUNT(tbHeroEnemy[[#This Row],[Camp]],tbHeroEnemy[[#This Row],[Difficulty]],tbHeroEnemy[[#This Row],[IsBoss]],tbHeroEnemy[[#This Row],[Hero1]:[Soldier3]])</f>
        <v>1</v>
      </c>
      <c r="P150" s="7">
        <v>1</v>
      </c>
      <c r="Q150" s="16" t="s">
        <v>404</v>
      </c>
      <c r="R150" s="9" t="s">
        <v>399</v>
      </c>
      <c r="S150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151" spans="2:19">
      <c r="B151" s="16" t="s">
        <v>1018</v>
      </c>
      <c r="C151" s="35" t="s">
        <v>1301</v>
      </c>
      <c r="D151" s="16">
        <v>1</v>
      </c>
      <c r="E151" s="16"/>
      <c r="F151" s="7" t="s">
        <v>151</v>
      </c>
      <c r="G151" s="16" t="s">
        <v>1125</v>
      </c>
      <c r="H151" s="7"/>
      <c r="I151" s="16" t="s">
        <v>385</v>
      </c>
      <c r="J151" s="16" t="s">
        <v>380</v>
      </c>
      <c r="K151" s="16"/>
      <c r="L151" s="16"/>
      <c r="M151" s="16"/>
      <c r="N151" s="16"/>
      <c r="O151" s="12">
        <f>GET_OK_GROUPS_COUNT(tbHeroEnemy[[#This Row],[Camp]],tbHeroEnemy[[#This Row],[Difficulty]],tbHeroEnemy[[#This Row],[IsBoss]],tbHeroEnemy[[#This Row],[Hero1]:[Soldier3]])</f>
        <v>1</v>
      </c>
      <c r="P151" s="7">
        <v>1</v>
      </c>
      <c r="Q151" s="16" t="s">
        <v>404</v>
      </c>
      <c r="R151" s="9" t="s">
        <v>912</v>
      </c>
      <c r="S151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152" spans="2:19">
      <c r="B152" s="16" t="s">
        <v>1018</v>
      </c>
      <c r="C152" s="35" t="s">
        <v>1301</v>
      </c>
      <c r="D152" s="16">
        <v>2</v>
      </c>
      <c r="E152" s="16"/>
      <c r="F152" s="7" t="s">
        <v>151</v>
      </c>
      <c r="G152" s="16" t="s">
        <v>1126</v>
      </c>
      <c r="H152" s="16" t="b">
        <v>1</v>
      </c>
      <c r="I152" s="16" t="s">
        <v>400</v>
      </c>
      <c r="J152" s="16" t="s">
        <v>384</v>
      </c>
      <c r="K152" s="16"/>
      <c r="L152" s="16"/>
      <c r="M152" s="16"/>
      <c r="N152" s="16"/>
      <c r="O152" s="12">
        <f>GET_OK_GROUPS_COUNT(tbHeroEnemy[[#This Row],[Camp]],tbHeroEnemy[[#This Row],[Difficulty]],tbHeroEnemy[[#This Row],[IsBoss]],tbHeroEnemy[[#This Row],[Hero1]:[Soldier3]])</f>
        <v>1</v>
      </c>
      <c r="P152" s="7">
        <v>1</v>
      </c>
      <c r="Q152" s="16" t="s">
        <v>404</v>
      </c>
      <c r="R152" s="9" t="s">
        <v>400</v>
      </c>
      <c r="S152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53" spans="2:19">
      <c r="B153" s="16" t="s">
        <v>1019</v>
      </c>
      <c r="C153" s="35" t="s">
        <v>1301</v>
      </c>
      <c r="D153" s="16">
        <v>1</v>
      </c>
      <c r="E153" s="16"/>
      <c r="F153" s="7" t="s">
        <v>151</v>
      </c>
      <c r="G153" s="16" t="s">
        <v>1126</v>
      </c>
      <c r="H153" s="7"/>
      <c r="I153" s="16" t="s">
        <v>384</v>
      </c>
      <c r="J153" s="16" t="s">
        <v>383</v>
      </c>
      <c r="K153" s="16"/>
      <c r="L153" s="16"/>
      <c r="M153" s="16"/>
      <c r="N153" s="16"/>
      <c r="O153" s="12">
        <f>GET_OK_GROUPS_COUNT(tbHeroEnemy[[#This Row],[Camp]],tbHeroEnemy[[#This Row],[Difficulty]],tbHeroEnemy[[#This Row],[IsBoss]],tbHeroEnemy[[#This Row],[Hero1]:[Soldier3]])</f>
        <v>1</v>
      </c>
      <c r="P153" s="7">
        <v>1</v>
      </c>
      <c r="Q153" s="16" t="s">
        <v>404</v>
      </c>
      <c r="R153" s="9" t="s">
        <v>912</v>
      </c>
      <c r="S15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154" spans="2:19">
      <c r="B154" s="16" t="s">
        <v>1019</v>
      </c>
      <c r="C154" s="35" t="s">
        <v>1301</v>
      </c>
      <c r="D154" s="16">
        <v>2</v>
      </c>
      <c r="E154" s="16"/>
      <c r="F154" s="7" t="s">
        <v>151</v>
      </c>
      <c r="G154" s="16" t="s">
        <v>1126</v>
      </c>
      <c r="H154" s="16" t="b">
        <v>1</v>
      </c>
      <c r="I154" s="16" t="s">
        <v>413</v>
      </c>
      <c r="J154" s="16" t="s">
        <v>384</v>
      </c>
      <c r="K154" s="16"/>
      <c r="L154" s="16"/>
      <c r="M154" s="16"/>
      <c r="N154" s="16"/>
      <c r="O154" s="12">
        <f>GET_OK_GROUPS_COUNT(tbHeroEnemy[[#This Row],[Camp]],tbHeroEnemy[[#This Row],[Difficulty]],tbHeroEnemy[[#This Row],[IsBoss]],tbHeroEnemy[[#This Row],[Hero1]:[Soldier3]])</f>
        <v>1</v>
      </c>
      <c r="P154" s="7">
        <v>1</v>
      </c>
      <c r="Q154" s="16" t="s">
        <v>404</v>
      </c>
      <c r="R154" s="9" t="s">
        <v>413</v>
      </c>
      <c r="S15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55" spans="2:19">
      <c r="B155" s="16" t="s">
        <v>1020</v>
      </c>
      <c r="C155" s="35" t="s">
        <v>1301</v>
      </c>
      <c r="D155" s="16">
        <v>1</v>
      </c>
      <c r="E155" s="16"/>
      <c r="F155" s="7" t="s">
        <v>151</v>
      </c>
      <c r="G155" s="16" t="s">
        <v>1126</v>
      </c>
      <c r="H155" s="7"/>
      <c r="I155" s="16" t="s">
        <v>381</v>
      </c>
      <c r="J155" s="16" t="s">
        <v>384</v>
      </c>
      <c r="K155" s="16"/>
      <c r="L155" s="16"/>
      <c r="M155" s="16"/>
      <c r="N155" s="16"/>
      <c r="O155" s="12">
        <f>GET_OK_GROUPS_COUNT(tbHeroEnemy[[#This Row],[Camp]],tbHeroEnemy[[#This Row],[Difficulty]],tbHeroEnemy[[#This Row],[IsBoss]],tbHeroEnemy[[#This Row],[Hero1]:[Soldier3]])</f>
        <v>1</v>
      </c>
      <c r="P155" s="7">
        <v>1</v>
      </c>
      <c r="Q155" s="16" t="s">
        <v>404</v>
      </c>
      <c r="R155" s="9" t="s">
        <v>912</v>
      </c>
      <c r="S155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156" spans="2:19">
      <c r="B156" s="16" t="s">
        <v>1020</v>
      </c>
      <c r="C156" s="35" t="s">
        <v>1301</v>
      </c>
      <c r="D156" s="16">
        <v>2</v>
      </c>
      <c r="E156" s="16"/>
      <c r="F156" s="7" t="s">
        <v>151</v>
      </c>
      <c r="G156" s="16" t="s">
        <v>1126</v>
      </c>
      <c r="H156" s="16" t="b">
        <v>1</v>
      </c>
      <c r="I156" s="16" t="s">
        <v>422</v>
      </c>
      <c r="J156" s="16" t="s">
        <v>382</v>
      </c>
      <c r="K156" s="16"/>
      <c r="L156" s="16"/>
      <c r="M156" s="16"/>
      <c r="N156" s="16"/>
      <c r="O156" s="12">
        <f>GET_OK_GROUPS_COUNT(tbHeroEnemy[[#This Row],[Camp]],tbHeroEnemy[[#This Row],[Difficulty]],tbHeroEnemy[[#This Row],[IsBoss]],tbHeroEnemy[[#This Row],[Hero1]:[Soldier3]])</f>
        <v>1</v>
      </c>
      <c r="P156" s="7">
        <v>1</v>
      </c>
      <c r="Q156" s="16" t="s">
        <v>404</v>
      </c>
      <c r="R156" s="9" t="s">
        <v>422</v>
      </c>
      <c r="S156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157" spans="2:19">
      <c r="B157" s="16" t="s">
        <v>1242</v>
      </c>
      <c r="C157" s="35" t="s">
        <v>1301</v>
      </c>
      <c r="D157" s="16">
        <v>1</v>
      </c>
      <c r="E157" s="16"/>
      <c r="F157" s="7" t="s">
        <v>151</v>
      </c>
      <c r="G157" s="16" t="s">
        <v>1125</v>
      </c>
      <c r="H157" s="7"/>
      <c r="I157" s="16" t="s">
        <v>385</v>
      </c>
      <c r="J157" s="16" t="s">
        <v>383</v>
      </c>
      <c r="K157" s="16"/>
      <c r="L157" s="16"/>
      <c r="M157" s="16"/>
      <c r="N157" s="16"/>
      <c r="O157" s="12">
        <f>GET_OK_GROUPS_COUNT(tbHeroEnemy[[#This Row],[Camp]],tbHeroEnemy[[#This Row],[Difficulty]],tbHeroEnemy[[#This Row],[IsBoss]],tbHeroEnemy[[#This Row],[Hero1]:[Soldier3]])</f>
        <v>1</v>
      </c>
      <c r="P157" s="7">
        <v>1</v>
      </c>
      <c r="Q157" s="16" t="s">
        <v>405</v>
      </c>
      <c r="R157" s="9" t="s">
        <v>912</v>
      </c>
      <c r="S157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158" spans="2:19">
      <c r="B158" s="16" t="s">
        <v>1242</v>
      </c>
      <c r="C158" s="35" t="s">
        <v>1301</v>
      </c>
      <c r="D158" s="16">
        <v>2</v>
      </c>
      <c r="E158" s="16"/>
      <c r="F158" s="7" t="s">
        <v>151</v>
      </c>
      <c r="G158" s="16" t="s">
        <v>1125</v>
      </c>
      <c r="H158" s="16" t="b">
        <v>1</v>
      </c>
      <c r="I158" s="16" t="s">
        <v>405</v>
      </c>
      <c r="J158" s="16" t="s">
        <v>384</v>
      </c>
      <c r="K158" s="16"/>
      <c r="L158" s="16"/>
      <c r="M158" s="16"/>
      <c r="N158" s="16"/>
      <c r="O158" s="12">
        <f>GET_OK_GROUPS_COUNT(tbHeroEnemy[[#This Row],[Camp]],tbHeroEnemy[[#This Row],[Difficulty]],tbHeroEnemy[[#This Row],[IsBoss]],tbHeroEnemy[[#This Row],[Hero1]:[Soldier3]])</f>
        <v>1</v>
      </c>
      <c r="P158" s="7">
        <v>1</v>
      </c>
      <c r="Q158" s="16" t="s">
        <v>405</v>
      </c>
      <c r="R158" s="9" t="s">
        <v>405</v>
      </c>
      <c r="S158" s="2" t="str">
        <f>GET_OK_GROUP(tbHeroEnemy[[#This Row],[Camp]],tbHeroEnemy[[#This Row],[Difficulty]],tbHeroEnemy[[#This Row],[IsBoss]],tbHeroEnemy[[#This Row],[Hero1]:[Soldier3]],tbHeroEnemy[[#This Row],[GroupID]])</f>
        <v>三国-困难-[B]盾英+法英</v>
      </c>
    </row>
    <row r="159" spans="2:19">
      <c r="B159" s="16" t="s">
        <v>1243</v>
      </c>
      <c r="C159" s="35" t="s">
        <v>1301</v>
      </c>
      <c r="D159" s="16">
        <v>1</v>
      </c>
      <c r="E159" s="16"/>
      <c r="F159" s="7" t="s">
        <v>151</v>
      </c>
      <c r="G159" s="16" t="s">
        <v>1125</v>
      </c>
      <c r="H159" s="7"/>
      <c r="I159" s="16" t="s">
        <v>383</v>
      </c>
      <c r="J159" s="16" t="s">
        <v>381</v>
      </c>
      <c r="K159" s="16"/>
      <c r="L159" s="16"/>
      <c r="M159" s="16"/>
      <c r="N159" s="16"/>
      <c r="O159" s="12">
        <f>GET_OK_GROUPS_COUNT(tbHeroEnemy[[#This Row],[Camp]],tbHeroEnemy[[#This Row],[Difficulty]],tbHeroEnemy[[#This Row],[IsBoss]],tbHeroEnemy[[#This Row],[Hero1]:[Soldier3]])</f>
        <v>1</v>
      </c>
      <c r="P159" s="7">
        <v>1</v>
      </c>
      <c r="Q159" s="16" t="s">
        <v>405</v>
      </c>
      <c r="R159" s="9" t="s">
        <v>912</v>
      </c>
      <c r="S159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160" spans="2:19">
      <c r="B160" s="16" t="s">
        <v>1243</v>
      </c>
      <c r="C160" s="35" t="s">
        <v>1301</v>
      </c>
      <c r="D160" s="16">
        <v>2</v>
      </c>
      <c r="E160" s="16"/>
      <c r="F160" s="7" t="s">
        <v>151</v>
      </c>
      <c r="G160" s="16" t="s">
        <v>1126</v>
      </c>
      <c r="H160" s="16" t="b">
        <v>1</v>
      </c>
      <c r="I160" s="16" t="s">
        <v>428</v>
      </c>
      <c r="J160" s="16" t="s">
        <v>384</v>
      </c>
      <c r="K160" s="16"/>
      <c r="L160" s="16"/>
      <c r="M160" s="16"/>
      <c r="N160" s="16"/>
      <c r="O160" s="12">
        <f>GET_OK_GROUPS_COUNT(tbHeroEnemy[[#This Row],[Camp]],tbHeroEnemy[[#This Row],[Difficulty]],tbHeroEnemy[[#This Row],[IsBoss]],tbHeroEnemy[[#This Row],[Hero1]:[Soldier3]])</f>
        <v>1</v>
      </c>
      <c r="P160" s="7">
        <v>1</v>
      </c>
      <c r="Q160" s="16" t="s">
        <v>405</v>
      </c>
      <c r="R160" s="9" t="s">
        <v>428</v>
      </c>
      <c r="S160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61" spans="2:19">
      <c r="B161" s="16" t="s">
        <v>1244</v>
      </c>
      <c r="C161" s="35" t="s">
        <v>1301</v>
      </c>
      <c r="D161" s="16">
        <v>1</v>
      </c>
      <c r="E161" s="16"/>
      <c r="F161" s="7" t="s">
        <v>151</v>
      </c>
      <c r="G161" s="16" t="s">
        <v>1126</v>
      </c>
      <c r="H161" s="7"/>
      <c r="I161" s="16" t="s">
        <v>382</v>
      </c>
      <c r="J161" s="16" t="s">
        <v>384</v>
      </c>
      <c r="K161" s="16"/>
      <c r="L161" s="16"/>
      <c r="M161" s="16"/>
      <c r="N161" s="16"/>
      <c r="O161" s="12">
        <f>GET_OK_GROUPS_COUNT(tbHeroEnemy[[#This Row],[Camp]],tbHeroEnemy[[#This Row],[Difficulty]],tbHeroEnemy[[#This Row],[IsBoss]],tbHeroEnemy[[#This Row],[Hero1]:[Soldier3]])</f>
        <v>1</v>
      </c>
      <c r="P161" s="7">
        <v>1</v>
      </c>
      <c r="Q161" s="16" t="s">
        <v>405</v>
      </c>
      <c r="R161" s="9" t="s">
        <v>912</v>
      </c>
      <c r="S16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62" spans="2:19">
      <c r="B162" s="16" t="s">
        <v>1244</v>
      </c>
      <c r="C162" s="35" t="s">
        <v>1301</v>
      </c>
      <c r="D162" s="16">
        <v>2</v>
      </c>
      <c r="E162" s="16"/>
      <c r="F162" s="7" t="s">
        <v>151</v>
      </c>
      <c r="G162" s="16" t="s">
        <v>1126</v>
      </c>
      <c r="H162" s="16" t="b">
        <v>1</v>
      </c>
      <c r="I162" s="16" t="s">
        <v>433</v>
      </c>
      <c r="J162" s="16" t="s">
        <v>383</v>
      </c>
      <c r="K162" s="16"/>
      <c r="L162" s="16"/>
      <c r="M162" s="16"/>
      <c r="N162" s="16"/>
      <c r="O162" s="12">
        <f>GET_OK_GROUPS_COUNT(tbHeroEnemy[[#This Row],[Camp]],tbHeroEnemy[[#This Row],[Difficulty]],tbHeroEnemy[[#This Row],[IsBoss]],tbHeroEnemy[[#This Row],[Hero1]:[Soldier3]])</f>
        <v>1</v>
      </c>
      <c r="P162" s="7">
        <v>1</v>
      </c>
      <c r="Q162" s="16" t="s">
        <v>405</v>
      </c>
      <c r="R162" s="9" t="s">
        <v>433</v>
      </c>
      <c r="S162" s="2" t="str">
        <f>GET_OK_GROUP(tbHeroEnemy[[#This Row],[Camp]],tbHeroEnemy[[#This Row],[Difficulty]],tbHeroEnemy[[#This Row],[IsBoss]],tbHeroEnemy[[#This Row],[Hero1]:[Soldier3]],tbHeroEnemy[[#This Row],[GroupID]])</f>
        <v>三国-超难-[B]炼英+炼英</v>
      </c>
    </row>
    <row r="163" spans="2:19">
      <c r="B163" s="16" t="s">
        <v>1245</v>
      </c>
      <c r="C163" s="35" t="s">
        <v>1301</v>
      </c>
      <c r="D163" s="16">
        <v>1</v>
      </c>
      <c r="E163" s="16"/>
      <c r="F163" s="7" t="s">
        <v>151</v>
      </c>
      <c r="G163" s="16" t="s">
        <v>1126</v>
      </c>
      <c r="H163" s="7"/>
      <c r="I163" s="16" t="s">
        <v>383</v>
      </c>
      <c r="J163" s="16" t="s">
        <v>384</v>
      </c>
      <c r="K163" s="16"/>
      <c r="L163" s="16"/>
      <c r="M163" s="16"/>
      <c r="N163" s="16"/>
      <c r="O163" s="12">
        <f>GET_OK_GROUPS_COUNT(tbHeroEnemy[[#This Row],[Camp]],tbHeroEnemy[[#This Row],[Difficulty]],tbHeroEnemy[[#This Row],[IsBoss]],tbHeroEnemy[[#This Row],[Hero1]:[Soldier3]])</f>
        <v>1</v>
      </c>
      <c r="P163" s="7">
        <v>1</v>
      </c>
      <c r="Q163" s="16" t="s">
        <v>405</v>
      </c>
      <c r="R163" s="9" t="s">
        <v>912</v>
      </c>
      <c r="S16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164" spans="2:19">
      <c r="B164" s="16" t="s">
        <v>1245</v>
      </c>
      <c r="C164" s="35" t="s">
        <v>1301</v>
      </c>
      <c r="D164" s="16">
        <v>2</v>
      </c>
      <c r="E164" s="16"/>
      <c r="F164" s="7" t="s">
        <v>151</v>
      </c>
      <c r="G164" s="16" t="s">
        <v>1126</v>
      </c>
      <c r="H164" s="16" t="b">
        <v>1</v>
      </c>
      <c r="I164" s="16" t="s">
        <v>390</v>
      </c>
      <c r="J164" s="16" t="s">
        <v>385</v>
      </c>
      <c r="K164" s="16"/>
      <c r="L164" s="16"/>
      <c r="M164" s="16"/>
      <c r="N164" s="16"/>
      <c r="O164" s="12">
        <f>GET_OK_GROUPS_COUNT(tbHeroEnemy[[#This Row],[Camp]],tbHeroEnemy[[#This Row],[Difficulty]],tbHeroEnemy[[#This Row],[IsBoss]],tbHeroEnemy[[#This Row],[Hero1]:[Soldier3]])</f>
        <v>1</v>
      </c>
      <c r="P164" s="7">
        <v>1</v>
      </c>
      <c r="Q164" s="16" t="s">
        <v>405</v>
      </c>
      <c r="R164" s="9" t="s">
        <v>390</v>
      </c>
      <c r="S164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165" spans="2:19">
      <c r="B165" s="16" t="s">
        <v>1021</v>
      </c>
      <c r="C165" s="35" t="s">
        <v>1301</v>
      </c>
      <c r="D165" s="16">
        <v>1</v>
      </c>
      <c r="E165" s="16"/>
      <c r="F165" s="7" t="s">
        <v>151</v>
      </c>
      <c r="G165" s="16" t="s">
        <v>1125</v>
      </c>
      <c r="H165" s="7"/>
      <c r="I165" s="16" t="s">
        <v>383</v>
      </c>
      <c r="J165" s="16" t="s">
        <v>382</v>
      </c>
      <c r="K165" s="16"/>
      <c r="L165" s="16"/>
      <c r="M165" s="16"/>
      <c r="N165" s="16"/>
      <c r="O165" s="12">
        <f>GET_OK_GROUPS_COUNT(tbHeroEnemy[[#This Row],[Camp]],tbHeroEnemy[[#This Row],[Difficulty]],tbHeroEnemy[[#This Row],[IsBoss]],tbHeroEnemy[[#This Row],[Hero1]:[Soldier3]])</f>
        <v>1</v>
      </c>
      <c r="P165" s="7">
        <v>1</v>
      </c>
      <c r="Q165" s="16" t="s">
        <v>406</v>
      </c>
      <c r="R165" s="9" t="s">
        <v>912</v>
      </c>
      <c r="S165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166" spans="2:19">
      <c r="B166" s="16" t="s">
        <v>1021</v>
      </c>
      <c r="C166" s="35" t="s">
        <v>1301</v>
      </c>
      <c r="D166" s="16">
        <v>2</v>
      </c>
      <c r="E166" s="16"/>
      <c r="F166" s="7" t="s">
        <v>151</v>
      </c>
      <c r="G166" s="16" t="s">
        <v>1125</v>
      </c>
      <c r="H166" s="16" t="b">
        <v>1</v>
      </c>
      <c r="I166" s="16" t="s">
        <v>395</v>
      </c>
      <c r="J166" s="16" t="s">
        <v>384</v>
      </c>
      <c r="K166" s="16"/>
      <c r="L166" s="16"/>
      <c r="M166" s="16"/>
      <c r="N166" s="16"/>
      <c r="O166" s="12">
        <f>GET_OK_GROUPS_COUNT(tbHeroEnemy[[#This Row],[Camp]],tbHeroEnemy[[#This Row],[Difficulty]],tbHeroEnemy[[#This Row],[IsBoss]],tbHeroEnemy[[#This Row],[Hero1]:[Soldier3]])</f>
        <v>1</v>
      </c>
      <c r="P166" s="7">
        <v>1</v>
      </c>
      <c r="Q166" s="16" t="s">
        <v>406</v>
      </c>
      <c r="R166" s="9" t="s">
        <v>395</v>
      </c>
      <c r="S166" s="2" t="str">
        <f>GET_OK_GROUP(tbHeroEnemy[[#This Row],[Camp]],tbHeroEnemy[[#This Row],[Difficulty]],tbHeroEnemy[[#This Row],[IsBoss]],tbHeroEnemy[[#This Row],[Hero1]:[Soldier3]],tbHeroEnemy[[#This Row],[GroupID]])</f>
        <v>三国-困难-[B]法英+法英</v>
      </c>
    </row>
    <row r="167" spans="2:19">
      <c r="B167" s="16" t="s">
        <v>1022</v>
      </c>
      <c r="C167" s="35" t="s">
        <v>1301</v>
      </c>
      <c r="D167" s="16">
        <v>1</v>
      </c>
      <c r="E167" s="16"/>
      <c r="F167" s="7" t="s">
        <v>151</v>
      </c>
      <c r="G167" s="16" t="s">
        <v>1125</v>
      </c>
      <c r="H167" s="7"/>
      <c r="I167" s="16" t="s">
        <v>385</v>
      </c>
      <c r="J167" s="16" t="s">
        <v>384</v>
      </c>
      <c r="K167" s="16"/>
      <c r="L167" s="16"/>
      <c r="M167" s="16"/>
      <c r="N167" s="16"/>
      <c r="O167" s="12">
        <f>GET_OK_GROUPS_COUNT(tbHeroEnemy[[#This Row],[Camp]],tbHeroEnemy[[#This Row],[Difficulty]],tbHeroEnemy[[#This Row],[IsBoss]],tbHeroEnemy[[#This Row],[Hero1]:[Soldier3]])</f>
        <v>1</v>
      </c>
      <c r="P167" s="7">
        <v>1</v>
      </c>
      <c r="Q167" s="16" t="s">
        <v>406</v>
      </c>
      <c r="R167" s="9" t="s">
        <v>912</v>
      </c>
      <c r="S167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168" spans="2:19">
      <c r="B168" s="16" t="s">
        <v>1022</v>
      </c>
      <c r="C168" s="35" t="s">
        <v>1301</v>
      </c>
      <c r="D168" s="16">
        <v>2</v>
      </c>
      <c r="E168" s="16"/>
      <c r="F168" s="7" t="s">
        <v>151</v>
      </c>
      <c r="G168" s="16" t="s">
        <v>1126</v>
      </c>
      <c r="H168" s="16" t="b">
        <v>1</v>
      </c>
      <c r="I168" s="16" t="s">
        <v>416</v>
      </c>
      <c r="J168" s="16" t="s">
        <v>384</v>
      </c>
      <c r="K168" s="16"/>
      <c r="L168" s="16"/>
      <c r="M168" s="16"/>
      <c r="N168" s="16"/>
      <c r="O168" s="12">
        <f>GET_OK_GROUPS_COUNT(tbHeroEnemy[[#This Row],[Camp]],tbHeroEnemy[[#This Row],[Difficulty]],tbHeroEnemy[[#This Row],[IsBoss]],tbHeroEnemy[[#This Row],[Hero1]:[Soldier3]])</f>
        <v>1</v>
      </c>
      <c r="P168" s="7">
        <v>1</v>
      </c>
      <c r="Q168" s="16" t="s">
        <v>406</v>
      </c>
      <c r="R168" s="9" t="s">
        <v>416</v>
      </c>
      <c r="S168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69" spans="2:19">
      <c r="B169" s="16" t="s">
        <v>1023</v>
      </c>
      <c r="C169" s="35" t="s">
        <v>1301</v>
      </c>
      <c r="D169" s="16">
        <v>1</v>
      </c>
      <c r="E169" s="16"/>
      <c r="F169" s="7" t="s">
        <v>151</v>
      </c>
      <c r="G169" s="16" t="s">
        <v>1126</v>
      </c>
      <c r="H169" s="7"/>
      <c r="I169" s="16" t="s">
        <v>383</v>
      </c>
      <c r="J169" s="16" t="s">
        <v>380</v>
      </c>
      <c r="K169" s="16"/>
      <c r="L169" s="16"/>
      <c r="M169" s="16"/>
      <c r="N169" s="16"/>
      <c r="O169" s="12">
        <f>GET_OK_GROUPS_COUNT(tbHeroEnemy[[#This Row],[Camp]],tbHeroEnemy[[#This Row],[Difficulty]],tbHeroEnemy[[#This Row],[IsBoss]],tbHeroEnemy[[#This Row],[Hero1]:[Soldier3]])</f>
        <v>1</v>
      </c>
      <c r="P169" s="7">
        <v>1</v>
      </c>
      <c r="Q169" s="16" t="s">
        <v>406</v>
      </c>
      <c r="R169" s="9" t="s">
        <v>912</v>
      </c>
      <c r="S169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170" spans="2:19">
      <c r="B170" s="16" t="s">
        <v>1023</v>
      </c>
      <c r="C170" s="35" t="s">
        <v>1301</v>
      </c>
      <c r="D170" s="16">
        <v>2</v>
      </c>
      <c r="E170" s="16"/>
      <c r="F170" s="7" t="s">
        <v>151</v>
      </c>
      <c r="G170" s="16" t="s">
        <v>1126</v>
      </c>
      <c r="H170" s="16" t="b">
        <v>1</v>
      </c>
      <c r="I170" s="16" t="s">
        <v>395</v>
      </c>
      <c r="J170" s="16" t="s">
        <v>382</v>
      </c>
      <c r="K170" s="16"/>
      <c r="L170" s="16"/>
      <c r="M170" s="16"/>
      <c r="N170" s="16"/>
      <c r="O170" s="12">
        <f>GET_OK_GROUPS_COUNT(tbHeroEnemy[[#This Row],[Camp]],tbHeroEnemy[[#This Row],[Difficulty]],tbHeroEnemy[[#This Row],[IsBoss]],tbHeroEnemy[[#This Row],[Hero1]:[Soldier3]])</f>
        <v>1</v>
      </c>
      <c r="P170" s="7">
        <v>1</v>
      </c>
      <c r="Q170" s="16" t="s">
        <v>406</v>
      </c>
      <c r="R170" s="9" t="s">
        <v>395</v>
      </c>
      <c r="S170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171" spans="2:19">
      <c r="B171" s="16" t="s">
        <v>1024</v>
      </c>
      <c r="C171" s="35" t="s">
        <v>1301</v>
      </c>
      <c r="D171" s="16">
        <v>1</v>
      </c>
      <c r="E171" s="16"/>
      <c r="F171" s="7" t="s">
        <v>151</v>
      </c>
      <c r="G171" s="16" t="s">
        <v>1126</v>
      </c>
      <c r="H171" s="7"/>
      <c r="I171" s="16" t="s">
        <v>385</v>
      </c>
      <c r="J171" s="16" t="s">
        <v>381</v>
      </c>
      <c r="K171" s="16"/>
      <c r="L171" s="16"/>
      <c r="M171" s="16"/>
      <c r="N171" s="16"/>
      <c r="O171" s="12">
        <f>GET_OK_GROUPS_COUNT(tbHeroEnemy[[#This Row],[Camp]],tbHeroEnemy[[#This Row],[Difficulty]],tbHeroEnemy[[#This Row],[IsBoss]],tbHeroEnemy[[#This Row],[Hero1]:[Soldier3]])</f>
        <v>1</v>
      </c>
      <c r="P171" s="7">
        <v>1</v>
      </c>
      <c r="Q171" s="16" t="s">
        <v>406</v>
      </c>
      <c r="R171" s="9" t="s">
        <v>912</v>
      </c>
      <c r="S171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172" spans="2:19">
      <c r="B172" s="16" t="s">
        <v>1024</v>
      </c>
      <c r="C172" s="35" t="s">
        <v>1301</v>
      </c>
      <c r="D172" s="16">
        <v>2</v>
      </c>
      <c r="E172" s="16"/>
      <c r="F172" s="7" t="s">
        <v>151</v>
      </c>
      <c r="G172" s="16" t="s">
        <v>1126</v>
      </c>
      <c r="H172" s="16" t="b">
        <v>1</v>
      </c>
      <c r="I172" s="16" t="s">
        <v>393</v>
      </c>
      <c r="J172" s="16" t="s">
        <v>381</v>
      </c>
      <c r="K172" s="16"/>
      <c r="L172" s="16"/>
      <c r="M172" s="16"/>
      <c r="N172" s="16"/>
      <c r="O172" s="12">
        <f>GET_OK_GROUPS_COUNT(tbHeroEnemy[[#This Row],[Camp]],tbHeroEnemy[[#This Row],[Difficulty]],tbHeroEnemy[[#This Row],[IsBoss]],tbHeroEnemy[[#This Row],[Hero1]:[Soldier3]])</f>
        <v>1</v>
      </c>
      <c r="P172" s="7">
        <v>1</v>
      </c>
      <c r="Q172" s="16" t="s">
        <v>406</v>
      </c>
      <c r="R172" s="9" t="s">
        <v>393</v>
      </c>
      <c r="S17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173" spans="2:19">
      <c r="B173" s="16" t="s">
        <v>1025</v>
      </c>
      <c r="C173" s="35" t="s">
        <v>1301</v>
      </c>
      <c r="D173" s="16">
        <v>1</v>
      </c>
      <c r="E173" s="16"/>
      <c r="F173" s="7" t="s">
        <v>151</v>
      </c>
      <c r="G173" s="16" t="s">
        <v>1125</v>
      </c>
      <c r="H173" s="7"/>
      <c r="I173" s="16" t="s">
        <v>382</v>
      </c>
      <c r="J173" s="16" t="s">
        <v>384</v>
      </c>
      <c r="K173" s="16"/>
      <c r="L173" s="16"/>
      <c r="M173" s="16"/>
      <c r="N173" s="16"/>
      <c r="O173" s="12">
        <f>GET_OK_GROUPS_COUNT(tbHeroEnemy[[#This Row],[Camp]],tbHeroEnemy[[#This Row],[Difficulty]],tbHeroEnemy[[#This Row],[IsBoss]],tbHeroEnemy[[#This Row],[Hero1]:[Soldier3]])</f>
        <v>1</v>
      </c>
      <c r="P173" s="7">
        <v>1</v>
      </c>
      <c r="Q173" s="16" t="s">
        <v>407</v>
      </c>
      <c r="R173" s="9" t="s">
        <v>912</v>
      </c>
      <c r="S173" s="2" t="str">
        <f>GET_OK_GROUP(tbHeroEnemy[[#This Row],[Camp]],tbHeroEnemy[[#This Row],[Difficulty]],tbHeroEnemy[[#This Row],[IsBoss]],tbHeroEnemy[[#This Row],[Hero1]:[Soldier3]],tbHeroEnemy[[#This Row],[GroupID]])</f>
        <v>三国-困难-铁英+法英</v>
      </c>
    </row>
    <row r="174" spans="2:19">
      <c r="B174" s="16" t="s">
        <v>1025</v>
      </c>
      <c r="C174" s="35" t="s">
        <v>1301</v>
      </c>
      <c r="D174" s="16">
        <v>2</v>
      </c>
      <c r="E174" s="16"/>
      <c r="F174" s="7" t="s">
        <v>151</v>
      </c>
      <c r="G174" s="16" t="s">
        <v>1125</v>
      </c>
      <c r="H174" s="16" t="b">
        <v>1</v>
      </c>
      <c r="I174" s="16" t="s">
        <v>421</v>
      </c>
      <c r="J174" s="16" t="s">
        <v>384</v>
      </c>
      <c r="K174" s="16"/>
      <c r="L174" s="16"/>
      <c r="M174" s="16"/>
      <c r="N174" s="16"/>
      <c r="O174" s="12">
        <f>GET_OK_GROUPS_COUNT(tbHeroEnemy[[#This Row],[Camp]],tbHeroEnemy[[#This Row],[Difficulty]],tbHeroEnemy[[#This Row],[IsBoss]],tbHeroEnemy[[#This Row],[Hero1]:[Soldier3]])</f>
        <v>1</v>
      </c>
      <c r="P174" s="7">
        <v>1</v>
      </c>
      <c r="Q174" s="16" t="s">
        <v>407</v>
      </c>
      <c r="R174" s="9" t="s">
        <v>421</v>
      </c>
      <c r="S174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175" spans="2:19">
      <c r="B175" s="16" t="s">
        <v>1026</v>
      </c>
      <c r="C175" s="35" t="s">
        <v>1301</v>
      </c>
      <c r="D175" s="16">
        <v>1</v>
      </c>
      <c r="E175" s="16"/>
      <c r="F175" s="7" t="s">
        <v>151</v>
      </c>
      <c r="G175" s="16" t="s">
        <v>1125</v>
      </c>
      <c r="H175" s="7"/>
      <c r="I175" s="16" t="s">
        <v>381</v>
      </c>
      <c r="J175" s="16" t="s">
        <v>382</v>
      </c>
      <c r="K175" s="16"/>
      <c r="L175" s="16"/>
      <c r="M175" s="16"/>
      <c r="N175" s="16"/>
      <c r="O175" s="12">
        <f>GET_OK_GROUPS_COUNT(tbHeroEnemy[[#This Row],[Camp]],tbHeroEnemy[[#This Row],[Difficulty]],tbHeroEnemy[[#This Row],[IsBoss]],tbHeroEnemy[[#This Row],[Hero1]:[Soldier3]])</f>
        <v>1</v>
      </c>
      <c r="P175" s="7">
        <v>1</v>
      </c>
      <c r="Q175" s="16" t="s">
        <v>407</v>
      </c>
      <c r="R175" s="9" t="s">
        <v>912</v>
      </c>
      <c r="S175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176" spans="2:19">
      <c r="B176" s="16" t="s">
        <v>1026</v>
      </c>
      <c r="C176" s="35" t="s">
        <v>1301</v>
      </c>
      <c r="D176" s="16">
        <v>2</v>
      </c>
      <c r="E176" s="16"/>
      <c r="F176" s="7" t="s">
        <v>151</v>
      </c>
      <c r="G176" s="16" t="s">
        <v>1126</v>
      </c>
      <c r="H176" s="16" t="b">
        <v>1</v>
      </c>
      <c r="I176" s="16" t="s">
        <v>431</v>
      </c>
      <c r="J176" s="16" t="s">
        <v>385</v>
      </c>
      <c r="K176" s="16"/>
      <c r="L176" s="16"/>
      <c r="M176" s="16"/>
      <c r="N176" s="16"/>
      <c r="O176" s="12">
        <f>GET_OK_GROUPS_COUNT(tbHeroEnemy[[#This Row],[Camp]],tbHeroEnemy[[#This Row],[Difficulty]],tbHeroEnemy[[#This Row],[IsBoss]],tbHeroEnemy[[#This Row],[Hero1]:[Soldier3]])</f>
        <v>1</v>
      </c>
      <c r="P176" s="7">
        <v>1</v>
      </c>
      <c r="Q176" s="16" t="s">
        <v>407</v>
      </c>
      <c r="R176" s="9" t="s">
        <v>431</v>
      </c>
      <c r="S176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77" spans="2:19">
      <c r="B177" s="16" t="s">
        <v>1027</v>
      </c>
      <c r="C177" s="35" t="s">
        <v>1301</v>
      </c>
      <c r="D177" s="16">
        <v>1</v>
      </c>
      <c r="E177" s="16"/>
      <c r="F177" s="7" t="s">
        <v>151</v>
      </c>
      <c r="G177" s="16" t="s">
        <v>1126</v>
      </c>
      <c r="H177" s="7"/>
      <c r="I177" s="16" t="s">
        <v>381</v>
      </c>
      <c r="J177" s="16" t="s">
        <v>381</v>
      </c>
      <c r="K177" s="16"/>
      <c r="L177" s="16"/>
      <c r="M177" s="16"/>
      <c r="N177" s="16"/>
      <c r="O177" s="12">
        <f>GET_OK_GROUPS_COUNT(tbHeroEnemy[[#This Row],[Camp]],tbHeroEnemy[[#This Row],[Difficulty]],tbHeroEnemy[[#This Row],[IsBoss]],tbHeroEnemy[[#This Row],[Hero1]:[Soldier3]])</f>
        <v>1</v>
      </c>
      <c r="P177" s="7">
        <v>1</v>
      </c>
      <c r="Q177" s="16" t="s">
        <v>407</v>
      </c>
      <c r="R177" s="9" t="s">
        <v>912</v>
      </c>
      <c r="S177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178" spans="2:19">
      <c r="B178" s="16" t="s">
        <v>1027</v>
      </c>
      <c r="C178" s="35" t="s">
        <v>1301</v>
      </c>
      <c r="D178" s="16">
        <v>2</v>
      </c>
      <c r="E178" s="16"/>
      <c r="F178" s="7" t="s">
        <v>151</v>
      </c>
      <c r="G178" s="16" t="s">
        <v>1126</v>
      </c>
      <c r="H178" s="16" t="b">
        <v>1</v>
      </c>
      <c r="I178" s="16" t="s">
        <v>402</v>
      </c>
      <c r="J178" s="16" t="s">
        <v>380</v>
      </c>
      <c r="K178" s="16"/>
      <c r="L178" s="16"/>
      <c r="M178" s="16"/>
      <c r="N178" s="16"/>
      <c r="O178" s="12">
        <f>GET_OK_GROUPS_COUNT(tbHeroEnemy[[#This Row],[Camp]],tbHeroEnemy[[#This Row],[Difficulty]],tbHeroEnemy[[#This Row],[IsBoss]],tbHeroEnemy[[#This Row],[Hero1]:[Soldier3]])</f>
        <v>1</v>
      </c>
      <c r="P178" s="7">
        <v>1</v>
      </c>
      <c r="Q178" s="16" t="s">
        <v>407</v>
      </c>
      <c r="R178" s="9" t="s">
        <v>402</v>
      </c>
      <c r="S178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79" spans="2:19">
      <c r="B179" s="16" t="s">
        <v>1028</v>
      </c>
      <c r="C179" s="35" t="s">
        <v>1301</v>
      </c>
      <c r="D179" s="16">
        <v>1</v>
      </c>
      <c r="E179" s="16"/>
      <c r="F179" s="7" t="s">
        <v>151</v>
      </c>
      <c r="G179" s="16" t="s">
        <v>1126</v>
      </c>
      <c r="H179" s="7"/>
      <c r="I179" s="16" t="s">
        <v>382</v>
      </c>
      <c r="J179" s="16" t="s">
        <v>381</v>
      </c>
      <c r="K179" s="16"/>
      <c r="L179" s="16"/>
      <c r="M179" s="16"/>
      <c r="N179" s="16"/>
      <c r="O179" s="12">
        <f>GET_OK_GROUPS_COUNT(tbHeroEnemy[[#This Row],[Camp]],tbHeroEnemy[[#This Row],[Difficulty]],tbHeroEnemy[[#This Row],[IsBoss]],tbHeroEnemy[[#This Row],[Hero1]:[Soldier3]])</f>
        <v>1</v>
      </c>
      <c r="P179" s="7">
        <v>1</v>
      </c>
      <c r="Q179" s="16" t="s">
        <v>407</v>
      </c>
      <c r="R179" s="9" t="s">
        <v>912</v>
      </c>
      <c r="S179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80" spans="2:19">
      <c r="B180" s="16" t="s">
        <v>1028</v>
      </c>
      <c r="C180" s="35" t="s">
        <v>1301</v>
      </c>
      <c r="D180" s="16">
        <v>2</v>
      </c>
      <c r="E180" s="16"/>
      <c r="F180" s="7" t="s">
        <v>151</v>
      </c>
      <c r="G180" s="16" t="s">
        <v>1126</v>
      </c>
      <c r="H180" s="16" t="b">
        <v>1</v>
      </c>
      <c r="I180" s="16" t="s">
        <v>421</v>
      </c>
      <c r="J180" s="16" t="s">
        <v>384</v>
      </c>
      <c r="K180" s="16"/>
      <c r="L180" s="16"/>
      <c r="M180" s="16"/>
      <c r="N180" s="16"/>
      <c r="O180" s="12">
        <f>GET_OK_GROUPS_COUNT(tbHeroEnemy[[#This Row],[Camp]],tbHeroEnemy[[#This Row],[Difficulty]],tbHeroEnemy[[#This Row],[IsBoss]],tbHeroEnemy[[#This Row],[Hero1]:[Soldier3]])</f>
        <v>1</v>
      </c>
      <c r="P180" s="7">
        <v>1</v>
      </c>
      <c r="Q180" s="16" t="s">
        <v>407</v>
      </c>
      <c r="R180" s="9" t="s">
        <v>421</v>
      </c>
      <c r="S18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81" spans="2:19">
      <c r="B181" s="16" t="s">
        <v>1029</v>
      </c>
      <c r="C181" s="35" t="s">
        <v>1301</v>
      </c>
      <c r="D181" s="16">
        <v>1</v>
      </c>
      <c r="E181" s="16"/>
      <c r="F181" s="7" t="s">
        <v>151</v>
      </c>
      <c r="G181" s="16" t="s">
        <v>1125</v>
      </c>
      <c r="H181" s="7"/>
      <c r="I181" s="16" t="s">
        <v>385</v>
      </c>
      <c r="J181" s="16" t="s">
        <v>381</v>
      </c>
      <c r="K181" s="16"/>
      <c r="L181" s="16"/>
      <c r="M181" s="16"/>
      <c r="N181" s="16"/>
      <c r="O181" s="12">
        <f>GET_OK_GROUPS_COUNT(tbHeroEnemy[[#This Row],[Camp]],tbHeroEnemy[[#This Row],[Difficulty]],tbHeroEnemy[[#This Row],[IsBoss]],tbHeroEnemy[[#This Row],[Hero1]:[Soldier3]])</f>
        <v>1</v>
      </c>
      <c r="P181" s="7">
        <v>1</v>
      </c>
      <c r="Q181" s="16" t="s">
        <v>408</v>
      </c>
      <c r="R181" s="9" t="s">
        <v>912</v>
      </c>
      <c r="S181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182" spans="2:19">
      <c r="B182" s="16" t="s">
        <v>1029</v>
      </c>
      <c r="C182" s="35" t="s">
        <v>1301</v>
      </c>
      <c r="D182" s="16">
        <v>2</v>
      </c>
      <c r="E182" s="16"/>
      <c r="F182" s="7" t="s">
        <v>151</v>
      </c>
      <c r="G182" s="16" t="s">
        <v>1125</v>
      </c>
      <c r="H182" s="16" t="b">
        <v>1</v>
      </c>
      <c r="I182" s="16" t="s">
        <v>419</v>
      </c>
      <c r="J182" s="16" t="s">
        <v>385</v>
      </c>
      <c r="K182" s="16"/>
      <c r="L182" s="16"/>
      <c r="M182" s="16"/>
      <c r="N182" s="16"/>
      <c r="O182" s="12">
        <f>GET_OK_GROUPS_COUNT(tbHeroEnemy[[#This Row],[Camp]],tbHeroEnemy[[#This Row],[Difficulty]],tbHeroEnemy[[#This Row],[IsBoss]],tbHeroEnemy[[#This Row],[Hero1]:[Soldier3]])</f>
        <v>1</v>
      </c>
      <c r="P182" s="7">
        <v>1</v>
      </c>
      <c r="Q182" s="16" t="s">
        <v>408</v>
      </c>
      <c r="R182" s="9" t="s">
        <v>419</v>
      </c>
      <c r="S182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183" spans="2:19">
      <c r="B183" s="16" t="s">
        <v>1030</v>
      </c>
      <c r="C183" s="35" t="s">
        <v>1301</v>
      </c>
      <c r="D183" s="16">
        <v>1</v>
      </c>
      <c r="E183" s="16"/>
      <c r="F183" s="7" t="s">
        <v>151</v>
      </c>
      <c r="G183" s="16" t="s">
        <v>1125</v>
      </c>
      <c r="H183" s="7"/>
      <c r="I183" s="16" t="s">
        <v>383</v>
      </c>
      <c r="J183" s="16" t="s">
        <v>381</v>
      </c>
      <c r="K183" s="16"/>
      <c r="L183" s="16"/>
      <c r="M183" s="16"/>
      <c r="N183" s="16"/>
      <c r="O183" s="12">
        <f>GET_OK_GROUPS_COUNT(tbHeroEnemy[[#This Row],[Camp]],tbHeroEnemy[[#This Row],[Difficulty]],tbHeroEnemy[[#This Row],[IsBoss]],tbHeroEnemy[[#This Row],[Hero1]:[Soldier3]])</f>
        <v>1</v>
      </c>
      <c r="P183" s="7">
        <v>1</v>
      </c>
      <c r="Q183" s="16" t="s">
        <v>408</v>
      </c>
      <c r="R183" s="9" t="s">
        <v>912</v>
      </c>
      <c r="S183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184" spans="2:19">
      <c r="B184" s="16" t="s">
        <v>1030</v>
      </c>
      <c r="C184" s="35" t="s">
        <v>1301</v>
      </c>
      <c r="D184" s="16">
        <v>2</v>
      </c>
      <c r="E184" s="16"/>
      <c r="F184" s="7" t="s">
        <v>151</v>
      </c>
      <c r="G184" s="16" t="s">
        <v>1126</v>
      </c>
      <c r="H184" s="16" t="b">
        <v>1</v>
      </c>
      <c r="I184" s="16" t="s">
        <v>421</v>
      </c>
      <c r="J184" s="16" t="s">
        <v>384</v>
      </c>
      <c r="K184" s="16"/>
      <c r="L184" s="16"/>
      <c r="M184" s="16"/>
      <c r="N184" s="16"/>
      <c r="O184" s="12">
        <f>GET_OK_GROUPS_COUNT(tbHeroEnemy[[#This Row],[Camp]],tbHeroEnemy[[#This Row],[Difficulty]],tbHeroEnemy[[#This Row],[IsBoss]],tbHeroEnemy[[#This Row],[Hero1]:[Soldier3]])</f>
        <v>1</v>
      </c>
      <c r="P184" s="7">
        <v>1</v>
      </c>
      <c r="Q184" s="16" t="s">
        <v>408</v>
      </c>
      <c r="R184" s="9" t="s">
        <v>421</v>
      </c>
      <c r="S184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85" spans="2:19">
      <c r="B185" s="16" t="s">
        <v>1031</v>
      </c>
      <c r="C185" s="35" t="s">
        <v>1301</v>
      </c>
      <c r="D185" s="16">
        <v>1</v>
      </c>
      <c r="E185" s="16"/>
      <c r="F185" s="7" t="s">
        <v>151</v>
      </c>
      <c r="G185" s="16" t="s">
        <v>1126</v>
      </c>
      <c r="H185" s="7"/>
      <c r="I185" s="16" t="s">
        <v>381</v>
      </c>
      <c r="J185" s="16" t="s">
        <v>382</v>
      </c>
      <c r="K185" s="16"/>
      <c r="L185" s="16"/>
      <c r="M185" s="16"/>
      <c r="N185" s="16"/>
      <c r="O185" s="12">
        <f>GET_OK_GROUPS_COUNT(tbHeroEnemy[[#This Row],[Camp]],tbHeroEnemy[[#This Row],[Difficulty]],tbHeroEnemy[[#This Row],[IsBoss]],tbHeroEnemy[[#This Row],[Hero1]:[Soldier3]])</f>
        <v>1</v>
      </c>
      <c r="P185" s="7">
        <v>1</v>
      </c>
      <c r="Q185" s="16" t="s">
        <v>408</v>
      </c>
      <c r="R185" s="9" t="s">
        <v>912</v>
      </c>
      <c r="S185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86" spans="2:19">
      <c r="B186" s="16" t="s">
        <v>1031</v>
      </c>
      <c r="C186" s="35" t="s">
        <v>1301</v>
      </c>
      <c r="D186" s="16">
        <v>2</v>
      </c>
      <c r="E186" s="16"/>
      <c r="F186" s="7" t="s">
        <v>151</v>
      </c>
      <c r="G186" s="16" t="s">
        <v>1126</v>
      </c>
      <c r="H186" s="16" t="b">
        <v>1</v>
      </c>
      <c r="I186" s="16" t="s">
        <v>24</v>
      </c>
      <c r="J186" s="16" t="s">
        <v>382</v>
      </c>
      <c r="K186" s="16"/>
      <c r="L186" s="16"/>
      <c r="M186" s="16"/>
      <c r="N186" s="16"/>
      <c r="O186" s="12">
        <f>GET_OK_GROUPS_COUNT(tbHeroEnemy[[#This Row],[Camp]],tbHeroEnemy[[#This Row],[Difficulty]],tbHeroEnemy[[#This Row],[IsBoss]],tbHeroEnemy[[#This Row],[Hero1]:[Soldier3]])</f>
        <v>1</v>
      </c>
      <c r="P186" s="7">
        <v>1</v>
      </c>
      <c r="Q186" s="16" t="s">
        <v>408</v>
      </c>
      <c r="R186" s="9" t="s">
        <v>24</v>
      </c>
      <c r="S186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187" spans="2:19">
      <c r="B187" s="16" t="s">
        <v>1032</v>
      </c>
      <c r="C187" s="35" t="s">
        <v>1301</v>
      </c>
      <c r="D187" s="16">
        <v>1</v>
      </c>
      <c r="E187" s="16"/>
      <c r="F187" s="7" t="s">
        <v>151</v>
      </c>
      <c r="G187" s="16" t="s">
        <v>1126</v>
      </c>
      <c r="H187" s="7"/>
      <c r="I187" s="16" t="s">
        <v>382</v>
      </c>
      <c r="J187" s="16" t="s">
        <v>384</v>
      </c>
      <c r="K187" s="16"/>
      <c r="L187" s="16"/>
      <c r="M187" s="16"/>
      <c r="N187" s="16"/>
      <c r="O187" s="12">
        <f>GET_OK_GROUPS_COUNT(tbHeroEnemy[[#This Row],[Camp]],tbHeroEnemy[[#This Row],[Difficulty]],tbHeroEnemy[[#This Row],[IsBoss]],tbHeroEnemy[[#This Row],[Hero1]:[Soldier3]])</f>
        <v>1</v>
      </c>
      <c r="P187" s="7">
        <v>1</v>
      </c>
      <c r="Q187" s="16" t="s">
        <v>408</v>
      </c>
      <c r="R187" s="9" t="s">
        <v>912</v>
      </c>
      <c r="S187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88" spans="2:19">
      <c r="B188" s="16" t="s">
        <v>1032</v>
      </c>
      <c r="C188" s="35" t="s">
        <v>1301</v>
      </c>
      <c r="D188" s="16">
        <v>2</v>
      </c>
      <c r="E188" s="16"/>
      <c r="F188" s="7" t="s">
        <v>151</v>
      </c>
      <c r="G188" s="16" t="s">
        <v>1126</v>
      </c>
      <c r="H188" s="16" t="b">
        <v>1</v>
      </c>
      <c r="I188" s="16" t="s">
        <v>390</v>
      </c>
      <c r="J188" s="16" t="s">
        <v>383</v>
      </c>
      <c r="K188" s="16"/>
      <c r="L188" s="16"/>
      <c r="M188" s="16"/>
      <c r="N188" s="16"/>
      <c r="O188" s="12">
        <f>GET_OK_GROUPS_COUNT(tbHeroEnemy[[#This Row],[Camp]],tbHeroEnemy[[#This Row],[Difficulty]],tbHeroEnemy[[#This Row],[IsBoss]],tbHeroEnemy[[#This Row],[Hero1]:[Soldier3]])</f>
        <v>1</v>
      </c>
      <c r="P188" s="7">
        <v>1</v>
      </c>
      <c r="Q188" s="16" t="s">
        <v>408</v>
      </c>
      <c r="R188" s="9" t="s">
        <v>390</v>
      </c>
      <c r="S18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189" spans="2:19">
      <c r="B189" s="16" t="s">
        <v>1033</v>
      </c>
      <c r="C189" s="35" t="s">
        <v>1301</v>
      </c>
      <c r="D189" s="16">
        <v>1</v>
      </c>
      <c r="E189" s="16"/>
      <c r="F189" s="7" t="s">
        <v>151</v>
      </c>
      <c r="G189" s="16" t="s">
        <v>1125</v>
      </c>
      <c r="H189" s="7"/>
      <c r="I189" s="16" t="s">
        <v>384</v>
      </c>
      <c r="J189" s="16" t="s">
        <v>384</v>
      </c>
      <c r="K189" s="16"/>
      <c r="L189" s="16"/>
      <c r="M189" s="16"/>
      <c r="N189" s="16"/>
      <c r="O189" s="12">
        <f>GET_OK_GROUPS_COUNT(tbHeroEnemy[[#This Row],[Camp]],tbHeroEnemy[[#This Row],[Difficulty]],tbHeroEnemy[[#This Row],[IsBoss]],tbHeroEnemy[[#This Row],[Hero1]:[Soldier3]])</f>
        <v>1</v>
      </c>
      <c r="P189" s="7">
        <v>1</v>
      </c>
      <c r="Q189" s="16" t="s">
        <v>409</v>
      </c>
      <c r="R189" s="9" t="s">
        <v>912</v>
      </c>
      <c r="S18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90" spans="2:19">
      <c r="B190" s="16" t="s">
        <v>1033</v>
      </c>
      <c r="C190" s="35" t="s">
        <v>1301</v>
      </c>
      <c r="D190" s="16">
        <v>2</v>
      </c>
      <c r="E190" s="16"/>
      <c r="F190" s="7" t="s">
        <v>151</v>
      </c>
      <c r="G190" s="16" t="s">
        <v>1125</v>
      </c>
      <c r="H190" s="16" t="b">
        <v>1</v>
      </c>
      <c r="I190" s="16" t="s">
        <v>426</v>
      </c>
      <c r="J190" s="16" t="s">
        <v>382</v>
      </c>
      <c r="K190" s="16"/>
      <c r="L190" s="16"/>
      <c r="M190" s="16"/>
      <c r="N190" s="16"/>
      <c r="O190" s="12">
        <f>GET_OK_GROUPS_COUNT(tbHeroEnemy[[#This Row],[Camp]],tbHeroEnemy[[#This Row],[Difficulty]],tbHeroEnemy[[#This Row],[IsBoss]],tbHeroEnemy[[#This Row],[Hero1]:[Soldier3]])</f>
        <v>1</v>
      </c>
      <c r="P190" s="7">
        <v>1</v>
      </c>
      <c r="Q190" s="16" t="s">
        <v>409</v>
      </c>
      <c r="R190" s="9" t="s">
        <v>426</v>
      </c>
      <c r="S190" s="2" t="str">
        <f>GET_OK_GROUP(tbHeroEnemy[[#This Row],[Camp]],tbHeroEnemy[[#This Row],[Difficulty]],tbHeroEnemy[[#This Row],[IsBoss]],tbHeroEnemy[[#This Row],[Hero1]:[Soldier3]],tbHeroEnemy[[#This Row],[GroupID]])</f>
        <v>三国-困难-[B]铁英+铁英</v>
      </c>
    </row>
    <row r="191" spans="2:19">
      <c r="B191" s="16" t="s">
        <v>1034</v>
      </c>
      <c r="C191" s="35" t="s">
        <v>1301</v>
      </c>
      <c r="D191" s="16">
        <v>1</v>
      </c>
      <c r="E191" s="16"/>
      <c r="F191" s="7" t="s">
        <v>151</v>
      </c>
      <c r="G191" s="16" t="s">
        <v>1125</v>
      </c>
      <c r="H191" s="7"/>
      <c r="I191" s="16" t="s">
        <v>381</v>
      </c>
      <c r="J191" s="16" t="s">
        <v>380</v>
      </c>
      <c r="K191" s="16"/>
      <c r="L191" s="16"/>
      <c r="M191" s="16"/>
      <c r="N191" s="16"/>
      <c r="O191" s="12">
        <f>GET_OK_GROUPS_COUNT(tbHeroEnemy[[#This Row],[Camp]],tbHeroEnemy[[#This Row],[Difficulty]],tbHeroEnemy[[#This Row],[IsBoss]],tbHeroEnemy[[#This Row],[Hero1]:[Soldier3]])</f>
        <v>1</v>
      </c>
      <c r="P191" s="7">
        <v>1</v>
      </c>
      <c r="Q191" s="16" t="s">
        <v>409</v>
      </c>
      <c r="R191" s="9" t="s">
        <v>912</v>
      </c>
      <c r="S191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192" spans="2:19">
      <c r="B192" s="16" t="s">
        <v>1034</v>
      </c>
      <c r="C192" s="35" t="s">
        <v>1301</v>
      </c>
      <c r="D192" s="16">
        <v>2</v>
      </c>
      <c r="E192" s="16"/>
      <c r="F192" s="7" t="s">
        <v>151</v>
      </c>
      <c r="G192" s="16" t="s">
        <v>1126</v>
      </c>
      <c r="H192" s="16" t="b">
        <v>1</v>
      </c>
      <c r="I192" s="16" t="s">
        <v>393</v>
      </c>
      <c r="J192" s="16" t="s">
        <v>381</v>
      </c>
      <c r="K192" s="16"/>
      <c r="L192" s="16"/>
      <c r="M192" s="16"/>
      <c r="N192" s="16"/>
      <c r="O192" s="12">
        <f>GET_OK_GROUPS_COUNT(tbHeroEnemy[[#This Row],[Camp]],tbHeroEnemy[[#This Row],[Difficulty]],tbHeroEnemy[[#This Row],[IsBoss]],tbHeroEnemy[[#This Row],[Hero1]:[Soldier3]])</f>
        <v>1</v>
      </c>
      <c r="P192" s="7">
        <v>1</v>
      </c>
      <c r="Q192" s="16" t="s">
        <v>409</v>
      </c>
      <c r="R192" s="9" t="s">
        <v>393</v>
      </c>
      <c r="S19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193" spans="2:19">
      <c r="B193" s="16" t="s">
        <v>1035</v>
      </c>
      <c r="C193" s="35" t="s">
        <v>1301</v>
      </c>
      <c r="D193" s="16">
        <v>1</v>
      </c>
      <c r="E193" s="16"/>
      <c r="F193" s="7" t="s">
        <v>151</v>
      </c>
      <c r="G193" s="16" t="s">
        <v>1126</v>
      </c>
      <c r="H193" s="7"/>
      <c r="I193" s="16" t="s">
        <v>383</v>
      </c>
      <c r="J193" s="16" t="s">
        <v>385</v>
      </c>
      <c r="K193" s="16"/>
      <c r="L193" s="16"/>
      <c r="M193" s="16"/>
      <c r="N193" s="16"/>
      <c r="O193" s="12">
        <f>GET_OK_GROUPS_COUNT(tbHeroEnemy[[#This Row],[Camp]],tbHeroEnemy[[#This Row],[Difficulty]],tbHeroEnemy[[#This Row],[IsBoss]],tbHeroEnemy[[#This Row],[Hero1]:[Soldier3]])</f>
        <v>1</v>
      </c>
      <c r="P193" s="7">
        <v>1</v>
      </c>
      <c r="Q193" s="16" t="s">
        <v>409</v>
      </c>
      <c r="R193" s="9" t="s">
        <v>912</v>
      </c>
      <c r="S193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194" spans="2:19">
      <c r="B194" s="16" t="s">
        <v>1035</v>
      </c>
      <c r="C194" s="35" t="s">
        <v>1301</v>
      </c>
      <c r="D194" s="16">
        <v>2</v>
      </c>
      <c r="E194" s="16"/>
      <c r="F194" s="7" t="s">
        <v>151</v>
      </c>
      <c r="G194" s="16" t="s">
        <v>1126</v>
      </c>
      <c r="H194" s="16" t="b">
        <v>1</v>
      </c>
      <c r="I194" s="16" t="s">
        <v>388</v>
      </c>
      <c r="J194" s="16" t="s">
        <v>384</v>
      </c>
      <c r="K194" s="16"/>
      <c r="L194" s="16"/>
      <c r="M194" s="16"/>
      <c r="N194" s="16"/>
      <c r="O194" s="12">
        <f>GET_OK_GROUPS_COUNT(tbHeroEnemy[[#This Row],[Camp]],tbHeroEnemy[[#This Row],[Difficulty]],tbHeroEnemy[[#This Row],[IsBoss]],tbHeroEnemy[[#This Row],[Hero1]:[Soldier3]])</f>
        <v>1</v>
      </c>
      <c r="P194" s="7">
        <v>1</v>
      </c>
      <c r="Q194" s="16" t="s">
        <v>409</v>
      </c>
      <c r="R194" s="9" t="s">
        <v>388</v>
      </c>
      <c r="S194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195" spans="2:19">
      <c r="B195" s="16" t="s">
        <v>1036</v>
      </c>
      <c r="C195" s="35" t="s">
        <v>1301</v>
      </c>
      <c r="D195" s="16">
        <v>1</v>
      </c>
      <c r="E195" s="16"/>
      <c r="F195" s="7" t="s">
        <v>151</v>
      </c>
      <c r="G195" s="16" t="s">
        <v>1126</v>
      </c>
      <c r="H195" s="7"/>
      <c r="I195" s="16" t="s">
        <v>382</v>
      </c>
      <c r="J195" s="16" t="s">
        <v>384</v>
      </c>
      <c r="K195" s="16"/>
      <c r="L195" s="16"/>
      <c r="M195" s="16"/>
      <c r="N195" s="16"/>
      <c r="O195" s="12">
        <f>GET_OK_GROUPS_COUNT(tbHeroEnemy[[#This Row],[Camp]],tbHeroEnemy[[#This Row],[Difficulty]],tbHeroEnemy[[#This Row],[IsBoss]],tbHeroEnemy[[#This Row],[Hero1]:[Soldier3]])</f>
        <v>1</v>
      </c>
      <c r="P195" s="7">
        <v>1</v>
      </c>
      <c r="Q195" s="16" t="s">
        <v>409</v>
      </c>
      <c r="R195" s="9" t="s">
        <v>912</v>
      </c>
      <c r="S195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96" spans="2:19">
      <c r="B196" s="16" t="s">
        <v>1036</v>
      </c>
      <c r="C196" s="35" t="s">
        <v>1301</v>
      </c>
      <c r="D196" s="16">
        <v>2</v>
      </c>
      <c r="E196" s="16"/>
      <c r="F196" s="7" t="s">
        <v>151</v>
      </c>
      <c r="G196" s="16" t="s">
        <v>1126</v>
      </c>
      <c r="H196" s="16" t="b">
        <v>1</v>
      </c>
      <c r="I196" s="16" t="s">
        <v>407</v>
      </c>
      <c r="J196" s="16" t="s">
        <v>380</v>
      </c>
      <c r="K196" s="16"/>
      <c r="L196" s="16"/>
      <c r="M196" s="16"/>
      <c r="N196" s="16"/>
      <c r="O196" s="12">
        <f>GET_OK_GROUPS_COUNT(tbHeroEnemy[[#This Row],[Camp]],tbHeroEnemy[[#This Row],[Difficulty]],tbHeroEnemy[[#This Row],[IsBoss]],tbHeroEnemy[[#This Row],[Hero1]:[Soldier3]])</f>
        <v>1</v>
      </c>
      <c r="P196" s="7">
        <v>1</v>
      </c>
      <c r="Q196" s="16" t="s">
        <v>409</v>
      </c>
      <c r="R196" s="9" t="s">
        <v>407</v>
      </c>
      <c r="S196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197" spans="2:19">
      <c r="B197" s="16" t="s">
        <v>1037</v>
      </c>
      <c r="C197" s="35" t="s">
        <v>1301</v>
      </c>
      <c r="D197" s="16">
        <v>1</v>
      </c>
      <c r="E197" s="16"/>
      <c r="F197" s="7" t="s">
        <v>151</v>
      </c>
      <c r="G197" s="16" t="s">
        <v>1125</v>
      </c>
      <c r="H197" s="7"/>
      <c r="I197" s="16" t="s">
        <v>384</v>
      </c>
      <c r="J197" s="16" t="s">
        <v>383</v>
      </c>
      <c r="K197" s="16"/>
      <c r="L197" s="16"/>
      <c r="M197" s="16"/>
      <c r="N197" s="16"/>
      <c r="O197" s="12">
        <f>GET_OK_GROUPS_COUNT(tbHeroEnemy[[#This Row],[Camp]],tbHeroEnemy[[#This Row],[Difficulty]],tbHeroEnemy[[#This Row],[IsBoss]],tbHeroEnemy[[#This Row],[Hero1]:[Soldier3]])</f>
        <v>1</v>
      </c>
      <c r="P197" s="7">
        <v>1</v>
      </c>
      <c r="Q197" s="16" t="s">
        <v>410</v>
      </c>
      <c r="R197" s="9" t="s">
        <v>912</v>
      </c>
      <c r="S197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198" spans="2:19">
      <c r="B198" s="16" t="s">
        <v>1037</v>
      </c>
      <c r="C198" s="35" t="s">
        <v>1301</v>
      </c>
      <c r="D198" s="16">
        <v>2</v>
      </c>
      <c r="E198" s="16"/>
      <c r="F198" s="7" t="s">
        <v>151</v>
      </c>
      <c r="G198" s="16" t="s">
        <v>1125</v>
      </c>
      <c r="H198" s="16" t="b">
        <v>1</v>
      </c>
      <c r="I198" s="16" t="s">
        <v>418</v>
      </c>
      <c r="J198" s="16" t="s">
        <v>381</v>
      </c>
      <c r="K198" s="16"/>
      <c r="L198" s="16"/>
      <c r="M198" s="16"/>
      <c r="N198" s="16"/>
      <c r="O198" s="12">
        <f>GET_OK_GROUPS_COUNT(tbHeroEnemy[[#This Row],[Camp]],tbHeroEnemy[[#This Row],[Difficulty]],tbHeroEnemy[[#This Row],[IsBoss]],tbHeroEnemy[[#This Row],[Hero1]:[Soldier3]])</f>
        <v>1</v>
      </c>
      <c r="P198" s="7">
        <v>1</v>
      </c>
      <c r="Q198" s="16" t="s">
        <v>410</v>
      </c>
      <c r="R198" s="9" t="s">
        <v>418</v>
      </c>
      <c r="S198" s="2" t="str">
        <f>GET_OK_GROUP(tbHeroEnemy[[#This Row],[Camp]],tbHeroEnemy[[#This Row],[Difficulty]],tbHeroEnemy[[#This Row],[IsBoss]],tbHeroEnemy[[#This Row],[Hero1]:[Soldier3]],tbHeroEnemy[[#This Row],[GroupID]])</f>
        <v>三国-困难-[B]强英+炼英</v>
      </c>
    </row>
    <row r="199" spans="2:19">
      <c r="B199" s="16" t="s">
        <v>1038</v>
      </c>
      <c r="C199" s="35" t="s">
        <v>1301</v>
      </c>
      <c r="D199" s="16">
        <v>1</v>
      </c>
      <c r="E199" s="16"/>
      <c r="F199" s="7" t="s">
        <v>151</v>
      </c>
      <c r="G199" s="16" t="s">
        <v>1125</v>
      </c>
      <c r="H199" s="7"/>
      <c r="I199" s="16" t="s">
        <v>383</v>
      </c>
      <c r="J199" s="16" t="s">
        <v>382</v>
      </c>
      <c r="K199" s="16"/>
      <c r="L199" s="16"/>
      <c r="M199" s="16"/>
      <c r="N199" s="16"/>
      <c r="O199" s="12">
        <f>GET_OK_GROUPS_COUNT(tbHeroEnemy[[#This Row],[Camp]],tbHeroEnemy[[#This Row],[Difficulty]],tbHeroEnemy[[#This Row],[IsBoss]],tbHeroEnemy[[#This Row],[Hero1]:[Soldier3]])</f>
        <v>1</v>
      </c>
      <c r="P199" s="7">
        <v>1</v>
      </c>
      <c r="Q199" s="16" t="s">
        <v>410</v>
      </c>
      <c r="R199" s="9" t="s">
        <v>912</v>
      </c>
      <c r="S19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200" spans="2:19">
      <c r="B200" s="16" t="s">
        <v>1038</v>
      </c>
      <c r="C200" s="35" t="s">
        <v>1301</v>
      </c>
      <c r="D200" s="16">
        <v>2</v>
      </c>
      <c r="E200" s="16"/>
      <c r="F200" s="7" t="s">
        <v>151</v>
      </c>
      <c r="G200" s="16" t="s">
        <v>1126</v>
      </c>
      <c r="H200" s="16" t="b">
        <v>1</v>
      </c>
      <c r="I200" s="16" t="s">
        <v>391</v>
      </c>
      <c r="J200" s="16" t="s">
        <v>384</v>
      </c>
      <c r="K200" s="16"/>
      <c r="L200" s="16"/>
      <c r="M200" s="16"/>
      <c r="N200" s="16"/>
      <c r="O200" s="12">
        <f>GET_OK_GROUPS_COUNT(tbHeroEnemy[[#This Row],[Camp]],tbHeroEnemy[[#This Row],[Difficulty]],tbHeroEnemy[[#This Row],[IsBoss]],tbHeroEnemy[[#This Row],[Hero1]:[Soldier3]])</f>
        <v>1</v>
      </c>
      <c r="P200" s="7">
        <v>1</v>
      </c>
      <c r="Q200" s="16" t="s">
        <v>410</v>
      </c>
      <c r="R200" s="9" t="s">
        <v>391</v>
      </c>
      <c r="S20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201" spans="2:19">
      <c r="B201" s="16" t="s">
        <v>1039</v>
      </c>
      <c r="C201" s="35" t="s">
        <v>1301</v>
      </c>
      <c r="D201" s="16">
        <v>1</v>
      </c>
      <c r="E201" s="16"/>
      <c r="F201" s="7" t="s">
        <v>151</v>
      </c>
      <c r="G201" s="16" t="s">
        <v>1126</v>
      </c>
      <c r="H201" s="7"/>
      <c r="I201" s="16" t="s">
        <v>380</v>
      </c>
      <c r="J201" s="16" t="s">
        <v>382</v>
      </c>
      <c r="K201" s="16"/>
      <c r="L201" s="16"/>
      <c r="M201" s="16"/>
      <c r="N201" s="16"/>
      <c r="O201" s="12">
        <f>GET_OK_GROUPS_COUNT(tbHeroEnemy[[#This Row],[Camp]],tbHeroEnemy[[#This Row],[Difficulty]],tbHeroEnemy[[#This Row],[IsBoss]],tbHeroEnemy[[#This Row],[Hero1]:[Soldier3]])</f>
        <v>1</v>
      </c>
      <c r="P201" s="7">
        <v>1</v>
      </c>
      <c r="Q201" s="16" t="s">
        <v>410</v>
      </c>
      <c r="R201" s="9" t="s">
        <v>912</v>
      </c>
      <c r="S201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202" spans="2:19">
      <c r="B202" s="16" t="s">
        <v>1039</v>
      </c>
      <c r="C202" s="35" t="s">
        <v>1301</v>
      </c>
      <c r="D202" s="16">
        <v>2</v>
      </c>
      <c r="E202" s="16"/>
      <c r="F202" s="7" t="s">
        <v>151</v>
      </c>
      <c r="G202" s="16" t="s">
        <v>1126</v>
      </c>
      <c r="H202" s="16" t="b">
        <v>1</v>
      </c>
      <c r="I202" s="16" t="s">
        <v>395</v>
      </c>
      <c r="J202" s="16" t="s">
        <v>381</v>
      </c>
      <c r="K202" s="16"/>
      <c r="L202" s="16"/>
      <c r="M202" s="16"/>
      <c r="N202" s="16"/>
      <c r="O202" s="12">
        <f>GET_OK_GROUPS_COUNT(tbHeroEnemy[[#This Row],[Camp]],tbHeroEnemy[[#This Row],[Difficulty]],tbHeroEnemy[[#This Row],[IsBoss]],tbHeroEnemy[[#This Row],[Hero1]:[Soldier3]])</f>
        <v>1</v>
      </c>
      <c r="P202" s="7">
        <v>1</v>
      </c>
      <c r="Q202" s="16" t="s">
        <v>410</v>
      </c>
      <c r="R202" s="9" t="s">
        <v>395</v>
      </c>
      <c r="S202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203" spans="2:19">
      <c r="B203" s="16" t="s">
        <v>1040</v>
      </c>
      <c r="C203" s="35" t="s">
        <v>1301</v>
      </c>
      <c r="D203" s="16">
        <v>1</v>
      </c>
      <c r="E203" s="16"/>
      <c r="F203" s="7" t="s">
        <v>151</v>
      </c>
      <c r="G203" s="16" t="s">
        <v>1126</v>
      </c>
      <c r="H203" s="7"/>
      <c r="I203" s="16" t="s">
        <v>384</v>
      </c>
      <c r="J203" s="16" t="s">
        <v>383</v>
      </c>
      <c r="K203" s="16"/>
      <c r="L203" s="16"/>
      <c r="M203" s="16"/>
      <c r="N203" s="16"/>
      <c r="O203" s="12">
        <f>GET_OK_GROUPS_COUNT(tbHeroEnemy[[#This Row],[Camp]],tbHeroEnemy[[#This Row],[Difficulty]],tbHeroEnemy[[#This Row],[IsBoss]],tbHeroEnemy[[#This Row],[Hero1]:[Soldier3]])</f>
        <v>1</v>
      </c>
      <c r="P203" s="7">
        <v>1</v>
      </c>
      <c r="Q203" s="16" t="s">
        <v>410</v>
      </c>
      <c r="R203" s="9" t="s">
        <v>912</v>
      </c>
      <c r="S20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204" spans="2:19">
      <c r="B204" s="16" t="s">
        <v>1040</v>
      </c>
      <c r="C204" s="35" t="s">
        <v>1301</v>
      </c>
      <c r="D204" s="16">
        <v>2</v>
      </c>
      <c r="E204" s="16"/>
      <c r="F204" s="7" t="s">
        <v>151</v>
      </c>
      <c r="G204" s="16" t="s">
        <v>1126</v>
      </c>
      <c r="H204" s="16" t="b">
        <v>1</v>
      </c>
      <c r="I204" s="16" t="s">
        <v>399</v>
      </c>
      <c r="J204" s="16" t="s">
        <v>382</v>
      </c>
      <c r="K204" s="16"/>
      <c r="L204" s="16"/>
      <c r="M204" s="16"/>
      <c r="N204" s="16"/>
      <c r="O204" s="12">
        <f>GET_OK_GROUPS_COUNT(tbHeroEnemy[[#This Row],[Camp]],tbHeroEnemy[[#This Row],[Difficulty]],tbHeroEnemy[[#This Row],[IsBoss]],tbHeroEnemy[[#This Row],[Hero1]:[Soldier3]])</f>
        <v>1</v>
      </c>
      <c r="P204" s="7">
        <v>1</v>
      </c>
      <c r="Q204" s="16" t="s">
        <v>410</v>
      </c>
      <c r="R204" s="9" t="s">
        <v>399</v>
      </c>
      <c r="S204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205" spans="2:19">
      <c r="B205" s="16" t="s">
        <v>1041</v>
      </c>
      <c r="C205" s="35" t="s">
        <v>1301</v>
      </c>
      <c r="D205" s="16">
        <v>1</v>
      </c>
      <c r="E205" s="16"/>
      <c r="F205" s="7" t="s">
        <v>151</v>
      </c>
      <c r="G205" s="16" t="s">
        <v>1125</v>
      </c>
      <c r="H205" s="7"/>
      <c r="I205" s="16" t="s">
        <v>380</v>
      </c>
      <c r="J205" s="16" t="s">
        <v>384</v>
      </c>
      <c r="K205" s="16"/>
      <c r="L205" s="16"/>
      <c r="M205" s="16"/>
      <c r="N205" s="16"/>
      <c r="O205" s="12">
        <f>GET_OK_GROUPS_COUNT(tbHeroEnemy[[#This Row],[Camp]],tbHeroEnemy[[#This Row],[Difficulty]],tbHeroEnemy[[#This Row],[IsBoss]],tbHeroEnemy[[#This Row],[Hero1]:[Soldier3]])</f>
        <v>1</v>
      </c>
      <c r="P205" s="7">
        <v>1</v>
      </c>
      <c r="Q205" s="16" t="s">
        <v>411</v>
      </c>
      <c r="R205" s="9" t="s">
        <v>912</v>
      </c>
      <c r="S205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206" spans="2:19">
      <c r="B206" s="16" t="s">
        <v>1041</v>
      </c>
      <c r="C206" s="35" t="s">
        <v>1301</v>
      </c>
      <c r="D206" s="16">
        <v>2</v>
      </c>
      <c r="E206" s="16"/>
      <c r="F206" s="7" t="s">
        <v>151</v>
      </c>
      <c r="G206" s="16" t="s">
        <v>1125</v>
      </c>
      <c r="H206" s="16" t="b">
        <v>1</v>
      </c>
      <c r="I206" s="16" t="s">
        <v>397</v>
      </c>
      <c r="J206" s="16" t="s">
        <v>382</v>
      </c>
      <c r="K206" s="16"/>
      <c r="L206" s="16"/>
      <c r="M206" s="16"/>
      <c r="N206" s="16"/>
      <c r="O206" s="12">
        <f>GET_OK_GROUPS_COUNT(tbHeroEnemy[[#This Row],[Camp]],tbHeroEnemy[[#This Row],[Difficulty]],tbHeroEnemy[[#This Row],[IsBoss]],tbHeroEnemy[[#This Row],[Hero1]:[Soldier3]])</f>
        <v>1</v>
      </c>
      <c r="P206" s="7">
        <v>1</v>
      </c>
      <c r="Q206" s="16" t="s">
        <v>411</v>
      </c>
      <c r="R206" s="9" t="s">
        <v>397</v>
      </c>
      <c r="S206" s="2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207" spans="2:19">
      <c r="B207" s="16" t="s">
        <v>1042</v>
      </c>
      <c r="C207" s="35" t="s">
        <v>1301</v>
      </c>
      <c r="D207" s="16">
        <v>1</v>
      </c>
      <c r="E207" s="16"/>
      <c r="F207" s="7" t="s">
        <v>151</v>
      </c>
      <c r="G207" s="16" t="s">
        <v>1125</v>
      </c>
      <c r="H207" s="7"/>
      <c r="I207" s="16" t="s">
        <v>383</v>
      </c>
      <c r="J207" s="16" t="s">
        <v>385</v>
      </c>
      <c r="K207" s="16"/>
      <c r="L207" s="16"/>
      <c r="M207" s="16"/>
      <c r="N207" s="16"/>
      <c r="O207" s="12">
        <f>GET_OK_GROUPS_COUNT(tbHeroEnemy[[#This Row],[Camp]],tbHeroEnemy[[#This Row],[Difficulty]],tbHeroEnemy[[#This Row],[IsBoss]],tbHeroEnemy[[#This Row],[Hero1]:[Soldier3]])</f>
        <v>1</v>
      </c>
      <c r="P207" s="7">
        <v>1</v>
      </c>
      <c r="Q207" s="16" t="s">
        <v>411</v>
      </c>
      <c r="R207" s="9" t="s">
        <v>912</v>
      </c>
      <c r="S207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08" spans="2:19">
      <c r="B208" s="16" t="s">
        <v>1042</v>
      </c>
      <c r="C208" s="35" t="s">
        <v>1301</v>
      </c>
      <c r="D208" s="16">
        <v>2</v>
      </c>
      <c r="E208" s="16"/>
      <c r="F208" s="7" t="s">
        <v>151</v>
      </c>
      <c r="G208" s="16" t="s">
        <v>1126</v>
      </c>
      <c r="H208" s="16" t="b">
        <v>1</v>
      </c>
      <c r="I208" s="16" t="s">
        <v>411</v>
      </c>
      <c r="J208" s="16" t="s">
        <v>384</v>
      </c>
      <c r="K208" s="16"/>
      <c r="L208" s="16"/>
      <c r="M208" s="16"/>
      <c r="N208" s="16"/>
      <c r="O208" s="12">
        <f>GET_OK_GROUPS_COUNT(tbHeroEnemy[[#This Row],[Camp]],tbHeroEnemy[[#This Row],[Difficulty]],tbHeroEnemy[[#This Row],[IsBoss]],tbHeroEnemy[[#This Row],[Hero1]:[Soldier3]])</f>
        <v>1</v>
      </c>
      <c r="P208" s="7">
        <v>1</v>
      </c>
      <c r="Q208" s="16" t="s">
        <v>411</v>
      </c>
      <c r="R208" s="9" t="s">
        <v>411</v>
      </c>
      <c r="S208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209" spans="2:19">
      <c r="B209" s="16" t="s">
        <v>1043</v>
      </c>
      <c r="C209" s="35" t="s">
        <v>1301</v>
      </c>
      <c r="D209" s="16">
        <v>1</v>
      </c>
      <c r="E209" s="16"/>
      <c r="F209" s="7" t="s">
        <v>151</v>
      </c>
      <c r="G209" s="16" t="s">
        <v>1126</v>
      </c>
      <c r="H209" s="7"/>
      <c r="I209" s="16" t="s">
        <v>383</v>
      </c>
      <c r="J209" s="16" t="s">
        <v>381</v>
      </c>
      <c r="K209" s="16"/>
      <c r="L209" s="16"/>
      <c r="M209" s="16"/>
      <c r="N209" s="16"/>
      <c r="O209" s="12">
        <f>GET_OK_GROUPS_COUNT(tbHeroEnemy[[#This Row],[Camp]],tbHeroEnemy[[#This Row],[Difficulty]],tbHeroEnemy[[#This Row],[IsBoss]],tbHeroEnemy[[#This Row],[Hero1]:[Soldier3]])</f>
        <v>1</v>
      </c>
      <c r="P209" s="7">
        <v>1</v>
      </c>
      <c r="Q209" s="16" t="s">
        <v>411</v>
      </c>
      <c r="R209" s="9" t="s">
        <v>912</v>
      </c>
      <c r="S20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210" spans="2:19">
      <c r="B210" s="16" t="s">
        <v>1043</v>
      </c>
      <c r="C210" s="35" t="s">
        <v>1301</v>
      </c>
      <c r="D210" s="16">
        <v>2</v>
      </c>
      <c r="E210" s="16"/>
      <c r="F210" s="7" t="s">
        <v>151</v>
      </c>
      <c r="G210" s="16" t="s">
        <v>1126</v>
      </c>
      <c r="H210" s="16" t="b">
        <v>1</v>
      </c>
      <c r="I210" s="16" t="s">
        <v>394</v>
      </c>
      <c r="J210" s="16" t="s">
        <v>382</v>
      </c>
      <c r="K210" s="16"/>
      <c r="L210" s="16"/>
      <c r="M210" s="16"/>
      <c r="N210" s="16"/>
      <c r="O210" s="12">
        <f>GET_OK_GROUPS_COUNT(tbHeroEnemy[[#This Row],[Camp]],tbHeroEnemy[[#This Row],[Difficulty]],tbHeroEnemy[[#This Row],[IsBoss]],tbHeroEnemy[[#This Row],[Hero1]:[Soldier3]])</f>
        <v>1</v>
      </c>
      <c r="P210" s="7">
        <v>1</v>
      </c>
      <c r="Q210" s="16" t="s">
        <v>411</v>
      </c>
      <c r="R210" s="9" t="s">
        <v>394</v>
      </c>
      <c r="S210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211" spans="2:19">
      <c r="B211" s="16" t="s">
        <v>1044</v>
      </c>
      <c r="C211" s="35" t="s">
        <v>1301</v>
      </c>
      <c r="D211" s="16">
        <v>1</v>
      </c>
      <c r="E211" s="16"/>
      <c r="F211" s="7" t="s">
        <v>151</v>
      </c>
      <c r="G211" s="16" t="s">
        <v>1126</v>
      </c>
      <c r="H211" s="7"/>
      <c r="I211" s="16" t="s">
        <v>383</v>
      </c>
      <c r="J211" s="16" t="s">
        <v>380</v>
      </c>
      <c r="K211" s="16"/>
      <c r="L211" s="16"/>
      <c r="M211" s="16"/>
      <c r="N211" s="16"/>
      <c r="O211" s="12">
        <f>GET_OK_GROUPS_COUNT(tbHeroEnemy[[#This Row],[Camp]],tbHeroEnemy[[#This Row],[Difficulty]],tbHeroEnemy[[#This Row],[IsBoss]],tbHeroEnemy[[#This Row],[Hero1]:[Soldier3]])</f>
        <v>1</v>
      </c>
      <c r="P211" s="7">
        <v>1</v>
      </c>
      <c r="Q211" s="16" t="s">
        <v>411</v>
      </c>
      <c r="R211" s="9" t="s">
        <v>912</v>
      </c>
      <c r="S211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212" spans="2:19">
      <c r="B212" s="16" t="s">
        <v>1044</v>
      </c>
      <c r="C212" s="35" t="s">
        <v>1301</v>
      </c>
      <c r="D212" s="16">
        <v>2</v>
      </c>
      <c r="E212" s="16"/>
      <c r="F212" s="7" t="s">
        <v>151</v>
      </c>
      <c r="G212" s="16" t="s">
        <v>1126</v>
      </c>
      <c r="H212" s="16" t="b">
        <v>1</v>
      </c>
      <c r="I212" s="16" t="s">
        <v>432</v>
      </c>
      <c r="J212" s="16" t="s">
        <v>382</v>
      </c>
      <c r="K212" s="16"/>
      <c r="L212" s="16"/>
      <c r="M212" s="16"/>
      <c r="N212" s="16"/>
      <c r="O212" s="12">
        <f>GET_OK_GROUPS_COUNT(tbHeroEnemy[[#This Row],[Camp]],tbHeroEnemy[[#This Row],[Difficulty]],tbHeroEnemy[[#This Row],[IsBoss]],tbHeroEnemy[[#This Row],[Hero1]:[Soldier3]])</f>
        <v>1</v>
      </c>
      <c r="P212" s="7">
        <v>1</v>
      </c>
      <c r="Q212" s="16" t="s">
        <v>411</v>
      </c>
      <c r="R212" s="9" t="s">
        <v>432</v>
      </c>
      <c r="S212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213" spans="2:19">
      <c r="B213" s="16" t="s">
        <v>1045</v>
      </c>
      <c r="C213" s="35" t="s">
        <v>1301</v>
      </c>
      <c r="D213" s="16">
        <v>1</v>
      </c>
      <c r="E213" s="16"/>
      <c r="F213" s="7" t="s">
        <v>151</v>
      </c>
      <c r="G213" s="16" t="s">
        <v>1125</v>
      </c>
      <c r="H213" s="7"/>
      <c r="I213" s="16" t="s">
        <v>384</v>
      </c>
      <c r="J213" s="16" t="s">
        <v>381</v>
      </c>
      <c r="K213" s="16"/>
      <c r="L213" s="16"/>
      <c r="M213" s="16"/>
      <c r="N213" s="16"/>
      <c r="O213" s="12">
        <f>GET_OK_GROUPS_COUNT(tbHeroEnemy[[#This Row],[Camp]],tbHeroEnemy[[#This Row],[Difficulty]],tbHeroEnemy[[#This Row],[IsBoss]],tbHeroEnemy[[#This Row],[Hero1]:[Soldier3]])</f>
        <v>1</v>
      </c>
      <c r="P213" s="7">
        <v>1</v>
      </c>
      <c r="Q213" s="16" t="s">
        <v>412</v>
      </c>
      <c r="R213" s="9" t="s">
        <v>912</v>
      </c>
      <c r="S213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214" spans="2:19">
      <c r="B214" s="16" t="s">
        <v>1045</v>
      </c>
      <c r="C214" s="35" t="s">
        <v>1301</v>
      </c>
      <c r="D214" s="16">
        <v>2</v>
      </c>
      <c r="E214" s="16"/>
      <c r="F214" s="7" t="s">
        <v>151</v>
      </c>
      <c r="G214" s="16" t="s">
        <v>1125</v>
      </c>
      <c r="H214" s="16" t="b">
        <v>1</v>
      </c>
      <c r="I214" s="16" t="s">
        <v>430</v>
      </c>
      <c r="J214" s="16" t="s">
        <v>380</v>
      </c>
      <c r="K214" s="16"/>
      <c r="L214" s="16"/>
      <c r="M214" s="16"/>
      <c r="N214" s="16"/>
      <c r="O214" s="12">
        <f>GET_OK_GROUPS_COUNT(tbHeroEnemy[[#This Row],[Camp]],tbHeroEnemy[[#This Row],[Difficulty]],tbHeroEnemy[[#This Row],[IsBoss]],tbHeroEnemy[[#This Row],[Hero1]:[Soldier3]])</f>
        <v>1</v>
      </c>
      <c r="P214" s="7">
        <v>1</v>
      </c>
      <c r="Q214" s="16" t="s">
        <v>412</v>
      </c>
      <c r="R214" s="9" t="s">
        <v>430</v>
      </c>
      <c r="S214" s="2" t="str">
        <f>GET_OK_GROUP(tbHeroEnemy[[#This Row],[Camp]],tbHeroEnemy[[#This Row],[Difficulty]],tbHeroEnemy[[#This Row],[IsBoss]],tbHeroEnemy[[#This Row],[Hero1]:[Soldier3]],tbHeroEnemy[[#This Row],[GroupID]])</f>
        <v>三国-困难-[B]盾英+法英</v>
      </c>
    </row>
    <row r="215" spans="2:19">
      <c r="B215" s="16" t="s">
        <v>1046</v>
      </c>
      <c r="C215" s="35" t="s">
        <v>1301</v>
      </c>
      <c r="D215" s="16">
        <v>1</v>
      </c>
      <c r="E215" s="16"/>
      <c r="F215" s="7" t="s">
        <v>151</v>
      </c>
      <c r="G215" s="16" t="s">
        <v>1125</v>
      </c>
      <c r="H215" s="7"/>
      <c r="I215" s="16" t="s">
        <v>381</v>
      </c>
      <c r="J215" s="16" t="s">
        <v>385</v>
      </c>
      <c r="K215" s="16"/>
      <c r="L215" s="16"/>
      <c r="M215" s="16"/>
      <c r="N215" s="16"/>
      <c r="O215" s="12">
        <f>GET_OK_GROUPS_COUNT(tbHeroEnemy[[#This Row],[Camp]],tbHeroEnemy[[#This Row],[Difficulty]],tbHeroEnemy[[#This Row],[IsBoss]],tbHeroEnemy[[#This Row],[Hero1]:[Soldier3]])</f>
        <v>1</v>
      </c>
      <c r="P215" s="7">
        <v>1</v>
      </c>
      <c r="Q215" s="16" t="s">
        <v>412</v>
      </c>
      <c r="R215" s="9" t="s">
        <v>912</v>
      </c>
      <c r="S215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216" spans="2:19">
      <c r="B216" s="16" t="s">
        <v>1046</v>
      </c>
      <c r="C216" s="35" t="s">
        <v>1301</v>
      </c>
      <c r="D216" s="16">
        <v>2</v>
      </c>
      <c r="E216" s="16"/>
      <c r="F216" s="7" t="s">
        <v>151</v>
      </c>
      <c r="G216" s="16" t="s">
        <v>1126</v>
      </c>
      <c r="H216" s="16" t="b">
        <v>1</v>
      </c>
      <c r="I216" s="16" t="s">
        <v>402</v>
      </c>
      <c r="J216" s="16" t="s">
        <v>380</v>
      </c>
      <c r="K216" s="16"/>
      <c r="L216" s="16"/>
      <c r="M216" s="16"/>
      <c r="N216" s="16"/>
      <c r="O216" s="12">
        <f>GET_OK_GROUPS_COUNT(tbHeroEnemy[[#This Row],[Camp]],tbHeroEnemy[[#This Row],[Difficulty]],tbHeroEnemy[[#This Row],[IsBoss]],tbHeroEnemy[[#This Row],[Hero1]:[Soldier3]])</f>
        <v>1</v>
      </c>
      <c r="P216" s="7">
        <v>1</v>
      </c>
      <c r="Q216" s="16" t="s">
        <v>412</v>
      </c>
      <c r="R216" s="9" t="s">
        <v>402</v>
      </c>
      <c r="S21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17" spans="2:19">
      <c r="B217" s="16" t="s">
        <v>1047</v>
      </c>
      <c r="C217" s="35" t="s">
        <v>1301</v>
      </c>
      <c r="D217" s="16">
        <v>1</v>
      </c>
      <c r="E217" s="16"/>
      <c r="F217" s="7" t="s">
        <v>151</v>
      </c>
      <c r="G217" s="16" t="s">
        <v>1126</v>
      </c>
      <c r="H217" s="7"/>
      <c r="I217" s="16" t="s">
        <v>381</v>
      </c>
      <c r="J217" s="16" t="s">
        <v>381</v>
      </c>
      <c r="K217" s="16"/>
      <c r="L217" s="16"/>
      <c r="M217" s="16"/>
      <c r="N217" s="16"/>
      <c r="O217" s="12">
        <f>GET_OK_GROUPS_COUNT(tbHeroEnemy[[#This Row],[Camp]],tbHeroEnemy[[#This Row],[Difficulty]],tbHeroEnemy[[#This Row],[IsBoss]],tbHeroEnemy[[#This Row],[Hero1]:[Soldier3]])</f>
        <v>1</v>
      </c>
      <c r="P217" s="7">
        <v>1</v>
      </c>
      <c r="Q217" s="16" t="s">
        <v>412</v>
      </c>
      <c r="R217" s="9" t="s">
        <v>912</v>
      </c>
      <c r="S217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218" spans="2:19">
      <c r="B218" s="16" t="s">
        <v>1047</v>
      </c>
      <c r="C218" s="35" t="s">
        <v>1301</v>
      </c>
      <c r="D218" s="16">
        <v>2</v>
      </c>
      <c r="E218" s="16"/>
      <c r="F218" s="7" t="s">
        <v>151</v>
      </c>
      <c r="G218" s="16" t="s">
        <v>1126</v>
      </c>
      <c r="H218" s="16" t="b">
        <v>1</v>
      </c>
      <c r="I218" s="16" t="s">
        <v>433</v>
      </c>
      <c r="J218" s="16" t="s">
        <v>382</v>
      </c>
      <c r="K218" s="16"/>
      <c r="L218" s="16"/>
      <c r="M218" s="16"/>
      <c r="N218" s="16"/>
      <c r="O218" s="12">
        <f>GET_OK_GROUPS_COUNT(tbHeroEnemy[[#This Row],[Camp]],tbHeroEnemy[[#This Row],[Difficulty]],tbHeroEnemy[[#This Row],[IsBoss]],tbHeroEnemy[[#This Row],[Hero1]:[Soldier3]])</f>
        <v>1</v>
      </c>
      <c r="P218" s="7">
        <v>1</v>
      </c>
      <c r="Q218" s="16" t="s">
        <v>412</v>
      </c>
      <c r="R218" s="9" t="s">
        <v>433</v>
      </c>
      <c r="S218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219" spans="2:19">
      <c r="B219" s="16" t="s">
        <v>1048</v>
      </c>
      <c r="C219" s="35" t="s">
        <v>1301</v>
      </c>
      <c r="D219" s="16">
        <v>1</v>
      </c>
      <c r="E219" s="16"/>
      <c r="F219" s="7" t="s">
        <v>151</v>
      </c>
      <c r="G219" s="16" t="s">
        <v>1126</v>
      </c>
      <c r="H219" s="7"/>
      <c r="I219" s="16" t="s">
        <v>380</v>
      </c>
      <c r="J219" s="16" t="s">
        <v>382</v>
      </c>
      <c r="K219" s="16"/>
      <c r="L219" s="16"/>
      <c r="M219" s="16"/>
      <c r="N219" s="16"/>
      <c r="O219" s="12">
        <f>GET_OK_GROUPS_COUNT(tbHeroEnemy[[#This Row],[Camp]],tbHeroEnemy[[#This Row],[Difficulty]],tbHeroEnemy[[#This Row],[IsBoss]],tbHeroEnemy[[#This Row],[Hero1]:[Soldier3]])</f>
        <v>1</v>
      </c>
      <c r="P219" s="7">
        <v>1</v>
      </c>
      <c r="Q219" s="16" t="s">
        <v>412</v>
      </c>
      <c r="R219" s="9" t="s">
        <v>912</v>
      </c>
      <c r="S219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220" spans="2:19">
      <c r="B220" s="16" t="s">
        <v>1048</v>
      </c>
      <c r="C220" s="35" t="s">
        <v>1301</v>
      </c>
      <c r="D220" s="16">
        <v>2</v>
      </c>
      <c r="E220" s="16"/>
      <c r="F220" s="7" t="s">
        <v>151</v>
      </c>
      <c r="G220" s="16" t="s">
        <v>1126</v>
      </c>
      <c r="H220" s="16" t="b">
        <v>1</v>
      </c>
      <c r="I220" s="16" t="s">
        <v>433</v>
      </c>
      <c r="J220" s="16" t="s">
        <v>383</v>
      </c>
      <c r="K220" s="16"/>
      <c r="L220" s="16"/>
      <c r="M220" s="16"/>
      <c r="N220" s="16"/>
      <c r="O220" s="12">
        <f>GET_OK_GROUPS_COUNT(tbHeroEnemy[[#This Row],[Camp]],tbHeroEnemy[[#This Row],[Difficulty]],tbHeroEnemy[[#This Row],[IsBoss]],tbHeroEnemy[[#This Row],[Hero1]:[Soldier3]])</f>
        <v>1</v>
      </c>
      <c r="P220" s="7">
        <v>1</v>
      </c>
      <c r="Q220" s="16" t="s">
        <v>412</v>
      </c>
      <c r="R220" s="9" t="s">
        <v>433</v>
      </c>
      <c r="S220" s="2" t="str">
        <f>GET_OK_GROUP(tbHeroEnemy[[#This Row],[Camp]],tbHeroEnemy[[#This Row],[Difficulty]],tbHeroEnemy[[#This Row],[IsBoss]],tbHeroEnemy[[#This Row],[Hero1]:[Soldier3]],tbHeroEnemy[[#This Row],[GroupID]])</f>
        <v>三国-超难-[B]炼英+炼英</v>
      </c>
    </row>
    <row r="221" spans="2:19">
      <c r="B221" s="16" t="s">
        <v>1049</v>
      </c>
      <c r="C221" s="35" t="s">
        <v>1301</v>
      </c>
      <c r="D221" s="16">
        <v>1</v>
      </c>
      <c r="E221" s="16"/>
      <c r="F221" s="7" t="s">
        <v>151</v>
      </c>
      <c r="G221" s="16" t="s">
        <v>1125</v>
      </c>
      <c r="H221" s="7"/>
      <c r="I221" s="16" t="s">
        <v>382</v>
      </c>
      <c r="J221" s="16" t="s">
        <v>380</v>
      </c>
      <c r="K221" s="16"/>
      <c r="L221" s="16"/>
      <c r="M221" s="16"/>
      <c r="N221" s="16"/>
      <c r="O221" s="12">
        <f>GET_OK_GROUPS_COUNT(tbHeroEnemy[[#This Row],[Camp]],tbHeroEnemy[[#This Row],[Difficulty]],tbHeroEnemy[[#This Row],[IsBoss]],tbHeroEnemy[[#This Row],[Hero1]:[Soldier3]])</f>
        <v>1</v>
      </c>
      <c r="P221" s="7">
        <v>1</v>
      </c>
      <c r="Q221" s="16" t="s">
        <v>413</v>
      </c>
      <c r="R221" s="9" t="s">
        <v>912</v>
      </c>
      <c r="S221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222" spans="2:19">
      <c r="B222" s="16" t="s">
        <v>1049</v>
      </c>
      <c r="C222" s="35" t="s">
        <v>1301</v>
      </c>
      <c r="D222" s="16">
        <v>2</v>
      </c>
      <c r="E222" s="16"/>
      <c r="F222" s="7" t="s">
        <v>151</v>
      </c>
      <c r="G222" s="16" t="s">
        <v>1125</v>
      </c>
      <c r="H222" s="16" t="b">
        <v>1</v>
      </c>
      <c r="I222" s="16" t="s">
        <v>416</v>
      </c>
      <c r="J222" s="16" t="s">
        <v>384</v>
      </c>
      <c r="K222" s="16"/>
      <c r="L222" s="16"/>
      <c r="M222" s="16"/>
      <c r="N222" s="16"/>
      <c r="O222" s="12">
        <f>GET_OK_GROUPS_COUNT(tbHeroEnemy[[#This Row],[Camp]],tbHeroEnemy[[#This Row],[Difficulty]],tbHeroEnemy[[#This Row],[IsBoss]],tbHeroEnemy[[#This Row],[Hero1]:[Soldier3]])</f>
        <v>1</v>
      </c>
      <c r="P222" s="7">
        <v>1</v>
      </c>
      <c r="Q222" s="16" t="s">
        <v>413</v>
      </c>
      <c r="R222" s="9" t="s">
        <v>416</v>
      </c>
      <c r="S222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223" spans="2:19">
      <c r="B223" s="16" t="s">
        <v>1050</v>
      </c>
      <c r="C223" s="35" t="s">
        <v>1301</v>
      </c>
      <c r="D223" s="16">
        <v>1</v>
      </c>
      <c r="E223" s="16"/>
      <c r="F223" s="7" t="s">
        <v>151</v>
      </c>
      <c r="G223" s="16" t="s">
        <v>1125</v>
      </c>
      <c r="H223" s="7"/>
      <c r="I223" s="16" t="s">
        <v>382</v>
      </c>
      <c r="J223" s="16" t="s">
        <v>385</v>
      </c>
      <c r="K223" s="16"/>
      <c r="L223" s="16"/>
      <c r="M223" s="16"/>
      <c r="N223" s="16"/>
      <c r="O223" s="12">
        <f>GET_OK_GROUPS_COUNT(tbHeroEnemy[[#This Row],[Camp]],tbHeroEnemy[[#This Row],[Difficulty]],tbHeroEnemy[[#This Row],[IsBoss]],tbHeroEnemy[[#This Row],[Hero1]:[Soldier3]])</f>
        <v>1</v>
      </c>
      <c r="P223" s="7">
        <v>1</v>
      </c>
      <c r="Q223" s="16" t="s">
        <v>413</v>
      </c>
      <c r="R223" s="9" t="s">
        <v>912</v>
      </c>
      <c r="S223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224" spans="2:19">
      <c r="B224" s="16" t="s">
        <v>1050</v>
      </c>
      <c r="C224" s="35" t="s">
        <v>1301</v>
      </c>
      <c r="D224" s="16">
        <v>2</v>
      </c>
      <c r="E224" s="16"/>
      <c r="F224" s="7" t="s">
        <v>151</v>
      </c>
      <c r="G224" s="16" t="s">
        <v>1126</v>
      </c>
      <c r="H224" s="16" t="b">
        <v>1</v>
      </c>
      <c r="I224" s="16" t="s">
        <v>407</v>
      </c>
      <c r="J224" s="16" t="s">
        <v>385</v>
      </c>
      <c r="K224" s="16"/>
      <c r="L224" s="16"/>
      <c r="M224" s="16"/>
      <c r="N224" s="16"/>
      <c r="O224" s="12">
        <f>GET_OK_GROUPS_COUNT(tbHeroEnemy[[#This Row],[Camp]],tbHeroEnemy[[#This Row],[Difficulty]],tbHeroEnemy[[#This Row],[IsBoss]],tbHeroEnemy[[#This Row],[Hero1]:[Soldier3]])</f>
        <v>1</v>
      </c>
      <c r="P224" s="7">
        <v>1</v>
      </c>
      <c r="Q224" s="16" t="s">
        <v>413</v>
      </c>
      <c r="R224" s="9" t="s">
        <v>407</v>
      </c>
      <c r="S224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25" spans="2:19">
      <c r="B225" s="16" t="s">
        <v>1051</v>
      </c>
      <c r="C225" s="35" t="s">
        <v>1301</v>
      </c>
      <c r="D225" s="16">
        <v>1</v>
      </c>
      <c r="E225" s="16"/>
      <c r="F225" s="7" t="s">
        <v>151</v>
      </c>
      <c r="G225" s="16" t="s">
        <v>1126</v>
      </c>
      <c r="H225" s="7"/>
      <c r="I225" s="16" t="s">
        <v>385</v>
      </c>
      <c r="J225" s="16" t="s">
        <v>380</v>
      </c>
      <c r="K225" s="16"/>
      <c r="L225" s="16"/>
      <c r="M225" s="16"/>
      <c r="N225" s="16"/>
      <c r="O225" s="12">
        <f>GET_OK_GROUPS_COUNT(tbHeroEnemy[[#This Row],[Camp]],tbHeroEnemy[[#This Row],[Difficulty]],tbHeroEnemy[[#This Row],[IsBoss]],tbHeroEnemy[[#This Row],[Hero1]:[Soldier3]])</f>
        <v>1</v>
      </c>
      <c r="P225" s="7">
        <v>1</v>
      </c>
      <c r="Q225" s="16" t="s">
        <v>413</v>
      </c>
      <c r="R225" s="9" t="s">
        <v>912</v>
      </c>
      <c r="S22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26" spans="2:19">
      <c r="B226" s="16" t="s">
        <v>1051</v>
      </c>
      <c r="C226" s="35" t="s">
        <v>1301</v>
      </c>
      <c r="D226" s="16">
        <v>2</v>
      </c>
      <c r="E226" s="16"/>
      <c r="F226" s="7" t="s">
        <v>151</v>
      </c>
      <c r="G226" s="16" t="s">
        <v>1126</v>
      </c>
      <c r="H226" s="16" t="b">
        <v>1</v>
      </c>
      <c r="I226" s="16" t="s">
        <v>390</v>
      </c>
      <c r="J226" s="16" t="s">
        <v>383</v>
      </c>
      <c r="K226" s="16"/>
      <c r="L226" s="16"/>
      <c r="M226" s="16"/>
      <c r="N226" s="16"/>
      <c r="O226" s="12">
        <f>GET_OK_GROUPS_COUNT(tbHeroEnemy[[#This Row],[Camp]],tbHeroEnemy[[#This Row],[Difficulty]],tbHeroEnemy[[#This Row],[IsBoss]],tbHeroEnemy[[#This Row],[Hero1]:[Soldier3]])</f>
        <v>1</v>
      </c>
      <c r="P226" s="7">
        <v>1</v>
      </c>
      <c r="Q226" s="16" t="s">
        <v>413</v>
      </c>
      <c r="R226" s="9" t="s">
        <v>390</v>
      </c>
      <c r="S226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27" spans="2:19">
      <c r="B227" s="16" t="s">
        <v>1052</v>
      </c>
      <c r="C227" s="35" t="s">
        <v>1301</v>
      </c>
      <c r="D227" s="16">
        <v>1</v>
      </c>
      <c r="E227" s="16"/>
      <c r="F227" s="7" t="s">
        <v>151</v>
      </c>
      <c r="G227" s="16" t="s">
        <v>1126</v>
      </c>
      <c r="H227" s="7"/>
      <c r="I227" s="16" t="s">
        <v>385</v>
      </c>
      <c r="J227" s="16" t="s">
        <v>383</v>
      </c>
      <c r="K227" s="16"/>
      <c r="L227" s="16"/>
      <c r="M227" s="16"/>
      <c r="N227" s="16"/>
      <c r="O227" s="12">
        <f>GET_OK_GROUPS_COUNT(tbHeroEnemy[[#This Row],[Camp]],tbHeroEnemy[[#This Row],[Difficulty]],tbHeroEnemy[[#This Row],[IsBoss]],tbHeroEnemy[[#This Row],[Hero1]:[Soldier3]])</f>
        <v>1</v>
      </c>
      <c r="P227" s="7">
        <v>1</v>
      </c>
      <c r="Q227" s="16" t="s">
        <v>413</v>
      </c>
      <c r="R227" s="9" t="s">
        <v>912</v>
      </c>
      <c r="S227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228" spans="2:19">
      <c r="B228" s="16" t="s">
        <v>1052</v>
      </c>
      <c r="C228" s="35" t="s">
        <v>1301</v>
      </c>
      <c r="D228" s="16">
        <v>2</v>
      </c>
      <c r="E228" s="16"/>
      <c r="F228" s="7" t="s">
        <v>151</v>
      </c>
      <c r="G228" s="16" t="s">
        <v>1126</v>
      </c>
      <c r="H228" s="16" t="b">
        <v>1</v>
      </c>
      <c r="I228" s="16" t="s">
        <v>399</v>
      </c>
      <c r="J228" s="16" t="s">
        <v>382</v>
      </c>
      <c r="K228" s="16"/>
      <c r="L228" s="16"/>
      <c r="M228" s="16"/>
      <c r="N228" s="16"/>
      <c r="O228" s="12">
        <f>GET_OK_GROUPS_COUNT(tbHeroEnemy[[#This Row],[Camp]],tbHeroEnemy[[#This Row],[Difficulty]],tbHeroEnemy[[#This Row],[IsBoss]],tbHeroEnemy[[#This Row],[Hero1]:[Soldier3]])</f>
        <v>1</v>
      </c>
      <c r="P228" s="7">
        <v>1</v>
      </c>
      <c r="Q228" s="16" t="s">
        <v>413</v>
      </c>
      <c r="R228" s="9" t="s">
        <v>399</v>
      </c>
      <c r="S228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229" spans="2:19">
      <c r="B229" s="16" t="s">
        <v>1053</v>
      </c>
      <c r="C229" s="35" t="s">
        <v>1301</v>
      </c>
      <c r="D229" s="16">
        <v>1</v>
      </c>
      <c r="E229" s="16"/>
      <c r="F229" s="7" t="s">
        <v>151</v>
      </c>
      <c r="G229" s="16" t="s">
        <v>1125</v>
      </c>
      <c r="H229" s="7"/>
      <c r="I229" s="16" t="s">
        <v>381</v>
      </c>
      <c r="J229" s="16" t="s">
        <v>382</v>
      </c>
      <c r="K229" s="16"/>
      <c r="L229" s="16"/>
      <c r="M229" s="16"/>
      <c r="N229" s="16"/>
      <c r="O229" s="12">
        <f>GET_OK_GROUPS_COUNT(tbHeroEnemy[[#This Row],[Camp]],tbHeroEnemy[[#This Row],[Difficulty]],tbHeroEnemy[[#This Row],[IsBoss]],tbHeroEnemy[[#This Row],[Hero1]:[Soldier3]])</f>
        <v>1</v>
      </c>
      <c r="P229" s="7">
        <v>1</v>
      </c>
      <c r="Q229" s="16" t="s">
        <v>414</v>
      </c>
      <c r="R229" s="9" t="s">
        <v>912</v>
      </c>
      <c r="S229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30" spans="2:19">
      <c r="B230" s="16" t="s">
        <v>1053</v>
      </c>
      <c r="C230" s="35" t="s">
        <v>1301</v>
      </c>
      <c r="D230" s="16">
        <v>2</v>
      </c>
      <c r="E230" s="16"/>
      <c r="F230" s="7" t="s">
        <v>151</v>
      </c>
      <c r="G230" s="16" t="s">
        <v>1125</v>
      </c>
      <c r="H230" s="16" t="b">
        <v>1</v>
      </c>
      <c r="I230" s="16" t="s">
        <v>422</v>
      </c>
      <c r="J230" s="16" t="s">
        <v>383</v>
      </c>
      <c r="K230" s="16"/>
      <c r="L230" s="16"/>
      <c r="M230" s="16"/>
      <c r="N230" s="16"/>
      <c r="O230" s="12">
        <f>GET_OK_GROUPS_COUNT(tbHeroEnemy[[#This Row],[Camp]],tbHeroEnemy[[#This Row],[Difficulty]],tbHeroEnemy[[#This Row],[IsBoss]],tbHeroEnemy[[#This Row],[Hero1]:[Soldier3]])</f>
        <v>1</v>
      </c>
      <c r="P230" s="7">
        <v>1</v>
      </c>
      <c r="Q230" s="16" t="s">
        <v>414</v>
      </c>
      <c r="R230" s="9" t="s">
        <v>422</v>
      </c>
      <c r="S230" s="2" t="str">
        <f>GET_OK_GROUP(tbHeroEnemy[[#This Row],[Camp]],tbHeroEnemy[[#This Row],[Difficulty]],tbHeroEnemy[[#This Row],[IsBoss]],tbHeroEnemy[[#This Row],[Hero1]:[Soldier3]],tbHeroEnemy[[#This Row],[GroupID]])</f>
        <v>三国-困难-[B]盾英+炼英</v>
      </c>
    </row>
    <row r="231" spans="2:19">
      <c r="B231" s="16" t="s">
        <v>1054</v>
      </c>
      <c r="C231" s="35" t="s">
        <v>1301</v>
      </c>
      <c r="D231" s="16">
        <v>1</v>
      </c>
      <c r="E231" s="16"/>
      <c r="F231" s="7" t="s">
        <v>151</v>
      </c>
      <c r="G231" s="16" t="s">
        <v>1125</v>
      </c>
      <c r="H231" s="7"/>
      <c r="I231" s="16" t="s">
        <v>380</v>
      </c>
      <c r="J231" s="16" t="s">
        <v>383</v>
      </c>
      <c r="K231" s="16"/>
      <c r="L231" s="16"/>
      <c r="M231" s="16"/>
      <c r="N231" s="16"/>
      <c r="O231" s="12">
        <f>GET_OK_GROUPS_COUNT(tbHeroEnemy[[#This Row],[Camp]],tbHeroEnemy[[#This Row],[Difficulty]],tbHeroEnemy[[#This Row],[IsBoss]],tbHeroEnemy[[#This Row],[Hero1]:[Soldier3]])</f>
        <v>1</v>
      </c>
      <c r="P231" s="7">
        <v>1</v>
      </c>
      <c r="Q231" s="16" t="s">
        <v>414</v>
      </c>
      <c r="R231" s="9" t="s">
        <v>912</v>
      </c>
      <c r="S231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32" spans="2:19">
      <c r="B232" s="16" t="s">
        <v>1054</v>
      </c>
      <c r="C232" s="35" t="s">
        <v>1301</v>
      </c>
      <c r="D232" s="16">
        <v>2</v>
      </c>
      <c r="E232" s="16"/>
      <c r="F232" s="7" t="s">
        <v>151</v>
      </c>
      <c r="G232" s="16" t="s">
        <v>1126</v>
      </c>
      <c r="H232" s="16" t="b">
        <v>1</v>
      </c>
      <c r="I232" s="16" t="s">
        <v>395</v>
      </c>
      <c r="J232" s="16" t="s">
        <v>381</v>
      </c>
      <c r="K232" s="16"/>
      <c r="L232" s="16"/>
      <c r="M232" s="16"/>
      <c r="N232" s="16"/>
      <c r="O232" s="12">
        <f>GET_OK_GROUPS_COUNT(tbHeroEnemy[[#This Row],[Camp]],tbHeroEnemy[[#This Row],[Difficulty]],tbHeroEnemy[[#This Row],[IsBoss]],tbHeroEnemy[[#This Row],[Hero1]:[Soldier3]])</f>
        <v>1</v>
      </c>
      <c r="P232" s="7">
        <v>1</v>
      </c>
      <c r="Q232" s="16" t="s">
        <v>414</v>
      </c>
      <c r="R232" s="9" t="s">
        <v>395</v>
      </c>
      <c r="S232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233" spans="2:19">
      <c r="B233" s="16" t="s">
        <v>1055</v>
      </c>
      <c r="C233" s="35" t="s">
        <v>1301</v>
      </c>
      <c r="D233" s="16">
        <v>1</v>
      </c>
      <c r="E233" s="16"/>
      <c r="F233" s="7" t="s">
        <v>151</v>
      </c>
      <c r="G233" s="16" t="s">
        <v>1126</v>
      </c>
      <c r="H233" s="7"/>
      <c r="I233" s="16" t="s">
        <v>383</v>
      </c>
      <c r="J233" s="16" t="s">
        <v>383</v>
      </c>
      <c r="K233" s="16"/>
      <c r="L233" s="16"/>
      <c r="M233" s="16"/>
      <c r="N233" s="16"/>
      <c r="O233" s="12">
        <f>GET_OK_GROUPS_COUNT(tbHeroEnemy[[#This Row],[Camp]],tbHeroEnemy[[#This Row],[Difficulty]],tbHeroEnemy[[#This Row],[IsBoss]],tbHeroEnemy[[#This Row],[Hero1]:[Soldier3]])</f>
        <v>1</v>
      </c>
      <c r="P233" s="7">
        <v>1</v>
      </c>
      <c r="Q233" s="16" t="s">
        <v>414</v>
      </c>
      <c r="R233" s="9" t="s">
        <v>912</v>
      </c>
      <c r="S233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234" spans="2:19">
      <c r="B234" s="16" t="s">
        <v>1055</v>
      </c>
      <c r="C234" s="35" t="s">
        <v>1301</v>
      </c>
      <c r="D234" s="16">
        <v>2</v>
      </c>
      <c r="E234" s="16"/>
      <c r="F234" s="7" t="s">
        <v>151</v>
      </c>
      <c r="G234" s="16" t="s">
        <v>1126</v>
      </c>
      <c r="H234" s="16" t="b">
        <v>1</v>
      </c>
      <c r="I234" s="16" t="s">
        <v>414</v>
      </c>
      <c r="J234" s="16" t="s">
        <v>380</v>
      </c>
      <c r="K234" s="16"/>
      <c r="L234" s="16"/>
      <c r="M234" s="16"/>
      <c r="N234" s="16"/>
      <c r="O234" s="12">
        <f>GET_OK_GROUPS_COUNT(tbHeroEnemy[[#This Row],[Camp]],tbHeroEnemy[[#This Row],[Difficulty]],tbHeroEnemy[[#This Row],[IsBoss]],tbHeroEnemy[[#This Row],[Hero1]:[Soldier3]])</f>
        <v>1</v>
      </c>
      <c r="P234" s="7">
        <v>1</v>
      </c>
      <c r="Q234" s="16" t="s">
        <v>414</v>
      </c>
      <c r="R234" s="9" t="s">
        <v>414</v>
      </c>
      <c r="S234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35" spans="2:19">
      <c r="B235" s="16" t="s">
        <v>1056</v>
      </c>
      <c r="C235" s="35" t="s">
        <v>1301</v>
      </c>
      <c r="D235" s="16">
        <v>1</v>
      </c>
      <c r="E235" s="16"/>
      <c r="F235" s="7" t="s">
        <v>151</v>
      </c>
      <c r="G235" s="16" t="s">
        <v>1126</v>
      </c>
      <c r="H235" s="7"/>
      <c r="I235" s="16" t="s">
        <v>380</v>
      </c>
      <c r="J235" s="16" t="s">
        <v>385</v>
      </c>
      <c r="K235" s="16"/>
      <c r="L235" s="16"/>
      <c r="M235" s="16"/>
      <c r="N235" s="16"/>
      <c r="O235" s="12">
        <f>GET_OK_GROUPS_COUNT(tbHeroEnemy[[#This Row],[Camp]],tbHeroEnemy[[#This Row],[Difficulty]],tbHeroEnemy[[#This Row],[IsBoss]],tbHeroEnemy[[#This Row],[Hero1]:[Soldier3]])</f>
        <v>1</v>
      </c>
      <c r="P235" s="7">
        <v>1</v>
      </c>
      <c r="Q235" s="16" t="s">
        <v>414</v>
      </c>
      <c r="R235" s="9" t="s">
        <v>912</v>
      </c>
      <c r="S23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36" spans="2:19">
      <c r="B236" s="16" t="s">
        <v>1056</v>
      </c>
      <c r="C236" s="35" t="s">
        <v>1301</v>
      </c>
      <c r="D236" s="16">
        <v>2</v>
      </c>
      <c r="E236" s="16"/>
      <c r="F236" s="7" t="s">
        <v>151</v>
      </c>
      <c r="G236" s="16" t="s">
        <v>1126</v>
      </c>
      <c r="H236" s="16" t="b">
        <v>1</v>
      </c>
      <c r="I236" s="16" t="s">
        <v>408</v>
      </c>
      <c r="J236" s="16" t="s">
        <v>383</v>
      </c>
      <c r="K236" s="16"/>
      <c r="L236" s="16"/>
      <c r="M236" s="16"/>
      <c r="N236" s="16"/>
      <c r="O236" s="12">
        <f>GET_OK_GROUPS_COUNT(tbHeroEnemy[[#This Row],[Camp]],tbHeroEnemy[[#This Row],[Difficulty]],tbHeroEnemy[[#This Row],[IsBoss]],tbHeroEnemy[[#This Row],[Hero1]:[Soldier3]])</f>
        <v>1</v>
      </c>
      <c r="P236" s="7">
        <v>1</v>
      </c>
      <c r="Q236" s="16" t="s">
        <v>414</v>
      </c>
      <c r="R236" s="9" t="s">
        <v>408</v>
      </c>
      <c r="S23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37" spans="2:19">
      <c r="B237" s="16" t="s">
        <v>1246</v>
      </c>
      <c r="C237" s="35" t="s">
        <v>1301</v>
      </c>
      <c r="D237" s="16">
        <v>1</v>
      </c>
      <c r="E237" s="16"/>
      <c r="F237" s="7" t="s">
        <v>151</v>
      </c>
      <c r="G237" s="16" t="s">
        <v>1125</v>
      </c>
      <c r="H237" s="7"/>
      <c r="I237" s="16" t="s">
        <v>383</v>
      </c>
      <c r="J237" s="16" t="s">
        <v>380</v>
      </c>
      <c r="K237" s="16"/>
      <c r="L237" s="16"/>
      <c r="M237" s="16"/>
      <c r="N237" s="16"/>
      <c r="O237" s="12">
        <f>GET_OK_GROUPS_COUNT(tbHeroEnemy[[#This Row],[Camp]],tbHeroEnemy[[#This Row],[Difficulty]],tbHeroEnemy[[#This Row],[IsBoss]],tbHeroEnemy[[#This Row],[Hero1]:[Soldier3]])</f>
        <v>1</v>
      </c>
      <c r="P237" s="7">
        <v>1</v>
      </c>
      <c r="Q237" s="16" t="s">
        <v>415</v>
      </c>
      <c r="R237" s="9" t="s">
        <v>912</v>
      </c>
      <c r="S237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38" spans="2:19">
      <c r="B238" s="16" t="s">
        <v>1246</v>
      </c>
      <c r="C238" s="35" t="s">
        <v>1301</v>
      </c>
      <c r="D238" s="16">
        <v>2</v>
      </c>
      <c r="E238" s="16"/>
      <c r="F238" s="7" t="s">
        <v>151</v>
      </c>
      <c r="G238" s="16" t="s">
        <v>1125</v>
      </c>
      <c r="H238" s="16" t="b">
        <v>1</v>
      </c>
      <c r="I238" s="16" t="s">
        <v>416</v>
      </c>
      <c r="J238" s="16" t="s">
        <v>381</v>
      </c>
      <c r="K238" s="16"/>
      <c r="L238" s="16"/>
      <c r="M238" s="16"/>
      <c r="N238" s="16"/>
      <c r="O238" s="12">
        <f>GET_OK_GROUPS_COUNT(tbHeroEnemy[[#This Row],[Camp]],tbHeroEnemy[[#This Row],[Difficulty]],tbHeroEnemy[[#This Row],[IsBoss]],tbHeroEnemy[[#This Row],[Hero1]:[Soldier3]])</f>
        <v>1</v>
      </c>
      <c r="P238" s="7">
        <v>1</v>
      </c>
      <c r="Q238" s="16" t="s">
        <v>415</v>
      </c>
      <c r="R238" s="9" t="s">
        <v>416</v>
      </c>
      <c r="S238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239" spans="2:19">
      <c r="B239" s="16" t="s">
        <v>1247</v>
      </c>
      <c r="C239" s="35" t="s">
        <v>1301</v>
      </c>
      <c r="D239" s="16">
        <v>1</v>
      </c>
      <c r="E239" s="16"/>
      <c r="F239" s="7" t="s">
        <v>151</v>
      </c>
      <c r="G239" s="16" t="s">
        <v>1125</v>
      </c>
      <c r="H239" s="7"/>
      <c r="I239" s="16" t="s">
        <v>385</v>
      </c>
      <c r="J239" s="16" t="s">
        <v>383</v>
      </c>
      <c r="K239" s="16"/>
      <c r="L239" s="16"/>
      <c r="M239" s="16"/>
      <c r="N239" s="16"/>
      <c r="O239" s="12">
        <f>GET_OK_GROUPS_COUNT(tbHeroEnemy[[#This Row],[Camp]],tbHeroEnemy[[#This Row],[Difficulty]],tbHeroEnemy[[#This Row],[IsBoss]],tbHeroEnemy[[#This Row],[Hero1]:[Soldier3]])</f>
        <v>1</v>
      </c>
      <c r="P239" s="7">
        <v>1</v>
      </c>
      <c r="Q239" s="16" t="s">
        <v>415</v>
      </c>
      <c r="R239" s="9" t="s">
        <v>912</v>
      </c>
      <c r="S239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40" spans="2:19">
      <c r="B240" s="16" t="s">
        <v>1247</v>
      </c>
      <c r="C240" s="35" t="s">
        <v>1301</v>
      </c>
      <c r="D240" s="16">
        <v>2</v>
      </c>
      <c r="E240" s="16"/>
      <c r="F240" s="7" t="s">
        <v>151</v>
      </c>
      <c r="G240" s="16" t="s">
        <v>1126</v>
      </c>
      <c r="H240" s="16" t="b">
        <v>1</v>
      </c>
      <c r="I240" s="16" t="s">
        <v>425</v>
      </c>
      <c r="J240" s="16" t="s">
        <v>380</v>
      </c>
      <c r="K240" s="16"/>
      <c r="L240" s="16"/>
      <c r="M240" s="16"/>
      <c r="N240" s="16"/>
      <c r="O240" s="12">
        <f>GET_OK_GROUPS_COUNT(tbHeroEnemy[[#This Row],[Camp]],tbHeroEnemy[[#This Row],[Difficulty]],tbHeroEnemy[[#This Row],[IsBoss]],tbHeroEnemy[[#This Row],[Hero1]:[Soldier3]])</f>
        <v>1</v>
      </c>
      <c r="P240" s="7">
        <v>1</v>
      </c>
      <c r="Q240" s="16" t="s">
        <v>415</v>
      </c>
      <c r="R240" s="9" t="s">
        <v>425</v>
      </c>
      <c r="S240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41" spans="2:19">
      <c r="B241" s="16" t="s">
        <v>1248</v>
      </c>
      <c r="C241" s="35" t="s">
        <v>1301</v>
      </c>
      <c r="D241" s="16">
        <v>1</v>
      </c>
      <c r="E241" s="16"/>
      <c r="F241" s="7" t="s">
        <v>151</v>
      </c>
      <c r="G241" s="16" t="s">
        <v>1126</v>
      </c>
      <c r="H241" s="7"/>
      <c r="I241" s="16" t="s">
        <v>383</v>
      </c>
      <c r="J241" s="16" t="s">
        <v>385</v>
      </c>
      <c r="K241" s="16"/>
      <c r="L241" s="16"/>
      <c r="M241" s="16"/>
      <c r="N241" s="16"/>
      <c r="O241" s="12">
        <f>GET_OK_GROUPS_COUNT(tbHeroEnemy[[#This Row],[Camp]],tbHeroEnemy[[#This Row],[Difficulty]],tbHeroEnemy[[#This Row],[IsBoss]],tbHeroEnemy[[#This Row],[Hero1]:[Soldier3]])</f>
        <v>1</v>
      </c>
      <c r="P241" s="7">
        <v>1</v>
      </c>
      <c r="Q241" s="16" t="s">
        <v>415</v>
      </c>
      <c r="R241" s="9" t="s">
        <v>912</v>
      </c>
      <c r="S241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242" spans="2:19">
      <c r="B242" s="16" t="s">
        <v>1248</v>
      </c>
      <c r="C242" s="35" t="s">
        <v>1301</v>
      </c>
      <c r="D242" s="16">
        <v>2</v>
      </c>
      <c r="E242" s="16"/>
      <c r="F242" s="7" t="s">
        <v>151</v>
      </c>
      <c r="G242" s="16" t="s">
        <v>1126</v>
      </c>
      <c r="H242" s="16" t="b">
        <v>1</v>
      </c>
      <c r="I242" s="16" t="s">
        <v>420</v>
      </c>
      <c r="J242" s="16" t="s">
        <v>384</v>
      </c>
      <c r="K242" s="16"/>
      <c r="L242" s="16"/>
      <c r="M242" s="16"/>
      <c r="N242" s="16"/>
      <c r="O242" s="12">
        <f>GET_OK_GROUPS_COUNT(tbHeroEnemy[[#This Row],[Camp]],tbHeroEnemy[[#This Row],[Difficulty]],tbHeroEnemy[[#This Row],[IsBoss]],tbHeroEnemy[[#This Row],[Hero1]:[Soldier3]])</f>
        <v>1</v>
      </c>
      <c r="P242" s="7">
        <v>1</v>
      </c>
      <c r="Q242" s="16" t="s">
        <v>415</v>
      </c>
      <c r="R242" s="9" t="s">
        <v>420</v>
      </c>
      <c r="S242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243" spans="2:19">
      <c r="B243" s="16" t="s">
        <v>1249</v>
      </c>
      <c r="C243" s="35" t="s">
        <v>1301</v>
      </c>
      <c r="D243" s="16">
        <v>1</v>
      </c>
      <c r="E243" s="16"/>
      <c r="F243" s="7" t="s">
        <v>151</v>
      </c>
      <c r="G243" s="16" t="s">
        <v>1126</v>
      </c>
      <c r="H243" s="7"/>
      <c r="I243" s="16" t="s">
        <v>383</v>
      </c>
      <c r="J243" s="16" t="s">
        <v>380</v>
      </c>
      <c r="K243" s="16"/>
      <c r="L243" s="16"/>
      <c r="M243" s="16"/>
      <c r="N243" s="16"/>
      <c r="O243" s="12">
        <f>GET_OK_GROUPS_COUNT(tbHeroEnemy[[#This Row],[Camp]],tbHeroEnemy[[#This Row],[Difficulty]],tbHeroEnemy[[#This Row],[IsBoss]],tbHeroEnemy[[#This Row],[Hero1]:[Soldier3]])</f>
        <v>1</v>
      </c>
      <c r="P243" s="7">
        <v>1</v>
      </c>
      <c r="Q243" s="16" t="s">
        <v>415</v>
      </c>
      <c r="R243" s="9" t="s">
        <v>912</v>
      </c>
      <c r="S243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244" spans="2:19">
      <c r="B244" s="16" t="s">
        <v>1249</v>
      </c>
      <c r="C244" s="35" t="s">
        <v>1301</v>
      </c>
      <c r="D244" s="16">
        <v>2</v>
      </c>
      <c r="E244" s="16"/>
      <c r="F244" s="7" t="s">
        <v>151</v>
      </c>
      <c r="G244" s="16" t="s">
        <v>1126</v>
      </c>
      <c r="H244" s="16" t="b">
        <v>1</v>
      </c>
      <c r="I244" s="16" t="s">
        <v>404</v>
      </c>
      <c r="J244" s="16" t="s">
        <v>382</v>
      </c>
      <c r="K244" s="16"/>
      <c r="L244" s="16"/>
      <c r="M244" s="16"/>
      <c r="N244" s="16"/>
      <c r="O244" s="12">
        <f>GET_OK_GROUPS_COUNT(tbHeroEnemy[[#This Row],[Camp]],tbHeroEnemy[[#This Row],[Difficulty]],tbHeroEnemy[[#This Row],[IsBoss]],tbHeroEnemy[[#This Row],[Hero1]:[Soldier3]])</f>
        <v>1</v>
      </c>
      <c r="P244" s="7">
        <v>1</v>
      </c>
      <c r="Q244" s="16" t="s">
        <v>415</v>
      </c>
      <c r="R244" s="9" t="s">
        <v>404</v>
      </c>
      <c r="S244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245" spans="2:19">
      <c r="B245" s="16" t="s">
        <v>1057</v>
      </c>
      <c r="C245" s="35" t="s">
        <v>1301</v>
      </c>
      <c r="D245" s="16">
        <v>1</v>
      </c>
      <c r="E245" s="16"/>
      <c r="F245" s="7" t="s">
        <v>151</v>
      </c>
      <c r="G245" s="16" t="s">
        <v>1125</v>
      </c>
      <c r="H245" s="7"/>
      <c r="I245" s="16" t="s">
        <v>381</v>
      </c>
      <c r="J245" s="16" t="s">
        <v>382</v>
      </c>
      <c r="K245" s="16"/>
      <c r="L245" s="16"/>
      <c r="M245" s="16"/>
      <c r="N245" s="16"/>
      <c r="O245" s="12">
        <f>GET_OK_GROUPS_COUNT(tbHeroEnemy[[#This Row],[Camp]],tbHeroEnemy[[#This Row],[Difficulty]],tbHeroEnemy[[#This Row],[IsBoss]],tbHeroEnemy[[#This Row],[Hero1]:[Soldier3]])</f>
        <v>1</v>
      </c>
      <c r="P245" s="7">
        <v>1</v>
      </c>
      <c r="Q245" s="16" t="s">
        <v>416</v>
      </c>
      <c r="R245" s="9" t="s">
        <v>912</v>
      </c>
      <c r="S245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46" spans="2:19">
      <c r="B246" s="16" t="s">
        <v>1057</v>
      </c>
      <c r="C246" s="35" t="s">
        <v>1301</v>
      </c>
      <c r="D246" s="16">
        <v>2</v>
      </c>
      <c r="E246" s="16"/>
      <c r="F246" s="7" t="s">
        <v>151</v>
      </c>
      <c r="G246" s="16" t="s">
        <v>1125</v>
      </c>
      <c r="H246" s="16" t="b">
        <v>1</v>
      </c>
      <c r="I246" s="16" t="s">
        <v>421</v>
      </c>
      <c r="J246" s="16" t="s">
        <v>384</v>
      </c>
      <c r="K246" s="16"/>
      <c r="L246" s="16"/>
      <c r="M246" s="16"/>
      <c r="N246" s="16"/>
      <c r="O246" s="12">
        <f>GET_OK_GROUPS_COUNT(tbHeroEnemy[[#This Row],[Camp]],tbHeroEnemy[[#This Row],[Difficulty]],tbHeroEnemy[[#This Row],[IsBoss]],tbHeroEnemy[[#This Row],[Hero1]:[Soldier3]])</f>
        <v>1</v>
      </c>
      <c r="P246" s="7">
        <v>1</v>
      </c>
      <c r="Q246" s="16" t="s">
        <v>416</v>
      </c>
      <c r="R246" s="9" t="s">
        <v>421</v>
      </c>
      <c r="S246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247" spans="2:19">
      <c r="B247" s="16" t="s">
        <v>1058</v>
      </c>
      <c r="C247" s="35" t="s">
        <v>1301</v>
      </c>
      <c r="D247" s="16">
        <v>1</v>
      </c>
      <c r="E247" s="16"/>
      <c r="F247" s="7" t="s">
        <v>151</v>
      </c>
      <c r="G247" s="16" t="s">
        <v>1125</v>
      </c>
      <c r="H247" s="7"/>
      <c r="I247" s="16" t="s">
        <v>383</v>
      </c>
      <c r="J247" s="16" t="s">
        <v>385</v>
      </c>
      <c r="K247" s="16"/>
      <c r="L247" s="16"/>
      <c r="M247" s="16"/>
      <c r="N247" s="16"/>
      <c r="O247" s="12">
        <f>GET_OK_GROUPS_COUNT(tbHeroEnemy[[#This Row],[Camp]],tbHeroEnemy[[#This Row],[Difficulty]],tbHeroEnemy[[#This Row],[IsBoss]],tbHeroEnemy[[#This Row],[Hero1]:[Soldier3]])</f>
        <v>1</v>
      </c>
      <c r="P247" s="7">
        <v>1</v>
      </c>
      <c r="Q247" s="16" t="s">
        <v>416</v>
      </c>
      <c r="R247" s="9" t="s">
        <v>912</v>
      </c>
      <c r="S247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48" spans="2:19">
      <c r="B248" s="16" t="s">
        <v>1058</v>
      </c>
      <c r="C248" s="35" t="s">
        <v>1301</v>
      </c>
      <c r="D248" s="16">
        <v>2</v>
      </c>
      <c r="E248" s="16"/>
      <c r="F248" s="7" t="s">
        <v>151</v>
      </c>
      <c r="G248" s="16" t="s">
        <v>1126</v>
      </c>
      <c r="H248" s="16" t="b">
        <v>1</v>
      </c>
      <c r="I248" s="16" t="s">
        <v>429</v>
      </c>
      <c r="J248" s="16" t="s">
        <v>383</v>
      </c>
      <c r="K248" s="16"/>
      <c r="L248" s="16"/>
      <c r="M248" s="16"/>
      <c r="N248" s="16"/>
      <c r="O248" s="12">
        <f>GET_OK_GROUPS_COUNT(tbHeroEnemy[[#This Row],[Camp]],tbHeroEnemy[[#This Row],[Difficulty]],tbHeroEnemy[[#This Row],[IsBoss]],tbHeroEnemy[[#This Row],[Hero1]:[Soldier3]])</f>
        <v>1</v>
      </c>
      <c r="P248" s="7">
        <v>1</v>
      </c>
      <c r="Q248" s="16" t="s">
        <v>416</v>
      </c>
      <c r="R248" s="9" t="s">
        <v>429</v>
      </c>
      <c r="S24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49" spans="2:19">
      <c r="B249" s="16" t="s">
        <v>1059</v>
      </c>
      <c r="C249" s="35" t="s">
        <v>1301</v>
      </c>
      <c r="D249" s="16">
        <v>1</v>
      </c>
      <c r="E249" s="16"/>
      <c r="F249" s="7" t="s">
        <v>151</v>
      </c>
      <c r="G249" s="16" t="s">
        <v>1126</v>
      </c>
      <c r="H249" s="7"/>
      <c r="I249" s="16" t="s">
        <v>381</v>
      </c>
      <c r="J249" s="16" t="s">
        <v>381</v>
      </c>
      <c r="K249" s="16"/>
      <c r="L249" s="16"/>
      <c r="M249" s="16"/>
      <c r="N249" s="16"/>
      <c r="O249" s="12">
        <f>GET_OK_GROUPS_COUNT(tbHeroEnemy[[#This Row],[Camp]],tbHeroEnemy[[#This Row],[Difficulty]],tbHeroEnemy[[#This Row],[IsBoss]],tbHeroEnemy[[#This Row],[Hero1]:[Soldier3]])</f>
        <v>1</v>
      </c>
      <c r="P249" s="7">
        <v>1</v>
      </c>
      <c r="Q249" s="16" t="s">
        <v>416</v>
      </c>
      <c r="R249" s="9" t="s">
        <v>912</v>
      </c>
      <c r="S249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250" spans="2:19">
      <c r="B250" s="16" t="s">
        <v>1059</v>
      </c>
      <c r="C250" s="35" t="s">
        <v>1301</v>
      </c>
      <c r="D250" s="16">
        <v>2</v>
      </c>
      <c r="E250" s="16"/>
      <c r="F250" s="7" t="s">
        <v>151</v>
      </c>
      <c r="G250" s="16" t="s">
        <v>1126</v>
      </c>
      <c r="H250" s="16" t="b">
        <v>1</v>
      </c>
      <c r="I250" s="16" t="s">
        <v>395</v>
      </c>
      <c r="J250" s="16" t="s">
        <v>381</v>
      </c>
      <c r="K250" s="16"/>
      <c r="L250" s="16"/>
      <c r="M250" s="16"/>
      <c r="N250" s="16"/>
      <c r="O250" s="12">
        <f>GET_OK_GROUPS_COUNT(tbHeroEnemy[[#This Row],[Camp]],tbHeroEnemy[[#This Row],[Difficulty]],tbHeroEnemy[[#This Row],[IsBoss]],tbHeroEnemy[[#This Row],[Hero1]:[Soldier3]])</f>
        <v>1</v>
      </c>
      <c r="P250" s="7">
        <v>1</v>
      </c>
      <c r="Q250" s="16" t="s">
        <v>416</v>
      </c>
      <c r="R250" s="9" t="s">
        <v>395</v>
      </c>
      <c r="S250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251" spans="2:19">
      <c r="B251" s="16" t="s">
        <v>1060</v>
      </c>
      <c r="C251" s="35" t="s">
        <v>1301</v>
      </c>
      <c r="D251" s="16">
        <v>1</v>
      </c>
      <c r="E251" s="16"/>
      <c r="F251" s="7" t="s">
        <v>151</v>
      </c>
      <c r="G251" s="16" t="s">
        <v>1126</v>
      </c>
      <c r="H251" s="7"/>
      <c r="I251" s="16" t="s">
        <v>383</v>
      </c>
      <c r="J251" s="16" t="s">
        <v>382</v>
      </c>
      <c r="K251" s="16"/>
      <c r="L251" s="16"/>
      <c r="M251" s="16"/>
      <c r="N251" s="16"/>
      <c r="O251" s="12">
        <f>GET_OK_GROUPS_COUNT(tbHeroEnemy[[#This Row],[Camp]],tbHeroEnemy[[#This Row],[Difficulty]],tbHeroEnemy[[#This Row],[IsBoss]],tbHeroEnemy[[#This Row],[Hero1]:[Soldier3]])</f>
        <v>1</v>
      </c>
      <c r="P251" s="7">
        <v>1</v>
      </c>
      <c r="Q251" s="16" t="s">
        <v>416</v>
      </c>
      <c r="R251" s="9" t="s">
        <v>912</v>
      </c>
      <c r="S251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252" spans="2:19">
      <c r="B252" s="16" t="s">
        <v>1060</v>
      </c>
      <c r="C252" s="35" t="s">
        <v>1301</v>
      </c>
      <c r="D252" s="16">
        <v>2</v>
      </c>
      <c r="E252" s="16"/>
      <c r="F252" s="7" t="s">
        <v>151</v>
      </c>
      <c r="G252" s="16" t="s">
        <v>1126</v>
      </c>
      <c r="H252" s="16" t="b">
        <v>1</v>
      </c>
      <c r="I252" s="16" t="s">
        <v>419</v>
      </c>
      <c r="J252" s="16" t="s">
        <v>380</v>
      </c>
      <c r="K252" s="16"/>
      <c r="L252" s="16"/>
      <c r="M252" s="16"/>
      <c r="N252" s="16"/>
      <c r="O252" s="12">
        <f>GET_OK_GROUPS_COUNT(tbHeroEnemy[[#This Row],[Camp]],tbHeroEnemy[[#This Row],[Difficulty]],tbHeroEnemy[[#This Row],[IsBoss]],tbHeroEnemy[[#This Row],[Hero1]:[Soldier3]])</f>
        <v>1</v>
      </c>
      <c r="P252" s="7">
        <v>1</v>
      </c>
      <c r="Q252" s="16" t="s">
        <v>416</v>
      </c>
      <c r="R252" s="9" t="s">
        <v>419</v>
      </c>
      <c r="S252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253" spans="2:19">
      <c r="B253" s="16" t="s">
        <v>1061</v>
      </c>
      <c r="C253" s="35" t="s">
        <v>1301</v>
      </c>
      <c r="D253" s="16">
        <v>1</v>
      </c>
      <c r="E253" s="16"/>
      <c r="F253" s="7" t="s">
        <v>151</v>
      </c>
      <c r="G253" s="16" t="s">
        <v>1125</v>
      </c>
      <c r="H253" s="7"/>
      <c r="I253" s="16" t="s">
        <v>383</v>
      </c>
      <c r="J253" s="16" t="s">
        <v>380</v>
      </c>
      <c r="K253" s="16"/>
      <c r="L253" s="16"/>
      <c r="M253" s="16"/>
      <c r="N253" s="16"/>
      <c r="O253" s="12">
        <f>GET_OK_GROUPS_COUNT(tbHeroEnemy[[#This Row],[Camp]],tbHeroEnemy[[#This Row],[Difficulty]],tbHeroEnemy[[#This Row],[IsBoss]],tbHeroEnemy[[#This Row],[Hero1]:[Soldier3]])</f>
        <v>1</v>
      </c>
      <c r="P253" s="7">
        <v>1</v>
      </c>
      <c r="Q253" s="16" t="s">
        <v>417</v>
      </c>
      <c r="R253" s="9" t="s">
        <v>912</v>
      </c>
      <c r="S253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54" spans="2:19">
      <c r="B254" s="16" t="s">
        <v>1061</v>
      </c>
      <c r="C254" s="35" t="s">
        <v>1301</v>
      </c>
      <c r="D254" s="16">
        <v>2</v>
      </c>
      <c r="E254" s="16"/>
      <c r="F254" s="7" t="s">
        <v>151</v>
      </c>
      <c r="G254" s="16" t="s">
        <v>1125</v>
      </c>
      <c r="H254" s="16" t="b">
        <v>1</v>
      </c>
      <c r="I254" s="16" t="s">
        <v>402</v>
      </c>
      <c r="J254" s="16" t="s">
        <v>385</v>
      </c>
      <c r="K254" s="16"/>
      <c r="L254" s="16"/>
      <c r="M254" s="16"/>
      <c r="N254" s="16"/>
      <c r="O254" s="12">
        <f>GET_OK_GROUPS_COUNT(tbHeroEnemy[[#This Row],[Camp]],tbHeroEnemy[[#This Row],[Difficulty]],tbHeroEnemy[[#This Row],[IsBoss]],tbHeroEnemy[[#This Row],[Hero1]:[Soldier3]])</f>
        <v>1</v>
      </c>
      <c r="P254" s="7">
        <v>1</v>
      </c>
      <c r="Q254" s="16" t="s">
        <v>417</v>
      </c>
      <c r="R254" s="9" t="s">
        <v>402</v>
      </c>
      <c r="S254" s="2" t="str">
        <f>GET_OK_GROUP(tbHeroEnemy[[#This Row],[Camp]],tbHeroEnemy[[#This Row],[Difficulty]],tbHeroEnemy[[#This Row],[IsBoss]],tbHeroEnemy[[#This Row],[Hero1]:[Soldier3]],tbHeroEnemy[[#This Row],[GroupID]])</f>
        <v>三国-困难-[B]炼英+刺英</v>
      </c>
    </row>
    <row r="255" spans="2:19">
      <c r="B255" s="16" t="s">
        <v>1062</v>
      </c>
      <c r="C255" s="35" t="s">
        <v>1301</v>
      </c>
      <c r="D255" s="16">
        <v>1</v>
      </c>
      <c r="E255" s="16"/>
      <c r="F255" s="7" t="s">
        <v>151</v>
      </c>
      <c r="G255" s="16" t="s">
        <v>1125</v>
      </c>
      <c r="H255" s="7"/>
      <c r="I255" s="16" t="s">
        <v>380</v>
      </c>
      <c r="J255" s="16" t="s">
        <v>381</v>
      </c>
      <c r="K255" s="16"/>
      <c r="L255" s="16"/>
      <c r="M255" s="16"/>
      <c r="N255" s="16"/>
      <c r="O255" s="12">
        <f>GET_OK_GROUPS_COUNT(tbHeroEnemy[[#This Row],[Camp]],tbHeroEnemy[[#This Row],[Difficulty]],tbHeroEnemy[[#This Row],[IsBoss]],tbHeroEnemy[[#This Row],[Hero1]:[Soldier3]])</f>
        <v>1</v>
      </c>
      <c r="P255" s="7">
        <v>1</v>
      </c>
      <c r="Q255" s="16" t="s">
        <v>417</v>
      </c>
      <c r="R255" s="9" t="s">
        <v>912</v>
      </c>
      <c r="S255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256" spans="2:19">
      <c r="B256" s="16" t="s">
        <v>1062</v>
      </c>
      <c r="C256" s="35" t="s">
        <v>1301</v>
      </c>
      <c r="D256" s="16">
        <v>2</v>
      </c>
      <c r="E256" s="16"/>
      <c r="F256" s="7" t="s">
        <v>151</v>
      </c>
      <c r="G256" s="16" t="s">
        <v>1126</v>
      </c>
      <c r="H256" s="16" t="b">
        <v>1</v>
      </c>
      <c r="I256" s="16" t="s">
        <v>391</v>
      </c>
      <c r="J256" s="16" t="s">
        <v>380</v>
      </c>
      <c r="K256" s="16"/>
      <c r="L256" s="16"/>
      <c r="M256" s="16"/>
      <c r="N256" s="16"/>
      <c r="O256" s="12">
        <f>GET_OK_GROUPS_COUNT(tbHeroEnemy[[#This Row],[Camp]],tbHeroEnemy[[#This Row],[Difficulty]],tbHeroEnemy[[#This Row],[IsBoss]],tbHeroEnemy[[#This Row],[Hero1]:[Soldier3]])</f>
        <v>1</v>
      </c>
      <c r="P256" s="7">
        <v>1</v>
      </c>
      <c r="Q256" s="16" t="s">
        <v>417</v>
      </c>
      <c r="R256" s="9" t="s">
        <v>391</v>
      </c>
      <c r="S25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57" spans="2:19">
      <c r="B257" s="16" t="s">
        <v>1063</v>
      </c>
      <c r="C257" s="35" t="s">
        <v>1301</v>
      </c>
      <c r="D257" s="16">
        <v>1</v>
      </c>
      <c r="E257" s="16"/>
      <c r="F257" s="7" t="s">
        <v>151</v>
      </c>
      <c r="G257" s="16" t="s">
        <v>1126</v>
      </c>
      <c r="H257" s="7"/>
      <c r="I257" s="16" t="s">
        <v>384</v>
      </c>
      <c r="J257" s="16" t="s">
        <v>385</v>
      </c>
      <c r="K257" s="16"/>
      <c r="L257" s="16"/>
      <c r="M257" s="16"/>
      <c r="N257" s="16"/>
      <c r="O257" s="12">
        <f>GET_OK_GROUPS_COUNT(tbHeroEnemy[[#This Row],[Camp]],tbHeroEnemy[[#This Row],[Difficulty]],tbHeroEnemy[[#This Row],[IsBoss]],tbHeroEnemy[[#This Row],[Hero1]:[Soldier3]])</f>
        <v>1</v>
      </c>
      <c r="P257" s="7">
        <v>1</v>
      </c>
      <c r="Q257" s="16" t="s">
        <v>417</v>
      </c>
      <c r="R257" s="9" t="s">
        <v>912</v>
      </c>
      <c r="S257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258" spans="2:19">
      <c r="B258" s="16" t="s">
        <v>1063</v>
      </c>
      <c r="C258" s="35" t="s">
        <v>1301</v>
      </c>
      <c r="D258" s="16">
        <v>2</v>
      </c>
      <c r="E258" s="16"/>
      <c r="F258" s="7" t="s">
        <v>151</v>
      </c>
      <c r="G258" s="16" t="s">
        <v>1126</v>
      </c>
      <c r="H258" s="16" t="b">
        <v>1</v>
      </c>
      <c r="I258" s="16" t="s">
        <v>415</v>
      </c>
      <c r="J258" s="16" t="s">
        <v>384</v>
      </c>
      <c r="K258" s="16"/>
      <c r="L258" s="16"/>
      <c r="M258" s="16"/>
      <c r="N258" s="16"/>
      <c r="O258" s="12">
        <f>GET_OK_GROUPS_COUNT(tbHeroEnemy[[#This Row],[Camp]],tbHeroEnemy[[#This Row],[Difficulty]],tbHeroEnemy[[#This Row],[IsBoss]],tbHeroEnemy[[#This Row],[Hero1]:[Soldier3]])</f>
        <v>1</v>
      </c>
      <c r="P258" s="7">
        <v>1</v>
      </c>
      <c r="Q258" s="16" t="s">
        <v>417</v>
      </c>
      <c r="R258" s="9" t="s">
        <v>415</v>
      </c>
      <c r="S258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259" spans="2:19">
      <c r="B259" s="16" t="s">
        <v>1064</v>
      </c>
      <c r="C259" s="35" t="s">
        <v>1301</v>
      </c>
      <c r="D259" s="16">
        <v>1</v>
      </c>
      <c r="E259" s="16"/>
      <c r="F259" s="7" t="s">
        <v>151</v>
      </c>
      <c r="G259" s="16" t="s">
        <v>1126</v>
      </c>
      <c r="H259" s="7"/>
      <c r="I259" s="16" t="s">
        <v>383</v>
      </c>
      <c r="J259" s="16" t="s">
        <v>384</v>
      </c>
      <c r="K259" s="16"/>
      <c r="L259" s="16"/>
      <c r="M259" s="16"/>
      <c r="N259" s="16"/>
      <c r="O259" s="12">
        <f>GET_OK_GROUPS_COUNT(tbHeroEnemy[[#This Row],[Camp]],tbHeroEnemy[[#This Row],[Difficulty]],tbHeroEnemy[[#This Row],[IsBoss]],tbHeroEnemy[[#This Row],[Hero1]:[Soldier3]])</f>
        <v>1</v>
      </c>
      <c r="P259" s="7">
        <v>1</v>
      </c>
      <c r="Q259" s="16" t="s">
        <v>417</v>
      </c>
      <c r="R259" s="9" t="s">
        <v>912</v>
      </c>
      <c r="S259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260" spans="2:19">
      <c r="B260" s="16" t="s">
        <v>1064</v>
      </c>
      <c r="C260" s="35" t="s">
        <v>1301</v>
      </c>
      <c r="D260" s="16">
        <v>2</v>
      </c>
      <c r="E260" s="16"/>
      <c r="F260" s="7" t="s">
        <v>151</v>
      </c>
      <c r="G260" s="16" t="s">
        <v>1126</v>
      </c>
      <c r="H260" s="16" t="b">
        <v>1</v>
      </c>
      <c r="I260" s="16" t="s">
        <v>419</v>
      </c>
      <c r="J260" s="16" t="s">
        <v>381</v>
      </c>
      <c r="K260" s="16"/>
      <c r="L260" s="16"/>
      <c r="M260" s="16"/>
      <c r="N260" s="16"/>
      <c r="O260" s="12">
        <f>GET_OK_GROUPS_COUNT(tbHeroEnemy[[#This Row],[Camp]],tbHeroEnemy[[#This Row],[Difficulty]],tbHeroEnemy[[#This Row],[IsBoss]],tbHeroEnemy[[#This Row],[Hero1]:[Soldier3]])</f>
        <v>1</v>
      </c>
      <c r="P260" s="7">
        <v>1</v>
      </c>
      <c r="Q260" s="16" t="s">
        <v>417</v>
      </c>
      <c r="R260" s="9" t="s">
        <v>419</v>
      </c>
      <c r="S260" s="2" t="str">
        <f>GET_OK_GROUP(tbHeroEnemy[[#This Row],[Camp]],tbHeroEnemy[[#This Row],[Difficulty]],tbHeroEnemy[[#This Row],[IsBoss]],tbHeroEnemy[[#This Row],[Hero1]:[Soldier3]],tbHeroEnemy[[#This Row],[GroupID]])</f>
        <v>三国-超难-[B]强英+强英</v>
      </c>
    </row>
    <row r="261" spans="2:19">
      <c r="B261" s="16" t="s">
        <v>1065</v>
      </c>
      <c r="C261" s="35" t="s">
        <v>1301</v>
      </c>
      <c r="D261" s="16">
        <v>1</v>
      </c>
      <c r="E261" s="16"/>
      <c r="F261" s="7" t="s">
        <v>151</v>
      </c>
      <c r="G261" s="16" t="s">
        <v>1125</v>
      </c>
      <c r="H261" s="7"/>
      <c r="I261" s="16" t="s">
        <v>384</v>
      </c>
      <c r="J261" s="16" t="s">
        <v>384</v>
      </c>
      <c r="K261" s="16"/>
      <c r="L261" s="16"/>
      <c r="M261" s="16"/>
      <c r="N261" s="16"/>
      <c r="O261" s="12">
        <f>GET_OK_GROUPS_COUNT(tbHeroEnemy[[#This Row],[Camp]],tbHeroEnemy[[#This Row],[Difficulty]],tbHeroEnemy[[#This Row],[IsBoss]],tbHeroEnemy[[#This Row],[Hero1]:[Soldier3]])</f>
        <v>1</v>
      </c>
      <c r="P261" s="7">
        <v>1</v>
      </c>
      <c r="Q261" s="16" t="s">
        <v>418</v>
      </c>
      <c r="R261" s="9" t="s">
        <v>912</v>
      </c>
      <c r="S261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262" spans="2:19">
      <c r="B262" s="16" t="s">
        <v>1065</v>
      </c>
      <c r="C262" s="35" t="s">
        <v>1301</v>
      </c>
      <c r="D262" s="16">
        <v>2</v>
      </c>
      <c r="E262" s="16"/>
      <c r="F262" s="7" t="s">
        <v>151</v>
      </c>
      <c r="G262" s="16" t="s">
        <v>1125</v>
      </c>
      <c r="H262" s="16" t="b">
        <v>1</v>
      </c>
      <c r="I262" s="16" t="s">
        <v>394</v>
      </c>
      <c r="J262" s="16" t="s">
        <v>382</v>
      </c>
      <c r="K262" s="16"/>
      <c r="L262" s="16"/>
      <c r="M262" s="16"/>
      <c r="N262" s="16"/>
      <c r="O262" s="12">
        <f>GET_OK_GROUPS_COUNT(tbHeroEnemy[[#This Row],[Camp]],tbHeroEnemy[[#This Row],[Difficulty]],tbHeroEnemy[[#This Row],[IsBoss]],tbHeroEnemy[[#This Row],[Hero1]:[Soldier3]])</f>
        <v>1</v>
      </c>
      <c r="P262" s="7">
        <v>1</v>
      </c>
      <c r="Q262" s="16" t="s">
        <v>418</v>
      </c>
      <c r="R262" s="9" t="s">
        <v>394</v>
      </c>
      <c r="S262" s="2" t="str">
        <f>GET_OK_GROUP(tbHeroEnemy[[#This Row],[Camp]],tbHeroEnemy[[#This Row],[Difficulty]],tbHeroEnemy[[#This Row],[IsBoss]],tbHeroEnemy[[#This Row],[Hero1]:[Soldier3]],tbHeroEnemy[[#This Row],[GroupID]])</f>
        <v>三国-困难-[B]铁英+铁英</v>
      </c>
    </row>
    <row r="263" spans="2:19">
      <c r="B263" s="16" t="s">
        <v>1066</v>
      </c>
      <c r="C263" s="35" t="s">
        <v>1301</v>
      </c>
      <c r="D263" s="16">
        <v>1</v>
      </c>
      <c r="E263" s="16"/>
      <c r="F263" s="7" t="s">
        <v>151</v>
      </c>
      <c r="G263" s="16" t="s">
        <v>1125</v>
      </c>
      <c r="H263" s="7"/>
      <c r="I263" s="16" t="s">
        <v>383</v>
      </c>
      <c r="J263" s="16" t="s">
        <v>380</v>
      </c>
      <c r="K263" s="16"/>
      <c r="L263" s="16"/>
      <c r="M263" s="16"/>
      <c r="N263" s="16"/>
      <c r="O263" s="12">
        <f>GET_OK_GROUPS_COUNT(tbHeroEnemy[[#This Row],[Camp]],tbHeroEnemy[[#This Row],[Difficulty]],tbHeroEnemy[[#This Row],[IsBoss]],tbHeroEnemy[[#This Row],[Hero1]:[Soldier3]])</f>
        <v>1</v>
      </c>
      <c r="P263" s="7">
        <v>1</v>
      </c>
      <c r="Q263" s="16" t="s">
        <v>418</v>
      </c>
      <c r="R263" s="9" t="s">
        <v>912</v>
      </c>
      <c r="S263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64" spans="2:19">
      <c r="B264" s="16" t="s">
        <v>1066</v>
      </c>
      <c r="C264" s="35" t="s">
        <v>1301</v>
      </c>
      <c r="D264" s="16">
        <v>2</v>
      </c>
      <c r="E264" s="16"/>
      <c r="F264" s="7" t="s">
        <v>151</v>
      </c>
      <c r="G264" s="16" t="s">
        <v>1126</v>
      </c>
      <c r="H264" s="16" t="b">
        <v>1</v>
      </c>
      <c r="I264" s="16" t="s">
        <v>427</v>
      </c>
      <c r="J264" s="16" t="s">
        <v>384</v>
      </c>
      <c r="K264" s="16"/>
      <c r="L264" s="16"/>
      <c r="M264" s="16"/>
      <c r="N264" s="16"/>
      <c r="O264" s="12">
        <f>GET_OK_GROUPS_COUNT(tbHeroEnemy[[#This Row],[Camp]],tbHeroEnemy[[#This Row],[Difficulty]],tbHeroEnemy[[#This Row],[IsBoss]],tbHeroEnemy[[#This Row],[Hero1]:[Soldier3]])</f>
        <v>1</v>
      </c>
      <c r="P264" s="7">
        <v>1</v>
      </c>
      <c r="Q264" s="16" t="s">
        <v>418</v>
      </c>
      <c r="R264" s="9" t="s">
        <v>427</v>
      </c>
      <c r="S264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265" spans="2:19">
      <c r="B265" s="16" t="s">
        <v>1067</v>
      </c>
      <c r="C265" s="35" t="s">
        <v>1301</v>
      </c>
      <c r="D265" s="16">
        <v>1</v>
      </c>
      <c r="E265" s="16"/>
      <c r="F265" s="7" t="s">
        <v>151</v>
      </c>
      <c r="G265" s="16" t="s">
        <v>1126</v>
      </c>
      <c r="H265" s="7"/>
      <c r="I265" s="16" t="s">
        <v>385</v>
      </c>
      <c r="J265" s="16" t="s">
        <v>380</v>
      </c>
      <c r="K265" s="16"/>
      <c r="L265" s="16"/>
      <c r="M265" s="16"/>
      <c r="N265" s="16"/>
      <c r="O265" s="12">
        <f>GET_OK_GROUPS_COUNT(tbHeroEnemy[[#This Row],[Camp]],tbHeroEnemy[[#This Row],[Difficulty]],tbHeroEnemy[[#This Row],[IsBoss]],tbHeroEnemy[[#This Row],[Hero1]:[Soldier3]])</f>
        <v>1</v>
      </c>
      <c r="P265" s="7">
        <v>1</v>
      </c>
      <c r="Q265" s="16" t="s">
        <v>418</v>
      </c>
      <c r="R265" s="9" t="s">
        <v>912</v>
      </c>
      <c r="S26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66" spans="2:19">
      <c r="B266" s="16" t="s">
        <v>1067</v>
      </c>
      <c r="C266" s="35" t="s">
        <v>1301</v>
      </c>
      <c r="D266" s="16">
        <v>2</v>
      </c>
      <c r="E266" s="16"/>
      <c r="F266" s="7" t="s">
        <v>151</v>
      </c>
      <c r="G266" s="16" t="s">
        <v>1126</v>
      </c>
      <c r="H266" s="16" t="b">
        <v>1</v>
      </c>
      <c r="I266" s="16" t="s">
        <v>415</v>
      </c>
      <c r="J266" s="16" t="s">
        <v>383</v>
      </c>
      <c r="K266" s="16"/>
      <c r="L266" s="16"/>
      <c r="M266" s="16"/>
      <c r="N266" s="16"/>
      <c r="O266" s="12">
        <f>GET_OK_GROUPS_COUNT(tbHeroEnemy[[#This Row],[Camp]],tbHeroEnemy[[#This Row],[Difficulty]],tbHeroEnemy[[#This Row],[IsBoss]],tbHeroEnemy[[#This Row],[Hero1]:[Soldier3]])</f>
        <v>1</v>
      </c>
      <c r="P266" s="7">
        <v>1</v>
      </c>
      <c r="Q266" s="16" t="s">
        <v>418</v>
      </c>
      <c r="R266" s="9" t="s">
        <v>415</v>
      </c>
      <c r="S266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267" spans="2:19">
      <c r="B267" s="16" t="s">
        <v>1068</v>
      </c>
      <c r="C267" s="35" t="s">
        <v>1301</v>
      </c>
      <c r="D267" s="16">
        <v>1</v>
      </c>
      <c r="E267" s="16"/>
      <c r="F267" s="7" t="s">
        <v>151</v>
      </c>
      <c r="G267" s="16" t="s">
        <v>1126</v>
      </c>
      <c r="H267" s="7"/>
      <c r="I267" s="16" t="s">
        <v>384</v>
      </c>
      <c r="J267" s="16" t="s">
        <v>381</v>
      </c>
      <c r="K267" s="16"/>
      <c r="L267" s="16"/>
      <c r="M267" s="16"/>
      <c r="N267" s="16"/>
      <c r="O267" s="12">
        <f>GET_OK_GROUPS_COUNT(tbHeroEnemy[[#This Row],[Camp]],tbHeroEnemy[[#This Row],[Difficulty]],tbHeroEnemy[[#This Row],[IsBoss]],tbHeroEnemy[[#This Row],[Hero1]:[Soldier3]])</f>
        <v>1</v>
      </c>
      <c r="P267" s="7">
        <v>1</v>
      </c>
      <c r="Q267" s="16" t="s">
        <v>418</v>
      </c>
      <c r="R267" s="9" t="s">
        <v>912</v>
      </c>
      <c r="S267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268" spans="2:19">
      <c r="B268" s="16" t="s">
        <v>1068</v>
      </c>
      <c r="C268" s="35" t="s">
        <v>1301</v>
      </c>
      <c r="D268" s="16">
        <v>2</v>
      </c>
      <c r="E268" s="16"/>
      <c r="F268" s="7" t="s">
        <v>151</v>
      </c>
      <c r="G268" s="16" t="s">
        <v>1126</v>
      </c>
      <c r="H268" s="16" t="b">
        <v>1</v>
      </c>
      <c r="I268" s="16" t="s">
        <v>390</v>
      </c>
      <c r="J268" s="16" t="s">
        <v>380</v>
      </c>
      <c r="K268" s="16"/>
      <c r="L268" s="16"/>
      <c r="M268" s="16"/>
      <c r="N268" s="16"/>
      <c r="O268" s="12">
        <f>GET_OK_GROUPS_COUNT(tbHeroEnemy[[#This Row],[Camp]],tbHeroEnemy[[#This Row],[Difficulty]],tbHeroEnemy[[#This Row],[IsBoss]],tbHeroEnemy[[#This Row],[Hero1]:[Soldier3]])</f>
        <v>1</v>
      </c>
      <c r="P268" s="7">
        <v>1</v>
      </c>
      <c r="Q268" s="16" t="s">
        <v>418</v>
      </c>
      <c r="R268" s="9" t="s">
        <v>390</v>
      </c>
      <c r="S268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269" spans="2:19">
      <c r="B269" s="16" t="s">
        <v>1069</v>
      </c>
      <c r="C269" s="35" t="s">
        <v>1301</v>
      </c>
      <c r="D269" s="16">
        <v>1</v>
      </c>
      <c r="E269" s="16"/>
      <c r="F269" s="7" t="s">
        <v>151</v>
      </c>
      <c r="G269" s="16" t="s">
        <v>1125</v>
      </c>
      <c r="H269" s="7"/>
      <c r="I269" s="16" t="s">
        <v>384</v>
      </c>
      <c r="J269" s="16" t="s">
        <v>384</v>
      </c>
      <c r="K269" s="16"/>
      <c r="L269" s="16"/>
      <c r="M269" s="16"/>
      <c r="N269" s="16"/>
      <c r="O269" s="12">
        <f>GET_OK_GROUPS_COUNT(tbHeroEnemy[[#This Row],[Camp]],tbHeroEnemy[[#This Row],[Difficulty]],tbHeroEnemy[[#This Row],[IsBoss]],tbHeroEnemy[[#This Row],[Hero1]:[Soldier3]])</f>
        <v>1</v>
      </c>
      <c r="P269" s="7">
        <v>1</v>
      </c>
      <c r="Q269" s="16" t="s">
        <v>419</v>
      </c>
      <c r="R269" s="9" t="s">
        <v>912</v>
      </c>
      <c r="S26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270" spans="2:19">
      <c r="B270" s="16" t="s">
        <v>1069</v>
      </c>
      <c r="C270" s="35" t="s">
        <v>1301</v>
      </c>
      <c r="D270" s="16">
        <v>2</v>
      </c>
      <c r="E270" s="16"/>
      <c r="F270" s="7" t="s">
        <v>151</v>
      </c>
      <c r="G270" s="16" t="s">
        <v>1125</v>
      </c>
      <c r="H270" s="16" t="b">
        <v>1</v>
      </c>
      <c r="I270" s="16" t="s">
        <v>432</v>
      </c>
      <c r="J270" s="16" t="s">
        <v>384</v>
      </c>
      <c r="K270" s="16"/>
      <c r="L270" s="16"/>
      <c r="M270" s="16"/>
      <c r="N270" s="16"/>
      <c r="O270" s="12">
        <f>GET_OK_GROUPS_COUNT(tbHeroEnemy[[#This Row],[Camp]],tbHeroEnemy[[#This Row],[Difficulty]],tbHeroEnemy[[#This Row],[IsBoss]],tbHeroEnemy[[#This Row],[Hero1]:[Soldier3]])</f>
        <v>1</v>
      </c>
      <c r="P270" s="7">
        <v>1</v>
      </c>
      <c r="Q270" s="16" t="s">
        <v>419</v>
      </c>
      <c r="R270" s="9" t="s">
        <v>432</v>
      </c>
      <c r="S270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271" spans="2:19">
      <c r="B271" s="16" t="s">
        <v>1070</v>
      </c>
      <c r="C271" s="35" t="s">
        <v>1301</v>
      </c>
      <c r="D271" s="16">
        <v>1</v>
      </c>
      <c r="E271" s="16"/>
      <c r="F271" s="7" t="s">
        <v>151</v>
      </c>
      <c r="G271" s="16" t="s">
        <v>1125</v>
      </c>
      <c r="H271" s="7"/>
      <c r="I271" s="16" t="s">
        <v>381</v>
      </c>
      <c r="J271" s="16" t="s">
        <v>381</v>
      </c>
      <c r="K271" s="16"/>
      <c r="L271" s="16"/>
      <c r="M271" s="16"/>
      <c r="N271" s="16"/>
      <c r="O271" s="12">
        <f>GET_OK_GROUPS_COUNT(tbHeroEnemy[[#This Row],[Camp]],tbHeroEnemy[[#This Row],[Difficulty]],tbHeroEnemy[[#This Row],[IsBoss]],tbHeroEnemy[[#This Row],[Hero1]:[Soldier3]])</f>
        <v>1</v>
      </c>
      <c r="P271" s="7">
        <v>1</v>
      </c>
      <c r="Q271" s="16" t="s">
        <v>419</v>
      </c>
      <c r="R271" s="9" t="s">
        <v>912</v>
      </c>
      <c r="S271" s="2" t="str">
        <f>GET_OK_GROUP(tbHeroEnemy[[#This Row],[Camp]],tbHeroEnemy[[#This Row],[Difficulty]],tbHeroEnemy[[#This Row],[IsBoss]],tbHeroEnemy[[#This Row],[Hero1]:[Soldier3]],tbHeroEnemy[[#This Row],[GroupID]])</f>
        <v>三国-困难-强英+强英</v>
      </c>
    </row>
    <row r="272" spans="2:19">
      <c r="B272" s="16" t="s">
        <v>1070</v>
      </c>
      <c r="C272" s="35" t="s">
        <v>1301</v>
      </c>
      <c r="D272" s="16">
        <v>2</v>
      </c>
      <c r="E272" s="16"/>
      <c r="F272" s="7" t="s">
        <v>151</v>
      </c>
      <c r="G272" s="16" t="s">
        <v>1126</v>
      </c>
      <c r="H272" s="16" t="b">
        <v>1</v>
      </c>
      <c r="I272" s="16" t="s">
        <v>413</v>
      </c>
      <c r="J272" s="16" t="s">
        <v>384</v>
      </c>
      <c r="K272" s="16"/>
      <c r="L272" s="16"/>
      <c r="M272" s="16"/>
      <c r="N272" s="16"/>
      <c r="O272" s="12">
        <f>GET_OK_GROUPS_COUNT(tbHeroEnemy[[#This Row],[Camp]],tbHeroEnemy[[#This Row],[Difficulty]],tbHeroEnemy[[#This Row],[IsBoss]],tbHeroEnemy[[#This Row],[Hero1]:[Soldier3]])</f>
        <v>1</v>
      </c>
      <c r="P272" s="7">
        <v>1</v>
      </c>
      <c r="Q272" s="16" t="s">
        <v>419</v>
      </c>
      <c r="R272" s="9" t="s">
        <v>413</v>
      </c>
      <c r="S272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73" spans="2:19">
      <c r="B273" s="16" t="s">
        <v>1071</v>
      </c>
      <c r="C273" s="35" t="s">
        <v>1301</v>
      </c>
      <c r="D273" s="16">
        <v>1</v>
      </c>
      <c r="E273" s="16"/>
      <c r="F273" s="7" t="s">
        <v>151</v>
      </c>
      <c r="G273" s="16" t="s">
        <v>1126</v>
      </c>
      <c r="H273" s="7"/>
      <c r="I273" s="16" t="s">
        <v>381</v>
      </c>
      <c r="J273" s="16" t="s">
        <v>380</v>
      </c>
      <c r="K273" s="16"/>
      <c r="L273" s="16"/>
      <c r="M273" s="16"/>
      <c r="N273" s="16"/>
      <c r="O273" s="12">
        <f>GET_OK_GROUPS_COUNT(tbHeroEnemy[[#This Row],[Camp]],tbHeroEnemy[[#This Row],[Difficulty]],tbHeroEnemy[[#This Row],[IsBoss]],tbHeroEnemy[[#This Row],[Hero1]:[Soldier3]])</f>
        <v>1</v>
      </c>
      <c r="P273" s="7">
        <v>1</v>
      </c>
      <c r="Q273" s="16" t="s">
        <v>419</v>
      </c>
      <c r="R273" s="9" t="s">
        <v>912</v>
      </c>
      <c r="S273" s="2" t="str">
        <f>GET_OK_GROUP(tbHeroEnemy[[#This Row],[Camp]],tbHeroEnemy[[#This Row],[Difficulty]],tbHeroEnemy[[#This Row],[IsBoss]],tbHeroEnemy[[#This Row],[Hero1]:[Soldier3]],tbHeroEnemy[[#This Row],[GroupID]])</f>
        <v>三国-超难-盾英+强英</v>
      </c>
    </row>
    <row r="274" spans="2:19">
      <c r="B274" s="16" t="s">
        <v>1071</v>
      </c>
      <c r="C274" s="35" t="s">
        <v>1301</v>
      </c>
      <c r="D274" s="16">
        <v>2</v>
      </c>
      <c r="E274" s="16"/>
      <c r="F274" s="7" t="s">
        <v>151</v>
      </c>
      <c r="G274" s="16" t="s">
        <v>1126</v>
      </c>
      <c r="H274" s="16" t="b">
        <v>1</v>
      </c>
      <c r="I274" s="16" t="s">
        <v>27</v>
      </c>
      <c r="J274" s="16" t="s">
        <v>382</v>
      </c>
      <c r="K274" s="16"/>
      <c r="L274" s="16"/>
      <c r="M274" s="16"/>
      <c r="N274" s="16"/>
      <c r="O274" s="12">
        <f>GET_OK_GROUPS_COUNT(tbHeroEnemy[[#This Row],[Camp]],tbHeroEnemy[[#This Row],[Difficulty]],tbHeroEnemy[[#This Row],[IsBoss]],tbHeroEnemy[[#This Row],[Hero1]:[Soldier3]])</f>
        <v>1</v>
      </c>
      <c r="P274" s="7">
        <v>1</v>
      </c>
      <c r="Q274" s="16" t="s">
        <v>419</v>
      </c>
      <c r="R274" s="9" t="s">
        <v>27</v>
      </c>
      <c r="S274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275" spans="2:19">
      <c r="B275" s="16" t="s">
        <v>1072</v>
      </c>
      <c r="C275" s="35" t="s">
        <v>1301</v>
      </c>
      <c r="D275" s="16">
        <v>1</v>
      </c>
      <c r="E275" s="16"/>
      <c r="F275" s="7" t="s">
        <v>151</v>
      </c>
      <c r="G275" s="16" t="s">
        <v>1126</v>
      </c>
      <c r="H275" s="7"/>
      <c r="I275" s="16" t="s">
        <v>382</v>
      </c>
      <c r="J275" s="16" t="s">
        <v>383</v>
      </c>
      <c r="K275" s="16"/>
      <c r="L275" s="16"/>
      <c r="M275" s="16"/>
      <c r="N275" s="16"/>
      <c r="O275" s="12">
        <f>GET_OK_GROUPS_COUNT(tbHeroEnemy[[#This Row],[Camp]],tbHeroEnemy[[#This Row],[Difficulty]],tbHeroEnemy[[#This Row],[IsBoss]],tbHeroEnemy[[#This Row],[Hero1]:[Soldier3]])</f>
        <v>1</v>
      </c>
      <c r="P275" s="7">
        <v>1</v>
      </c>
      <c r="Q275" s="16" t="s">
        <v>419</v>
      </c>
      <c r="R275" s="9" t="s">
        <v>912</v>
      </c>
      <c r="S275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276" spans="2:19">
      <c r="B276" s="16" t="s">
        <v>1072</v>
      </c>
      <c r="C276" s="35" t="s">
        <v>1301</v>
      </c>
      <c r="D276" s="16">
        <v>2</v>
      </c>
      <c r="E276" s="16"/>
      <c r="F276" s="7" t="s">
        <v>151</v>
      </c>
      <c r="G276" s="16" t="s">
        <v>1126</v>
      </c>
      <c r="H276" s="16" t="b">
        <v>1</v>
      </c>
      <c r="I276" s="16" t="s">
        <v>427</v>
      </c>
      <c r="J276" s="16" t="s">
        <v>380</v>
      </c>
      <c r="K276" s="16"/>
      <c r="L276" s="16"/>
      <c r="M276" s="16"/>
      <c r="N276" s="16"/>
      <c r="O276" s="12">
        <f>GET_OK_GROUPS_COUNT(tbHeroEnemy[[#This Row],[Camp]],tbHeroEnemy[[#This Row],[Difficulty]],tbHeroEnemy[[#This Row],[IsBoss]],tbHeroEnemy[[#This Row],[Hero1]:[Soldier3]])</f>
        <v>1</v>
      </c>
      <c r="P276" s="7">
        <v>1</v>
      </c>
      <c r="Q276" s="16" t="s">
        <v>419</v>
      </c>
      <c r="R276" s="9" t="s">
        <v>427</v>
      </c>
      <c r="S27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77" spans="2:19">
      <c r="B277" s="16" t="s">
        <v>1073</v>
      </c>
      <c r="C277" s="35" t="s">
        <v>1301</v>
      </c>
      <c r="D277" s="16">
        <v>1</v>
      </c>
      <c r="E277" s="16"/>
      <c r="F277" s="7" t="s">
        <v>151</v>
      </c>
      <c r="G277" s="16" t="s">
        <v>1125</v>
      </c>
      <c r="H277" s="7"/>
      <c r="I277" s="16" t="s">
        <v>385</v>
      </c>
      <c r="J277" s="16" t="s">
        <v>382</v>
      </c>
      <c r="K277" s="16"/>
      <c r="L277" s="16"/>
      <c r="M277" s="16"/>
      <c r="N277" s="16"/>
      <c r="O277" s="12">
        <f>GET_OK_GROUPS_COUNT(tbHeroEnemy[[#This Row],[Camp]],tbHeroEnemy[[#This Row],[Difficulty]],tbHeroEnemy[[#This Row],[IsBoss]],tbHeroEnemy[[#This Row],[Hero1]:[Soldier3]])</f>
        <v>1</v>
      </c>
      <c r="P277" s="7">
        <v>1</v>
      </c>
      <c r="Q277" s="16" t="s">
        <v>420</v>
      </c>
      <c r="R277" s="9" t="s">
        <v>912</v>
      </c>
      <c r="S277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278" spans="2:19">
      <c r="B278" s="16" t="s">
        <v>1073</v>
      </c>
      <c r="C278" s="35" t="s">
        <v>1301</v>
      </c>
      <c r="D278" s="16">
        <v>2</v>
      </c>
      <c r="E278" s="16"/>
      <c r="F278" s="7" t="s">
        <v>151</v>
      </c>
      <c r="G278" s="16" t="s">
        <v>1125</v>
      </c>
      <c r="H278" s="16" t="b">
        <v>1</v>
      </c>
      <c r="I278" s="16" t="s">
        <v>421</v>
      </c>
      <c r="J278" s="16" t="s">
        <v>381</v>
      </c>
      <c r="K278" s="16"/>
      <c r="L278" s="16"/>
      <c r="M278" s="16"/>
      <c r="N278" s="16"/>
      <c r="O278" s="12">
        <f>GET_OK_GROUPS_COUNT(tbHeroEnemy[[#This Row],[Camp]],tbHeroEnemy[[#This Row],[Difficulty]],tbHeroEnemy[[#This Row],[IsBoss]],tbHeroEnemy[[#This Row],[Hero1]:[Soldier3]])</f>
        <v>1</v>
      </c>
      <c r="P278" s="7">
        <v>1</v>
      </c>
      <c r="Q278" s="16" t="s">
        <v>420</v>
      </c>
      <c r="R278" s="9" t="s">
        <v>421</v>
      </c>
      <c r="S278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279" spans="2:19">
      <c r="B279" s="16" t="s">
        <v>1074</v>
      </c>
      <c r="C279" s="35" t="s">
        <v>1301</v>
      </c>
      <c r="D279" s="16">
        <v>1</v>
      </c>
      <c r="E279" s="16"/>
      <c r="F279" s="7" t="s">
        <v>151</v>
      </c>
      <c r="G279" s="16" t="s">
        <v>1125</v>
      </c>
      <c r="H279" s="7"/>
      <c r="I279" s="16" t="s">
        <v>382</v>
      </c>
      <c r="J279" s="16" t="s">
        <v>380</v>
      </c>
      <c r="K279" s="16"/>
      <c r="L279" s="16"/>
      <c r="M279" s="16"/>
      <c r="N279" s="16"/>
      <c r="O279" s="12">
        <f>GET_OK_GROUPS_COUNT(tbHeroEnemy[[#This Row],[Camp]],tbHeroEnemy[[#This Row],[Difficulty]],tbHeroEnemy[[#This Row],[IsBoss]],tbHeroEnemy[[#This Row],[Hero1]:[Soldier3]])</f>
        <v>1</v>
      </c>
      <c r="P279" s="7">
        <v>1</v>
      </c>
      <c r="Q279" s="16" t="s">
        <v>420</v>
      </c>
      <c r="R279" s="9" t="s">
        <v>912</v>
      </c>
      <c r="S279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280" spans="2:19">
      <c r="B280" s="16" t="s">
        <v>1074</v>
      </c>
      <c r="C280" s="35" t="s">
        <v>1301</v>
      </c>
      <c r="D280" s="16">
        <v>2</v>
      </c>
      <c r="E280" s="16"/>
      <c r="F280" s="7" t="s">
        <v>151</v>
      </c>
      <c r="G280" s="16" t="s">
        <v>1126</v>
      </c>
      <c r="H280" s="16" t="b">
        <v>1</v>
      </c>
      <c r="I280" s="16" t="s">
        <v>401</v>
      </c>
      <c r="J280" s="16" t="s">
        <v>383</v>
      </c>
      <c r="K280" s="16"/>
      <c r="L280" s="16"/>
      <c r="M280" s="16"/>
      <c r="N280" s="16"/>
      <c r="O280" s="12">
        <f>GET_OK_GROUPS_COUNT(tbHeroEnemy[[#This Row],[Camp]],tbHeroEnemy[[#This Row],[Difficulty]],tbHeroEnemy[[#This Row],[IsBoss]],tbHeroEnemy[[#This Row],[Hero1]:[Soldier3]])</f>
        <v>1</v>
      </c>
      <c r="P280" s="7">
        <v>1</v>
      </c>
      <c r="Q280" s="16" t="s">
        <v>420</v>
      </c>
      <c r="R280" s="9" t="s">
        <v>401</v>
      </c>
      <c r="S280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281" spans="2:19">
      <c r="B281" s="16" t="s">
        <v>1075</v>
      </c>
      <c r="C281" s="35" t="s">
        <v>1301</v>
      </c>
      <c r="D281" s="16">
        <v>1</v>
      </c>
      <c r="E281" s="16"/>
      <c r="F281" s="7" t="s">
        <v>151</v>
      </c>
      <c r="G281" s="16" t="s">
        <v>1126</v>
      </c>
      <c r="H281" s="7"/>
      <c r="I281" s="16" t="s">
        <v>382</v>
      </c>
      <c r="J281" s="16" t="s">
        <v>382</v>
      </c>
      <c r="K281" s="16"/>
      <c r="L281" s="16"/>
      <c r="M281" s="16"/>
      <c r="N281" s="16"/>
      <c r="O281" s="12">
        <f>GET_OK_GROUPS_COUNT(tbHeroEnemy[[#This Row],[Camp]],tbHeroEnemy[[#This Row],[Difficulty]],tbHeroEnemy[[#This Row],[IsBoss]],tbHeroEnemy[[#This Row],[Hero1]:[Soldier3]])</f>
        <v>1</v>
      </c>
      <c r="P281" s="7">
        <v>1</v>
      </c>
      <c r="Q281" s="16" t="s">
        <v>420</v>
      </c>
      <c r="R281" s="9" t="s">
        <v>912</v>
      </c>
      <c r="S281" s="2" t="str">
        <f>GET_OK_GROUP(tbHeroEnemy[[#This Row],[Camp]],tbHeroEnemy[[#This Row],[Difficulty]],tbHeroEnemy[[#This Row],[IsBoss]],tbHeroEnemy[[#This Row],[Hero1]:[Soldier3]],tbHeroEnemy[[#This Row],[GroupID]])</f>
        <v>三国-超难-铁英+铁英</v>
      </c>
    </row>
    <row r="282" spans="2:19">
      <c r="B282" s="16" t="s">
        <v>1075</v>
      </c>
      <c r="C282" s="35" t="s">
        <v>1301</v>
      </c>
      <c r="D282" s="16">
        <v>2</v>
      </c>
      <c r="E282" s="16"/>
      <c r="F282" s="7" t="s">
        <v>151</v>
      </c>
      <c r="G282" s="16" t="s">
        <v>1126</v>
      </c>
      <c r="H282" s="16" t="b">
        <v>1</v>
      </c>
      <c r="I282" s="16" t="s">
        <v>391</v>
      </c>
      <c r="J282" s="16" t="s">
        <v>381</v>
      </c>
      <c r="K282" s="16"/>
      <c r="L282" s="16"/>
      <c r="M282" s="16"/>
      <c r="N282" s="16"/>
      <c r="O282" s="12">
        <f>GET_OK_GROUPS_COUNT(tbHeroEnemy[[#This Row],[Camp]],tbHeroEnemy[[#This Row],[Difficulty]],tbHeroEnemy[[#This Row],[IsBoss]],tbHeroEnemy[[#This Row],[Hero1]:[Soldier3]])</f>
        <v>1</v>
      </c>
      <c r="P282" s="7">
        <v>1</v>
      </c>
      <c r="Q282" s="16" t="s">
        <v>420</v>
      </c>
      <c r="R282" s="9" t="s">
        <v>391</v>
      </c>
      <c r="S28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283" spans="2:19">
      <c r="B283" s="16" t="s">
        <v>1076</v>
      </c>
      <c r="C283" s="35" t="s">
        <v>1301</v>
      </c>
      <c r="D283" s="16">
        <v>1</v>
      </c>
      <c r="E283" s="16"/>
      <c r="F283" s="7" t="s">
        <v>151</v>
      </c>
      <c r="G283" s="16" t="s">
        <v>1126</v>
      </c>
      <c r="H283" s="7"/>
      <c r="I283" s="16" t="s">
        <v>383</v>
      </c>
      <c r="J283" s="16" t="s">
        <v>383</v>
      </c>
      <c r="K283" s="16"/>
      <c r="L283" s="16"/>
      <c r="M283" s="16"/>
      <c r="N283" s="16"/>
      <c r="O283" s="12">
        <f>GET_OK_GROUPS_COUNT(tbHeroEnemy[[#This Row],[Camp]],tbHeroEnemy[[#This Row],[Difficulty]],tbHeroEnemy[[#This Row],[IsBoss]],tbHeroEnemy[[#This Row],[Hero1]:[Soldier3]])</f>
        <v>1</v>
      </c>
      <c r="P283" s="7">
        <v>1</v>
      </c>
      <c r="Q283" s="16" t="s">
        <v>420</v>
      </c>
      <c r="R283" s="9" t="s">
        <v>912</v>
      </c>
      <c r="S283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284" spans="2:19">
      <c r="B284" s="16" t="s">
        <v>1076</v>
      </c>
      <c r="C284" s="35" t="s">
        <v>1301</v>
      </c>
      <c r="D284" s="16">
        <v>2</v>
      </c>
      <c r="E284" s="16"/>
      <c r="F284" s="7" t="s">
        <v>151</v>
      </c>
      <c r="G284" s="16" t="s">
        <v>1126</v>
      </c>
      <c r="H284" s="16" t="b">
        <v>1</v>
      </c>
      <c r="I284" s="16" t="s">
        <v>425</v>
      </c>
      <c r="J284" s="16" t="s">
        <v>380</v>
      </c>
      <c r="K284" s="16"/>
      <c r="L284" s="16"/>
      <c r="M284" s="16"/>
      <c r="N284" s="16"/>
      <c r="O284" s="12">
        <f>GET_OK_GROUPS_COUNT(tbHeroEnemy[[#This Row],[Camp]],tbHeroEnemy[[#This Row],[Difficulty]],tbHeroEnemy[[#This Row],[IsBoss]],tbHeroEnemy[[#This Row],[Hero1]:[Soldier3]])</f>
        <v>1</v>
      </c>
      <c r="P284" s="7">
        <v>1</v>
      </c>
      <c r="Q284" s="16" t="s">
        <v>420</v>
      </c>
      <c r="R284" s="9" t="s">
        <v>425</v>
      </c>
      <c r="S28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85" spans="2:19">
      <c r="B285" s="16" t="s">
        <v>1077</v>
      </c>
      <c r="C285" s="35" t="s">
        <v>1301</v>
      </c>
      <c r="D285" s="16">
        <v>1</v>
      </c>
      <c r="E285" s="16"/>
      <c r="F285" s="7" t="s">
        <v>151</v>
      </c>
      <c r="G285" s="16" t="s">
        <v>1125</v>
      </c>
      <c r="H285" s="7"/>
      <c r="I285" s="16" t="s">
        <v>383</v>
      </c>
      <c r="J285" s="16" t="s">
        <v>380</v>
      </c>
      <c r="K285" s="16"/>
      <c r="L285" s="16"/>
      <c r="M285" s="16"/>
      <c r="N285" s="16"/>
      <c r="O285" s="12">
        <f>GET_OK_GROUPS_COUNT(tbHeroEnemy[[#This Row],[Camp]],tbHeroEnemy[[#This Row],[Difficulty]],tbHeroEnemy[[#This Row],[IsBoss]],tbHeroEnemy[[#This Row],[Hero1]:[Soldier3]])</f>
        <v>1</v>
      </c>
      <c r="P285" s="7">
        <v>1</v>
      </c>
      <c r="Q285" s="16" t="s">
        <v>421</v>
      </c>
      <c r="R285" s="9" t="s">
        <v>912</v>
      </c>
      <c r="S285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86" spans="2:19">
      <c r="B286" s="16" t="s">
        <v>1077</v>
      </c>
      <c r="C286" s="35" t="s">
        <v>1301</v>
      </c>
      <c r="D286" s="16">
        <v>2</v>
      </c>
      <c r="E286" s="16"/>
      <c r="F286" s="7" t="s">
        <v>151</v>
      </c>
      <c r="G286" s="16" t="s">
        <v>1125</v>
      </c>
      <c r="H286" s="16" t="b">
        <v>1</v>
      </c>
      <c r="I286" s="16" t="s">
        <v>407</v>
      </c>
      <c r="J286" s="16" t="s">
        <v>380</v>
      </c>
      <c r="K286" s="16"/>
      <c r="L286" s="16"/>
      <c r="M286" s="16"/>
      <c r="N286" s="16"/>
      <c r="O286" s="12">
        <f>GET_OK_GROUPS_COUNT(tbHeroEnemy[[#This Row],[Camp]],tbHeroEnemy[[#This Row],[Difficulty]],tbHeroEnemy[[#This Row],[IsBoss]],tbHeroEnemy[[#This Row],[Hero1]:[Soldier3]])</f>
        <v>1</v>
      </c>
      <c r="P286" s="7">
        <v>1</v>
      </c>
      <c r="Q286" s="16" t="s">
        <v>421</v>
      </c>
      <c r="R286" s="9" t="s">
        <v>407</v>
      </c>
      <c r="S286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287" spans="2:19">
      <c r="B287" s="16" t="s">
        <v>1078</v>
      </c>
      <c r="C287" s="35" t="s">
        <v>1301</v>
      </c>
      <c r="D287" s="16">
        <v>1</v>
      </c>
      <c r="E287" s="16"/>
      <c r="F287" s="7" t="s">
        <v>151</v>
      </c>
      <c r="G287" s="16" t="s">
        <v>1125</v>
      </c>
      <c r="H287" s="7"/>
      <c r="I287" s="16" t="s">
        <v>380</v>
      </c>
      <c r="J287" s="16" t="s">
        <v>380</v>
      </c>
      <c r="K287" s="16"/>
      <c r="L287" s="16"/>
      <c r="M287" s="16"/>
      <c r="N287" s="16"/>
      <c r="O287" s="12">
        <f>GET_OK_GROUPS_COUNT(tbHeroEnemy[[#This Row],[Camp]],tbHeroEnemy[[#This Row],[Difficulty]],tbHeroEnemy[[#This Row],[IsBoss]],tbHeroEnemy[[#This Row],[Hero1]:[Soldier3]])</f>
        <v>1</v>
      </c>
      <c r="P287" s="7">
        <v>1</v>
      </c>
      <c r="Q287" s="16" t="s">
        <v>421</v>
      </c>
      <c r="R287" s="9" t="s">
        <v>912</v>
      </c>
      <c r="S287" s="2" t="str">
        <f>GET_OK_GROUP(tbHeroEnemy[[#This Row],[Camp]],tbHeroEnemy[[#This Row],[Difficulty]],tbHeroEnemy[[#This Row],[IsBoss]],tbHeroEnemy[[#This Row],[Hero1]:[Soldier3]],tbHeroEnemy[[#This Row],[GroupID]])</f>
        <v>三国-困难-盾英+盾英</v>
      </c>
    </row>
    <row r="288" spans="2:19">
      <c r="B288" s="16" t="s">
        <v>1078</v>
      </c>
      <c r="C288" s="35" t="s">
        <v>1301</v>
      </c>
      <c r="D288" s="16">
        <v>2</v>
      </c>
      <c r="E288" s="16"/>
      <c r="F288" s="7" t="s">
        <v>151</v>
      </c>
      <c r="G288" s="16" t="s">
        <v>1126</v>
      </c>
      <c r="H288" s="16" t="b">
        <v>1</v>
      </c>
      <c r="I288" s="16" t="s">
        <v>400</v>
      </c>
      <c r="J288" s="16" t="s">
        <v>382</v>
      </c>
      <c r="K288" s="16"/>
      <c r="L288" s="16"/>
      <c r="M288" s="16"/>
      <c r="N288" s="16"/>
      <c r="O288" s="12">
        <f>GET_OK_GROUPS_COUNT(tbHeroEnemy[[#This Row],[Camp]],tbHeroEnemy[[#This Row],[Difficulty]],tbHeroEnemy[[#This Row],[IsBoss]],tbHeroEnemy[[#This Row],[Hero1]:[Soldier3]])</f>
        <v>1</v>
      </c>
      <c r="P288" s="7">
        <v>1</v>
      </c>
      <c r="Q288" s="16" t="s">
        <v>421</v>
      </c>
      <c r="R288" s="9" t="s">
        <v>400</v>
      </c>
      <c r="S288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289" spans="2:19">
      <c r="B289" s="16" t="s">
        <v>1079</v>
      </c>
      <c r="C289" s="35" t="s">
        <v>1301</v>
      </c>
      <c r="D289" s="16">
        <v>1</v>
      </c>
      <c r="E289" s="16"/>
      <c r="F289" s="7" t="s">
        <v>151</v>
      </c>
      <c r="G289" s="16" t="s">
        <v>1126</v>
      </c>
      <c r="H289" s="7"/>
      <c r="I289" s="16" t="s">
        <v>380</v>
      </c>
      <c r="J289" s="16" t="s">
        <v>384</v>
      </c>
      <c r="K289" s="16"/>
      <c r="L289" s="16"/>
      <c r="M289" s="16"/>
      <c r="N289" s="16"/>
      <c r="O289" s="12">
        <f>GET_OK_GROUPS_COUNT(tbHeroEnemy[[#This Row],[Camp]],tbHeroEnemy[[#This Row],[Difficulty]],tbHeroEnemy[[#This Row],[IsBoss]],tbHeroEnemy[[#This Row],[Hero1]:[Soldier3]])</f>
        <v>1</v>
      </c>
      <c r="P289" s="7">
        <v>1</v>
      </c>
      <c r="Q289" s="16" t="s">
        <v>421</v>
      </c>
      <c r="R289" s="9" t="s">
        <v>912</v>
      </c>
      <c r="S289" s="2" t="str">
        <f>GET_OK_GROUP(tbHeroEnemy[[#This Row],[Camp]],tbHeroEnemy[[#This Row],[Difficulty]],tbHeroEnemy[[#This Row],[IsBoss]],tbHeroEnemy[[#This Row],[Hero1]:[Soldier3]],tbHeroEnemy[[#This Row],[GroupID]])</f>
        <v>三国-超难-盾英+法英</v>
      </c>
    </row>
    <row r="290" spans="2:19">
      <c r="B290" s="16" t="s">
        <v>1079</v>
      </c>
      <c r="C290" s="35" t="s">
        <v>1301</v>
      </c>
      <c r="D290" s="16">
        <v>2</v>
      </c>
      <c r="E290" s="16"/>
      <c r="F290" s="7" t="s">
        <v>151</v>
      </c>
      <c r="G290" s="16" t="s">
        <v>1126</v>
      </c>
      <c r="H290" s="16" t="b">
        <v>1</v>
      </c>
      <c r="I290" s="16" t="s">
        <v>410</v>
      </c>
      <c r="J290" s="16" t="s">
        <v>385</v>
      </c>
      <c r="K290" s="16"/>
      <c r="L290" s="16"/>
      <c r="M290" s="16"/>
      <c r="N290" s="16"/>
      <c r="O290" s="12">
        <f>GET_OK_GROUPS_COUNT(tbHeroEnemy[[#This Row],[Camp]],tbHeroEnemy[[#This Row],[Difficulty]],tbHeroEnemy[[#This Row],[IsBoss]],tbHeroEnemy[[#This Row],[Hero1]:[Soldier3]])</f>
        <v>1</v>
      </c>
      <c r="P290" s="7">
        <v>1</v>
      </c>
      <c r="Q290" s="16" t="s">
        <v>421</v>
      </c>
      <c r="R290" s="9" t="s">
        <v>410</v>
      </c>
      <c r="S290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91" spans="2:19">
      <c r="B291" s="16" t="s">
        <v>1080</v>
      </c>
      <c r="C291" s="35" t="s">
        <v>1301</v>
      </c>
      <c r="D291" s="16">
        <v>1</v>
      </c>
      <c r="E291" s="16"/>
      <c r="F291" s="7" t="s">
        <v>151</v>
      </c>
      <c r="G291" s="16" t="s">
        <v>1126</v>
      </c>
      <c r="H291" s="7"/>
      <c r="I291" s="16" t="s">
        <v>382</v>
      </c>
      <c r="J291" s="16" t="s">
        <v>382</v>
      </c>
      <c r="K291" s="16"/>
      <c r="L291" s="16"/>
      <c r="M291" s="16"/>
      <c r="N291" s="16"/>
      <c r="O291" s="12">
        <f>GET_OK_GROUPS_COUNT(tbHeroEnemy[[#This Row],[Camp]],tbHeroEnemy[[#This Row],[Difficulty]],tbHeroEnemy[[#This Row],[IsBoss]],tbHeroEnemy[[#This Row],[Hero1]:[Soldier3]])</f>
        <v>1</v>
      </c>
      <c r="P291" s="7">
        <v>1</v>
      </c>
      <c r="Q291" s="16" t="s">
        <v>421</v>
      </c>
      <c r="R291" s="9" t="s">
        <v>912</v>
      </c>
      <c r="S291" s="2" t="str">
        <f>GET_OK_GROUP(tbHeroEnemy[[#This Row],[Camp]],tbHeroEnemy[[#This Row],[Difficulty]],tbHeroEnemy[[#This Row],[IsBoss]],tbHeroEnemy[[#This Row],[Hero1]:[Soldier3]],tbHeroEnemy[[#This Row],[GroupID]])</f>
        <v>三国-超难-铁英+铁英</v>
      </c>
    </row>
    <row r="292" spans="2:19">
      <c r="B292" s="16" t="s">
        <v>1080</v>
      </c>
      <c r="C292" s="35" t="s">
        <v>1301</v>
      </c>
      <c r="D292" s="16">
        <v>2</v>
      </c>
      <c r="E292" s="16"/>
      <c r="F292" s="7" t="s">
        <v>151</v>
      </c>
      <c r="G292" s="16" t="s">
        <v>1126</v>
      </c>
      <c r="H292" s="16" t="b">
        <v>1</v>
      </c>
      <c r="I292" s="16" t="s">
        <v>401</v>
      </c>
      <c r="J292" s="16" t="s">
        <v>385</v>
      </c>
      <c r="K292" s="16"/>
      <c r="L292" s="16"/>
      <c r="M292" s="16"/>
      <c r="N292" s="16"/>
      <c r="O292" s="12">
        <f>GET_OK_GROUPS_COUNT(tbHeroEnemy[[#This Row],[Camp]],tbHeroEnemy[[#This Row],[Difficulty]],tbHeroEnemy[[#This Row],[IsBoss]],tbHeroEnemy[[#This Row],[Hero1]:[Soldier3]])</f>
        <v>1</v>
      </c>
      <c r="P292" s="7">
        <v>1</v>
      </c>
      <c r="Q292" s="16" t="s">
        <v>421</v>
      </c>
      <c r="R292" s="9" t="s">
        <v>401</v>
      </c>
      <c r="S292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293" spans="2:19">
      <c r="B293" s="16" t="s">
        <v>1081</v>
      </c>
      <c r="C293" s="35" t="s">
        <v>1301</v>
      </c>
      <c r="D293" s="16">
        <v>1</v>
      </c>
      <c r="E293" s="16"/>
      <c r="F293" s="7" t="s">
        <v>151</v>
      </c>
      <c r="G293" s="16" t="s">
        <v>1125</v>
      </c>
      <c r="H293" s="7"/>
      <c r="I293" s="16" t="s">
        <v>384</v>
      </c>
      <c r="J293" s="16" t="s">
        <v>380</v>
      </c>
      <c r="K293" s="16"/>
      <c r="L293" s="16"/>
      <c r="M293" s="16"/>
      <c r="N293" s="16"/>
      <c r="O293" s="12">
        <f>GET_OK_GROUPS_COUNT(tbHeroEnemy[[#This Row],[Camp]],tbHeroEnemy[[#This Row],[Difficulty]],tbHeroEnemy[[#This Row],[IsBoss]],tbHeroEnemy[[#This Row],[Hero1]:[Soldier3]])</f>
        <v>1</v>
      </c>
      <c r="P293" s="7">
        <v>1</v>
      </c>
      <c r="Q293" s="16" t="s">
        <v>422</v>
      </c>
      <c r="R293" s="9" t="s">
        <v>912</v>
      </c>
      <c r="S293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294" spans="2:19">
      <c r="B294" s="16" t="s">
        <v>1081</v>
      </c>
      <c r="C294" s="35" t="s">
        <v>1301</v>
      </c>
      <c r="D294" s="16">
        <v>2</v>
      </c>
      <c r="E294" s="16"/>
      <c r="F294" s="7" t="s">
        <v>151</v>
      </c>
      <c r="G294" s="16" t="s">
        <v>1125</v>
      </c>
      <c r="H294" s="16" t="b">
        <v>1</v>
      </c>
      <c r="I294" s="16" t="s">
        <v>401</v>
      </c>
      <c r="J294" s="16" t="s">
        <v>384</v>
      </c>
      <c r="K294" s="16"/>
      <c r="L294" s="16"/>
      <c r="M294" s="16"/>
      <c r="N294" s="16"/>
      <c r="O294" s="12">
        <f>GET_OK_GROUPS_COUNT(tbHeroEnemy[[#This Row],[Camp]],tbHeroEnemy[[#This Row],[Difficulty]],tbHeroEnemy[[#This Row],[IsBoss]],tbHeroEnemy[[#This Row],[Hero1]:[Soldier3]])</f>
        <v>1</v>
      </c>
      <c r="P294" s="7">
        <v>1</v>
      </c>
      <c r="Q294" s="16" t="s">
        <v>422</v>
      </c>
      <c r="R294" s="9" t="s">
        <v>401</v>
      </c>
      <c r="S294" s="2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295" spans="2:19">
      <c r="B295" s="16" t="s">
        <v>1082</v>
      </c>
      <c r="C295" s="35" t="s">
        <v>1301</v>
      </c>
      <c r="D295" s="16">
        <v>1</v>
      </c>
      <c r="E295" s="16"/>
      <c r="F295" s="7" t="s">
        <v>151</v>
      </c>
      <c r="G295" s="16" t="s">
        <v>1125</v>
      </c>
      <c r="H295" s="7"/>
      <c r="I295" s="16" t="s">
        <v>384</v>
      </c>
      <c r="J295" s="16" t="s">
        <v>385</v>
      </c>
      <c r="K295" s="16"/>
      <c r="L295" s="16"/>
      <c r="M295" s="16"/>
      <c r="N295" s="16"/>
      <c r="O295" s="12">
        <f>GET_OK_GROUPS_COUNT(tbHeroEnemy[[#This Row],[Camp]],tbHeroEnemy[[#This Row],[Difficulty]],tbHeroEnemy[[#This Row],[IsBoss]],tbHeroEnemy[[#This Row],[Hero1]:[Soldier3]])</f>
        <v>1</v>
      </c>
      <c r="P295" s="7">
        <v>1</v>
      </c>
      <c r="Q295" s="16" t="s">
        <v>422</v>
      </c>
      <c r="R295" s="9" t="s">
        <v>912</v>
      </c>
      <c r="S29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296" spans="2:19">
      <c r="B296" s="16" t="s">
        <v>1082</v>
      </c>
      <c r="C296" s="35" t="s">
        <v>1301</v>
      </c>
      <c r="D296" s="16">
        <v>2</v>
      </c>
      <c r="E296" s="16"/>
      <c r="F296" s="7" t="s">
        <v>151</v>
      </c>
      <c r="G296" s="16" t="s">
        <v>1126</v>
      </c>
      <c r="H296" s="16" t="b">
        <v>1</v>
      </c>
      <c r="I296" s="16" t="s">
        <v>432</v>
      </c>
      <c r="J296" s="16" t="s">
        <v>380</v>
      </c>
      <c r="K296" s="16"/>
      <c r="L296" s="16"/>
      <c r="M296" s="16"/>
      <c r="N296" s="16"/>
      <c r="O296" s="12">
        <f>GET_OK_GROUPS_COUNT(tbHeroEnemy[[#This Row],[Camp]],tbHeroEnemy[[#This Row],[Difficulty]],tbHeroEnemy[[#This Row],[IsBoss]],tbHeroEnemy[[#This Row],[Hero1]:[Soldier3]])</f>
        <v>1</v>
      </c>
      <c r="P296" s="7">
        <v>1</v>
      </c>
      <c r="Q296" s="16" t="s">
        <v>422</v>
      </c>
      <c r="R296" s="9" t="s">
        <v>432</v>
      </c>
      <c r="S29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97" spans="2:19">
      <c r="B297" s="16" t="s">
        <v>1083</v>
      </c>
      <c r="C297" s="35" t="s">
        <v>1301</v>
      </c>
      <c r="D297" s="16">
        <v>1</v>
      </c>
      <c r="E297" s="16"/>
      <c r="F297" s="7" t="s">
        <v>151</v>
      </c>
      <c r="G297" s="16" t="s">
        <v>1126</v>
      </c>
      <c r="H297" s="7"/>
      <c r="I297" s="16" t="s">
        <v>385</v>
      </c>
      <c r="J297" s="16" t="s">
        <v>380</v>
      </c>
      <c r="K297" s="16"/>
      <c r="L297" s="16"/>
      <c r="M297" s="16"/>
      <c r="N297" s="16"/>
      <c r="O297" s="12">
        <f>GET_OK_GROUPS_COUNT(tbHeroEnemy[[#This Row],[Camp]],tbHeroEnemy[[#This Row],[Difficulty]],tbHeroEnemy[[#This Row],[IsBoss]],tbHeroEnemy[[#This Row],[Hero1]:[Soldier3]])</f>
        <v>1</v>
      </c>
      <c r="P297" s="7">
        <v>1</v>
      </c>
      <c r="Q297" s="16" t="s">
        <v>422</v>
      </c>
      <c r="R297" s="9" t="s">
        <v>912</v>
      </c>
      <c r="S297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98" spans="2:19">
      <c r="B298" s="16" t="s">
        <v>1083</v>
      </c>
      <c r="C298" s="35" t="s">
        <v>1301</v>
      </c>
      <c r="D298" s="16">
        <v>2</v>
      </c>
      <c r="E298" s="16"/>
      <c r="F298" s="7" t="s">
        <v>151</v>
      </c>
      <c r="G298" s="16" t="s">
        <v>1126</v>
      </c>
      <c r="H298" s="16" t="b">
        <v>1</v>
      </c>
      <c r="I298" s="16" t="s">
        <v>420</v>
      </c>
      <c r="J298" s="16" t="s">
        <v>384</v>
      </c>
      <c r="K298" s="16"/>
      <c r="L298" s="16"/>
      <c r="M298" s="16"/>
      <c r="N298" s="16"/>
      <c r="O298" s="12">
        <f>GET_OK_GROUPS_COUNT(tbHeroEnemy[[#This Row],[Camp]],tbHeroEnemy[[#This Row],[Difficulty]],tbHeroEnemy[[#This Row],[IsBoss]],tbHeroEnemy[[#This Row],[Hero1]:[Soldier3]])</f>
        <v>1</v>
      </c>
      <c r="P298" s="7">
        <v>1</v>
      </c>
      <c r="Q298" s="16" t="s">
        <v>422</v>
      </c>
      <c r="R298" s="9" t="s">
        <v>420</v>
      </c>
      <c r="S298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299" spans="2:19">
      <c r="B299" s="16" t="s">
        <v>1084</v>
      </c>
      <c r="C299" s="35" t="s">
        <v>1301</v>
      </c>
      <c r="D299" s="16">
        <v>1</v>
      </c>
      <c r="E299" s="16"/>
      <c r="F299" s="7" t="s">
        <v>151</v>
      </c>
      <c r="G299" s="16" t="s">
        <v>1126</v>
      </c>
      <c r="H299" s="7"/>
      <c r="I299" s="16" t="s">
        <v>381</v>
      </c>
      <c r="J299" s="16" t="s">
        <v>382</v>
      </c>
      <c r="K299" s="16"/>
      <c r="L299" s="16"/>
      <c r="M299" s="16"/>
      <c r="N299" s="16"/>
      <c r="O299" s="12">
        <f>GET_OK_GROUPS_COUNT(tbHeroEnemy[[#This Row],[Camp]],tbHeroEnemy[[#This Row],[Difficulty]],tbHeroEnemy[[#This Row],[IsBoss]],tbHeroEnemy[[#This Row],[Hero1]:[Soldier3]])</f>
        <v>1</v>
      </c>
      <c r="P299" s="7">
        <v>1</v>
      </c>
      <c r="Q299" s="16" t="s">
        <v>422</v>
      </c>
      <c r="R299" s="9" t="s">
        <v>912</v>
      </c>
      <c r="S299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00" spans="2:19">
      <c r="B300" s="16" t="s">
        <v>1084</v>
      </c>
      <c r="C300" s="35" t="s">
        <v>1301</v>
      </c>
      <c r="D300" s="16">
        <v>2</v>
      </c>
      <c r="E300" s="16"/>
      <c r="F300" s="7" t="s">
        <v>151</v>
      </c>
      <c r="G300" s="16" t="s">
        <v>1126</v>
      </c>
      <c r="H300" s="16" t="b">
        <v>1</v>
      </c>
      <c r="I300" s="16" t="s">
        <v>431</v>
      </c>
      <c r="J300" s="16" t="s">
        <v>385</v>
      </c>
      <c r="K300" s="16"/>
      <c r="L300" s="16"/>
      <c r="M300" s="16"/>
      <c r="N300" s="16"/>
      <c r="O300" s="12">
        <f>GET_OK_GROUPS_COUNT(tbHeroEnemy[[#This Row],[Camp]],tbHeroEnemy[[#This Row],[Difficulty]],tbHeroEnemy[[#This Row],[IsBoss]],tbHeroEnemy[[#This Row],[Hero1]:[Soldier3]])</f>
        <v>1</v>
      </c>
      <c r="P300" s="7">
        <v>1</v>
      </c>
      <c r="Q300" s="16" t="s">
        <v>422</v>
      </c>
      <c r="R300" s="9" t="s">
        <v>431</v>
      </c>
      <c r="S300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301" spans="2:19">
      <c r="B301" s="16" t="s">
        <v>1085</v>
      </c>
      <c r="C301" s="35" t="s">
        <v>1301</v>
      </c>
      <c r="D301" s="16">
        <v>1</v>
      </c>
      <c r="E301" s="16"/>
      <c r="F301" s="7" t="s">
        <v>151</v>
      </c>
      <c r="G301" s="16" t="s">
        <v>1125</v>
      </c>
      <c r="H301" s="7"/>
      <c r="I301" s="16" t="s">
        <v>382</v>
      </c>
      <c r="J301" s="16" t="s">
        <v>381</v>
      </c>
      <c r="K301" s="16"/>
      <c r="L301" s="16"/>
      <c r="M301" s="16"/>
      <c r="N301" s="16"/>
      <c r="O301" s="12">
        <f>GET_OK_GROUPS_COUNT(tbHeroEnemy[[#This Row],[Camp]],tbHeroEnemy[[#This Row],[Difficulty]],tbHeroEnemy[[#This Row],[IsBoss]],tbHeroEnemy[[#This Row],[Hero1]:[Soldier3]])</f>
        <v>1</v>
      </c>
      <c r="P301" s="7">
        <v>1</v>
      </c>
      <c r="Q301" s="16" t="s">
        <v>423</v>
      </c>
      <c r="R301" s="9" t="s">
        <v>912</v>
      </c>
      <c r="S301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302" spans="2:19">
      <c r="B302" s="16" t="s">
        <v>1085</v>
      </c>
      <c r="C302" s="35" t="s">
        <v>1301</v>
      </c>
      <c r="D302" s="16">
        <v>2</v>
      </c>
      <c r="E302" s="16"/>
      <c r="F302" s="7" t="s">
        <v>151</v>
      </c>
      <c r="G302" s="16" t="s">
        <v>1125</v>
      </c>
      <c r="H302" s="16" t="b">
        <v>1</v>
      </c>
      <c r="I302" s="16" t="s">
        <v>391</v>
      </c>
      <c r="J302" s="16" t="s">
        <v>381</v>
      </c>
      <c r="K302" s="16"/>
      <c r="L302" s="16"/>
      <c r="M302" s="16"/>
      <c r="N302" s="16"/>
      <c r="O302" s="12">
        <f>GET_OK_GROUPS_COUNT(tbHeroEnemy[[#This Row],[Camp]],tbHeroEnemy[[#This Row],[Difficulty]],tbHeroEnemy[[#This Row],[IsBoss]],tbHeroEnemy[[#This Row],[Hero1]:[Soldier3]])</f>
        <v>1</v>
      </c>
      <c r="P302" s="7">
        <v>1</v>
      </c>
      <c r="Q302" s="16" t="s">
        <v>423</v>
      </c>
      <c r="R302" s="9" t="s">
        <v>391</v>
      </c>
      <c r="S302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303" spans="2:19">
      <c r="B303" s="16" t="s">
        <v>1086</v>
      </c>
      <c r="C303" s="35" t="s">
        <v>1301</v>
      </c>
      <c r="D303" s="16">
        <v>1</v>
      </c>
      <c r="E303" s="16"/>
      <c r="F303" s="7" t="s">
        <v>151</v>
      </c>
      <c r="G303" s="16" t="s">
        <v>1125</v>
      </c>
      <c r="H303" s="7"/>
      <c r="I303" s="16" t="s">
        <v>384</v>
      </c>
      <c r="J303" s="16" t="s">
        <v>383</v>
      </c>
      <c r="K303" s="16"/>
      <c r="L303" s="16"/>
      <c r="M303" s="16"/>
      <c r="N303" s="16"/>
      <c r="O303" s="12">
        <f>GET_OK_GROUPS_COUNT(tbHeroEnemy[[#This Row],[Camp]],tbHeroEnemy[[#This Row],[Difficulty]],tbHeroEnemy[[#This Row],[IsBoss]],tbHeroEnemy[[#This Row],[Hero1]:[Soldier3]])</f>
        <v>1</v>
      </c>
      <c r="P303" s="7">
        <v>1</v>
      </c>
      <c r="Q303" s="16" t="s">
        <v>423</v>
      </c>
      <c r="R303" s="9" t="s">
        <v>912</v>
      </c>
      <c r="S303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304" spans="2:19">
      <c r="B304" s="16" t="s">
        <v>1086</v>
      </c>
      <c r="C304" s="35" t="s">
        <v>1301</v>
      </c>
      <c r="D304" s="16">
        <v>2</v>
      </c>
      <c r="E304" s="16"/>
      <c r="F304" s="7" t="s">
        <v>151</v>
      </c>
      <c r="G304" s="16" t="s">
        <v>1126</v>
      </c>
      <c r="H304" s="16" t="b">
        <v>1</v>
      </c>
      <c r="I304" s="16" t="s">
        <v>411</v>
      </c>
      <c r="J304" s="16" t="s">
        <v>381</v>
      </c>
      <c r="K304" s="16"/>
      <c r="L304" s="16"/>
      <c r="M304" s="16"/>
      <c r="N304" s="16"/>
      <c r="O304" s="12">
        <f>GET_OK_GROUPS_COUNT(tbHeroEnemy[[#This Row],[Camp]],tbHeroEnemy[[#This Row],[Difficulty]],tbHeroEnemy[[#This Row],[IsBoss]],tbHeroEnemy[[#This Row],[Hero1]:[Soldier3]])</f>
        <v>1</v>
      </c>
      <c r="P304" s="7">
        <v>1</v>
      </c>
      <c r="Q304" s="16" t="s">
        <v>423</v>
      </c>
      <c r="R304" s="9" t="s">
        <v>411</v>
      </c>
      <c r="S304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05" spans="2:19">
      <c r="B305" s="16" t="s">
        <v>1087</v>
      </c>
      <c r="C305" s="35" t="s">
        <v>1301</v>
      </c>
      <c r="D305" s="16">
        <v>1</v>
      </c>
      <c r="E305" s="16"/>
      <c r="F305" s="7" t="s">
        <v>151</v>
      </c>
      <c r="G305" s="16" t="s">
        <v>1126</v>
      </c>
      <c r="H305" s="7"/>
      <c r="I305" s="16" t="s">
        <v>383</v>
      </c>
      <c r="J305" s="16" t="s">
        <v>380</v>
      </c>
      <c r="K305" s="16"/>
      <c r="L305" s="16"/>
      <c r="M305" s="16"/>
      <c r="N305" s="16"/>
      <c r="O305" s="12">
        <f>GET_OK_GROUPS_COUNT(tbHeroEnemy[[#This Row],[Camp]],tbHeroEnemy[[#This Row],[Difficulty]],tbHeroEnemy[[#This Row],[IsBoss]],tbHeroEnemy[[#This Row],[Hero1]:[Soldier3]])</f>
        <v>1</v>
      </c>
      <c r="P305" s="7">
        <v>1</v>
      </c>
      <c r="Q305" s="16" t="s">
        <v>423</v>
      </c>
      <c r="R305" s="9" t="s">
        <v>912</v>
      </c>
      <c r="S305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306" spans="2:19">
      <c r="B306" s="16" t="s">
        <v>1087</v>
      </c>
      <c r="C306" s="35" t="s">
        <v>1301</v>
      </c>
      <c r="D306" s="16">
        <v>2</v>
      </c>
      <c r="E306" s="16"/>
      <c r="F306" s="7" t="s">
        <v>151</v>
      </c>
      <c r="G306" s="16" t="s">
        <v>1126</v>
      </c>
      <c r="H306" s="16" t="b">
        <v>1</v>
      </c>
      <c r="I306" s="16" t="s">
        <v>431</v>
      </c>
      <c r="J306" s="16" t="s">
        <v>384</v>
      </c>
      <c r="K306" s="16"/>
      <c r="L306" s="16"/>
      <c r="M306" s="16"/>
      <c r="N306" s="16"/>
      <c r="O306" s="12">
        <f>GET_OK_GROUPS_COUNT(tbHeroEnemy[[#This Row],[Camp]],tbHeroEnemy[[#This Row],[Difficulty]],tbHeroEnemy[[#This Row],[IsBoss]],tbHeroEnemy[[#This Row],[Hero1]:[Soldier3]])</f>
        <v>1</v>
      </c>
      <c r="P306" s="7">
        <v>1</v>
      </c>
      <c r="Q306" s="16" t="s">
        <v>423</v>
      </c>
      <c r="R306" s="9" t="s">
        <v>431</v>
      </c>
      <c r="S306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307" spans="2:19">
      <c r="B307" s="16" t="s">
        <v>1088</v>
      </c>
      <c r="C307" s="35" t="s">
        <v>1301</v>
      </c>
      <c r="D307" s="16">
        <v>1</v>
      </c>
      <c r="E307" s="16"/>
      <c r="F307" s="7" t="s">
        <v>151</v>
      </c>
      <c r="G307" s="16" t="s">
        <v>1126</v>
      </c>
      <c r="H307" s="7"/>
      <c r="I307" s="16" t="s">
        <v>382</v>
      </c>
      <c r="J307" s="16" t="s">
        <v>385</v>
      </c>
      <c r="K307" s="16"/>
      <c r="L307" s="16"/>
      <c r="M307" s="16"/>
      <c r="N307" s="16"/>
      <c r="O307" s="12">
        <f>GET_OK_GROUPS_COUNT(tbHeroEnemy[[#This Row],[Camp]],tbHeroEnemy[[#This Row],[Difficulty]],tbHeroEnemy[[#This Row],[IsBoss]],tbHeroEnemy[[#This Row],[Hero1]:[Soldier3]])</f>
        <v>1</v>
      </c>
      <c r="P307" s="7">
        <v>1</v>
      </c>
      <c r="Q307" s="16" t="s">
        <v>423</v>
      </c>
      <c r="R307" s="9" t="s">
        <v>912</v>
      </c>
      <c r="S307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308" spans="2:19">
      <c r="B308" s="16" t="s">
        <v>1088</v>
      </c>
      <c r="C308" s="35" t="s">
        <v>1301</v>
      </c>
      <c r="D308" s="16">
        <v>2</v>
      </c>
      <c r="E308" s="16"/>
      <c r="F308" s="7" t="s">
        <v>151</v>
      </c>
      <c r="G308" s="16" t="s">
        <v>1126</v>
      </c>
      <c r="H308" s="16" t="b">
        <v>1</v>
      </c>
      <c r="I308" s="16" t="s">
        <v>428</v>
      </c>
      <c r="J308" s="16" t="s">
        <v>385</v>
      </c>
      <c r="K308" s="16"/>
      <c r="L308" s="16"/>
      <c r="M308" s="16"/>
      <c r="N308" s="16"/>
      <c r="O308" s="12">
        <f>GET_OK_GROUPS_COUNT(tbHeroEnemy[[#This Row],[Camp]],tbHeroEnemy[[#This Row],[Difficulty]],tbHeroEnemy[[#This Row],[IsBoss]],tbHeroEnemy[[#This Row],[Hero1]:[Soldier3]])</f>
        <v>1</v>
      </c>
      <c r="P308" s="7">
        <v>1</v>
      </c>
      <c r="Q308" s="16" t="s">
        <v>423</v>
      </c>
      <c r="R308" s="9" t="s">
        <v>428</v>
      </c>
      <c r="S308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309" spans="2:19">
      <c r="B309" s="16" t="s">
        <v>1089</v>
      </c>
      <c r="C309" s="35" t="s">
        <v>1301</v>
      </c>
      <c r="D309" s="16">
        <v>1</v>
      </c>
      <c r="E309" s="16"/>
      <c r="F309" s="7" t="s">
        <v>151</v>
      </c>
      <c r="G309" s="16" t="s">
        <v>1125</v>
      </c>
      <c r="H309" s="7"/>
      <c r="I309" s="16" t="s">
        <v>383</v>
      </c>
      <c r="J309" s="16" t="s">
        <v>381</v>
      </c>
      <c r="K309" s="16"/>
      <c r="L309" s="16"/>
      <c r="M309" s="16"/>
      <c r="N309" s="16"/>
      <c r="O309" s="12">
        <f>GET_OK_GROUPS_COUNT(tbHeroEnemy[[#This Row],[Camp]],tbHeroEnemy[[#This Row],[Difficulty]],tbHeroEnemy[[#This Row],[IsBoss]],tbHeroEnemy[[#This Row],[Hero1]:[Soldier3]])</f>
        <v>1</v>
      </c>
      <c r="P309" s="7">
        <v>1</v>
      </c>
      <c r="Q309" s="16" t="s">
        <v>424</v>
      </c>
      <c r="R309" s="9" t="s">
        <v>912</v>
      </c>
      <c r="S309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10" spans="2:19">
      <c r="B310" s="16" t="s">
        <v>1089</v>
      </c>
      <c r="C310" s="35" t="s">
        <v>1301</v>
      </c>
      <c r="D310" s="16">
        <v>2</v>
      </c>
      <c r="E310" s="16"/>
      <c r="F310" s="7" t="s">
        <v>151</v>
      </c>
      <c r="G310" s="16" t="s">
        <v>1125</v>
      </c>
      <c r="H310" s="16" t="b">
        <v>1</v>
      </c>
      <c r="I310" s="16" t="s">
        <v>401</v>
      </c>
      <c r="J310" s="16" t="s">
        <v>380</v>
      </c>
      <c r="K310" s="16"/>
      <c r="L310" s="16"/>
      <c r="M310" s="16"/>
      <c r="N310" s="16"/>
      <c r="O310" s="12">
        <f>GET_OK_GROUPS_COUNT(tbHeroEnemy[[#This Row],[Camp]],tbHeroEnemy[[#This Row],[Difficulty]],tbHeroEnemy[[#This Row],[IsBoss]],tbHeroEnemy[[#This Row],[Hero1]:[Soldier3]])</f>
        <v>1</v>
      </c>
      <c r="P310" s="7">
        <v>1</v>
      </c>
      <c r="Q310" s="16" t="s">
        <v>424</v>
      </c>
      <c r="R310" s="9" t="s">
        <v>401</v>
      </c>
      <c r="S310" s="2" t="str">
        <f>GET_OK_GROUP(tbHeroEnemy[[#This Row],[Camp]],tbHeroEnemy[[#This Row],[Difficulty]],tbHeroEnemy[[#This Row],[IsBoss]],tbHeroEnemy[[#This Row],[Hero1]:[Soldier3]],tbHeroEnemy[[#This Row],[GroupID]])</f>
        <v>三国-困难-[B]铁英+盾英</v>
      </c>
    </row>
    <row r="311" spans="2:19">
      <c r="B311" s="16" t="s">
        <v>1090</v>
      </c>
      <c r="C311" s="35" t="s">
        <v>1301</v>
      </c>
      <c r="D311" s="16">
        <v>1</v>
      </c>
      <c r="E311" s="16"/>
      <c r="F311" s="7" t="s">
        <v>151</v>
      </c>
      <c r="G311" s="16" t="s">
        <v>1125</v>
      </c>
      <c r="H311" s="7"/>
      <c r="I311" s="16" t="s">
        <v>382</v>
      </c>
      <c r="J311" s="16" t="s">
        <v>380</v>
      </c>
      <c r="K311" s="16"/>
      <c r="L311" s="16"/>
      <c r="M311" s="16"/>
      <c r="N311" s="16"/>
      <c r="O311" s="12">
        <f>GET_OK_GROUPS_COUNT(tbHeroEnemy[[#This Row],[Camp]],tbHeroEnemy[[#This Row],[Difficulty]],tbHeroEnemy[[#This Row],[IsBoss]],tbHeroEnemy[[#This Row],[Hero1]:[Soldier3]])</f>
        <v>1</v>
      </c>
      <c r="P311" s="7">
        <v>1</v>
      </c>
      <c r="Q311" s="16" t="s">
        <v>424</v>
      </c>
      <c r="R311" s="9" t="s">
        <v>912</v>
      </c>
      <c r="S311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312" spans="2:19">
      <c r="B312" s="16" t="s">
        <v>1090</v>
      </c>
      <c r="C312" s="35" t="s">
        <v>1301</v>
      </c>
      <c r="D312" s="16">
        <v>2</v>
      </c>
      <c r="E312" s="16"/>
      <c r="F312" s="7" t="s">
        <v>151</v>
      </c>
      <c r="G312" s="16" t="s">
        <v>1126</v>
      </c>
      <c r="H312" s="16" t="b">
        <v>1</v>
      </c>
      <c r="I312" s="16" t="s">
        <v>410</v>
      </c>
      <c r="J312" s="16" t="s">
        <v>380</v>
      </c>
      <c r="K312" s="16"/>
      <c r="L312" s="16"/>
      <c r="M312" s="16"/>
      <c r="N312" s="16"/>
      <c r="O312" s="12">
        <f>GET_OK_GROUPS_COUNT(tbHeroEnemy[[#This Row],[Camp]],tbHeroEnemy[[#This Row],[Difficulty]],tbHeroEnemy[[#This Row],[IsBoss]],tbHeroEnemy[[#This Row],[Hero1]:[Soldier3]])</f>
        <v>1</v>
      </c>
      <c r="P312" s="7">
        <v>1</v>
      </c>
      <c r="Q312" s="16" t="s">
        <v>424</v>
      </c>
      <c r="R312" s="9" t="s">
        <v>410</v>
      </c>
      <c r="S312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313" spans="2:19">
      <c r="B313" s="16" t="s">
        <v>1091</v>
      </c>
      <c r="C313" s="35" t="s">
        <v>1301</v>
      </c>
      <c r="D313" s="16">
        <v>1</v>
      </c>
      <c r="E313" s="16"/>
      <c r="F313" s="7" t="s">
        <v>151</v>
      </c>
      <c r="G313" s="16" t="s">
        <v>1126</v>
      </c>
      <c r="H313" s="7"/>
      <c r="I313" s="16" t="s">
        <v>381</v>
      </c>
      <c r="J313" s="16" t="s">
        <v>382</v>
      </c>
      <c r="K313" s="16"/>
      <c r="L313" s="16"/>
      <c r="M313" s="16"/>
      <c r="N313" s="16"/>
      <c r="O313" s="12">
        <f>GET_OK_GROUPS_COUNT(tbHeroEnemy[[#This Row],[Camp]],tbHeroEnemy[[#This Row],[Difficulty]],tbHeroEnemy[[#This Row],[IsBoss]],tbHeroEnemy[[#This Row],[Hero1]:[Soldier3]])</f>
        <v>1</v>
      </c>
      <c r="P313" s="7">
        <v>1</v>
      </c>
      <c r="Q313" s="16" t="s">
        <v>424</v>
      </c>
      <c r="R313" s="9" t="s">
        <v>912</v>
      </c>
      <c r="S313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14" spans="2:19">
      <c r="B314" s="16" t="s">
        <v>1091</v>
      </c>
      <c r="C314" s="35" t="s">
        <v>1301</v>
      </c>
      <c r="D314" s="16">
        <v>2</v>
      </c>
      <c r="E314" s="16"/>
      <c r="F314" s="7" t="s">
        <v>151</v>
      </c>
      <c r="G314" s="16" t="s">
        <v>1126</v>
      </c>
      <c r="H314" s="16" t="b">
        <v>1</v>
      </c>
      <c r="I314" s="16" t="s">
        <v>399</v>
      </c>
      <c r="J314" s="16" t="s">
        <v>381</v>
      </c>
      <c r="K314" s="16"/>
      <c r="L314" s="16"/>
      <c r="M314" s="16"/>
      <c r="N314" s="16"/>
      <c r="O314" s="12">
        <f>GET_OK_GROUPS_COUNT(tbHeroEnemy[[#This Row],[Camp]],tbHeroEnemy[[#This Row],[Difficulty]],tbHeroEnemy[[#This Row],[IsBoss]],tbHeroEnemy[[#This Row],[Hero1]:[Soldier3]])</f>
        <v>1</v>
      </c>
      <c r="P314" s="7">
        <v>1</v>
      </c>
      <c r="Q314" s="16" t="s">
        <v>424</v>
      </c>
      <c r="R314" s="9" t="s">
        <v>399</v>
      </c>
      <c r="S314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315" spans="2:19">
      <c r="B315" s="16" t="s">
        <v>1092</v>
      </c>
      <c r="C315" s="35" t="s">
        <v>1301</v>
      </c>
      <c r="D315" s="16">
        <v>1</v>
      </c>
      <c r="E315" s="16"/>
      <c r="F315" s="7" t="s">
        <v>151</v>
      </c>
      <c r="G315" s="16" t="s">
        <v>1126</v>
      </c>
      <c r="H315" s="7"/>
      <c r="I315" s="16" t="s">
        <v>385</v>
      </c>
      <c r="J315" s="16" t="s">
        <v>385</v>
      </c>
      <c r="K315" s="16"/>
      <c r="L315" s="16"/>
      <c r="M315" s="16"/>
      <c r="N315" s="16"/>
      <c r="O315" s="12">
        <f>GET_OK_GROUPS_COUNT(tbHeroEnemy[[#This Row],[Camp]],tbHeroEnemy[[#This Row],[Difficulty]],tbHeroEnemy[[#This Row],[IsBoss]],tbHeroEnemy[[#This Row],[Hero1]:[Soldier3]])</f>
        <v>1</v>
      </c>
      <c r="P315" s="7">
        <v>1</v>
      </c>
      <c r="Q315" s="16" t="s">
        <v>424</v>
      </c>
      <c r="R315" s="9" t="s">
        <v>912</v>
      </c>
      <c r="S315" s="2" t="str">
        <f>GET_OK_GROUP(tbHeroEnemy[[#This Row],[Camp]],tbHeroEnemy[[#This Row],[Difficulty]],tbHeroEnemy[[#This Row],[IsBoss]],tbHeroEnemy[[#This Row],[Hero1]:[Soldier3]],tbHeroEnemy[[#This Row],[GroupID]])</f>
        <v>三国-超难-刺英+刺英</v>
      </c>
    </row>
    <row r="316" spans="2:19">
      <c r="B316" s="16" t="s">
        <v>1092</v>
      </c>
      <c r="C316" s="35" t="s">
        <v>1301</v>
      </c>
      <c r="D316" s="16">
        <v>2</v>
      </c>
      <c r="E316" s="16"/>
      <c r="F316" s="7" t="s">
        <v>151</v>
      </c>
      <c r="G316" s="16" t="s">
        <v>1126</v>
      </c>
      <c r="H316" s="16" t="b">
        <v>1</v>
      </c>
      <c r="I316" s="16" t="s">
        <v>412</v>
      </c>
      <c r="J316" s="16" t="s">
        <v>384</v>
      </c>
      <c r="K316" s="16"/>
      <c r="L316" s="16"/>
      <c r="M316" s="16"/>
      <c r="N316" s="16"/>
      <c r="O316" s="12">
        <f>GET_OK_GROUPS_COUNT(tbHeroEnemy[[#This Row],[Camp]],tbHeroEnemy[[#This Row],[Difficulty]],tbHeroEnemy[[#This Row],[IsBoss]],tbHeroEnemy[[#This Row],[Hero1]:[Soldier3]])</f>
        <v>1</v>
      </c>
      <c r="P316" s="7">
        <v>1</v>
      </c>
      <c r="Q316" s="16" t="s">
        <v>424</v>
      </c>
      <c r="R316" s="9" t="s">
        <v>412</v>
      </c>
      <c r="S316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317" spans="2:19">
      <c r="B317" s="16" t="s">
        <v>1250</v>
      </c>
      <c r="C317" s="35" t="s">
        <v>1301</v>
      </c>
      <c r="D317" s="16">
        <v>1</v>
      </c>
      <c r="E317" s="16"/>
      <c r="F317" s="7" t="s">
        <v>151</v>
      </c>
      <c r="G317" s="16" t="s">
        <v>1125</v>
      </c>
      <c r="H317" s="7"/>
      <c r="I317" s="16" t="s">
        <v>383</v>
      </c>
      <c r="J317" s="16" t="s">
        <v>381</v>
      </c>
      <c r="K317" s="16"/>
      <c r="L317" s="16"/>
      <c r="M317" s="16"/>
      <c r="N317" s="16"/>
      <c r="O317" s="12">
        <f>GET_OK_GROUPS_COUNT(tbHeroEnemy[[#This Row],[Camp]],tbHeroEnemy[[#This Row],[Difficulty]],tbHeroEnemy[[#This Row],[IsBoss]],tbHeroEnemy[[#This Row],[Hero1]:[Soldier3]])</f>
        <v>1</v>
      </c>
      <c r="P317" s="7">
        <v>1</v>
      </c>
      <c r="Q317" s="16" t="s">
        <v>425</v>
      </c>
      <c r="R317" s="9" t="s">
        <v>912</v>
      </c>
      <c r="S317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18" spans="2:19">
      <c r="B318" s="16" t="s">
        <v>1250</v>
      </c>
      <c r="C318" s="35" t="s">
        <v>1301</v>
      </c>
      <c r="D318" s="16">
        <v>2</v>
      </c>
      <c r="E318" s="16"/>
      <c r="F318" s="7" t="s">
        <v>151</v>
      </c>
      <c r="G318" s="16" t="s">
        <v>1125</v>
      </c>
      <c r="H318" s="16" t="b">
        <v>1</v>
      </c>
      <c r="I318" s="16" t="s">
        <v>393</v>
      </c>
      <c r="J318" s="16" t="s">
        <v>381</v>
      </c>
      <c r="K318" s="16"/>
      <c r="L318" s="16"/>
      <c r="M318" s="16"/>
      <c r="N318" s="16"/>
      <c r="O318" s="12">
        <f>GET_OK_GROUPS_COUNT(tbHeroEnemy[[#This Row],[Camp]],tbHeroEnemy[[#This Row],[Difficulty]],tbHeroEnemy[[#This Row],[IsBoss]],tbHeroEnemy[[#This Row],[Hero1]:[Soldier3]])</f>
        <v>1</v>
      </c>
      <c r="P318" s="7">
        <v>1</v>
      </c>
      <c r="Q318" s="16" t="s">
        <v>425</v>
      </c>
      <c r="R318" s="9" t="s">
        <v>393</v>
      </c>
      <c r="S318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319" spans="2:19">
      <c r="B319" s="16" t="s">
        <v>1251</v>
      </c>
      <c r="C319" s="35" t="s">
        <v>1301</v>
      </c>
      <c r="D319" s="16">
        <v>1</v>
      </c>
      <c r="E319" s="16"/>
      <c r="F319" s="7" t="s">
        <v>151</v>
      </c>
      <c r="G319" s="16" t="s">
        <v>1125</v>
      </c>
      <c r="H319" s="7"/>
      <c r="I319" s="16" t="s">
        <v>380</v>
      </c>
      <c r="J319" s="16" t="s">
        <v>385</v>
      </c>
      <c r="K319" s="16"/>
      <c r="L319" s="16"/>
      <c r="M319" s="16"/>
      <c r="N319" s="16"/>
      <c r="O319" s="12">
        <f>GET_OK_GROUPS_COUNT(tbHeroEnemy[[#This Row],[Camp]],tbHeroEnemy[[#This Row],[Difficulty]],tbHeroEnemy[[#This Row],[IsBoss]],tbHeroEnemy[[#This Row],[Hero1]:[Soldier3]])</f>
        <v>1</v>
      </c>
      <c r="P319" s="7">
        <v>1</v>
      </c>
      <c r="Q319" s="16" t="s">
        <v>425</v>
      </c>
      <c r="R319" s="9" t="s">
        <v>912</v>
      </c>
      <c r="S319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320" spans="2:19">
      <c r="B320" s="16" t="s">
        <v>1251</v>
      </c>
      <c r="C320" s="35" t="s">
        <v>1301</v>
      </c>
      <c r="D320" s="16">
        <v>2</v>
      </c>
      <c r="E320" s="16"/>
      <c r="F320" s="7" t="s">
        <v>151</v>
      </c>
      <c r="G320" s="16" t="s">
        <v>1126</v>
      </c>
      <c r="H320" s="16" t="b">
        <v>1</v>
      </c>
      <c r="I320" s="16" t="s">
        <v>404</v>
      </c>
      <c r="J320" s="16" t="s">
        <v>384</v>
      </c>
      <c r="K320" s="16"/>
      <c r="L320" s="16"/>
      <c r="M320" s="16"/>
      <c r="N320" s="16"/>
      <c r="O320" s="12">
        <f>GET_OK_GROUPS_COUNT(tbHeroEnemy[[#This Row],[Camp]],tbHeroEnemy[[#This Row],[Difficulty]],tbHeroEnemy[[#This Row],[IsBoss]],tbHeroEnemy[[#This Row],[Hero1]:[Soldier3]])</f>
        <v>1</v>
      </c>
      <c r="P320" s="7">
        <v>1</v>
      </c>
      <c r="Q320" s="16" t="s">
        <v>425</v>
      </c>
      <c r="R320" s="9" t="s">
        <v>404</v>
      </c>
      <c r="S320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321" spans="2:19">
      <c r="B321" s="16" t="s">
        <v>1252</v>
      </c>
      <c r="C321" s="35" t="s">
        <v>1301</v>
      </c>
      <c r="D321" s="16">
        <v>1</v>
      </c>
      <c r="E321" s="16"/>
      <c r="F321" s="7" t="s">
        <v>151</v>
      </c>
      <c r="G321" s="16" t="s">
        <v>1126</v>
      </c>
      <c r="H321" s="7"/>
      <c r="I321" s="16" t="s">
        <v>380</v>
      </c>
      <c r="J321" s="16" t="s">
        <v>380</v>
      </c>
      <c r="K321" s="16"/>
      <c r="L321" s="16"/>
      <c r="M321" s="16"/>
      <c r="N321" s="16"/>
      <c r="O321" s="12">
        <f>GET_OK_GROUPS_COUNT(tbHeroEnemy[[#This Row],[Camp]],tbHeroEnemy[[#This Row],[Difficulty]],tbHeroEnemy[[#This Row],[IsBoss]],tbHeroEnemy[[#This Row],[Hero1]:[Soldier3]])</f>
        <v>1</v>
      </c>
      <c r="P321" s="7">
        <v>1</v>
      </c>
      <c r="Q321" s="16" t="s">
        <v>425</v>
      </c>
      <c r="R321" s="9" t="s">
        <v>912</v>
      </c>
      <c r="S321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322" spans="2:19">
      <c r="B322" s="16" t="s">
        <v>1252</v>
      </c>
      <c r="C322" s="35" t="s">
        <v>1301</v>
      </c>
      <c r="D322" s="16">
        <v>2</v>
      </c>
      <c r="E322" s="16"/>
      <c r="F322" s="7" t="s">
        <v>151</v>
      </c>
      <c r="G322" s="16" t="s">
        <v>1126</v>
      </c>
      <c r="H322" s="16" t="b">
        <v>1</v>
      </c>
      <c r="I322" s="16" t="s">
        <v>424</v>
      </c>
      <c r="J322" s="16" t="s">
        <v>385</v>
      </c>
      <c r="K322" s="16"/>
      <c r="L322" s="16"/>
      <c r="M322" s="16"/>
      <c r="N322" s="16"/>
      <c r="O322" s="12">
        <f>GET_OK_GROUPS_COUNT(tbHeroEnemy[[#This Row],[Camp]],tbHeroEnemy[[#This Row],[Difficulty]],tbHeroEnemy[[#This Row],[IsBoss]],tbHeroEnemy[[#This Row],[Hero1]:[Soldier3]])</f>
        <v>1</v>
      </c>
      <c r="P322" s="7">
        <v>1</v>
      </c>
      <c r="Q322" s="16" t="s">
        <v>425</v>
      </c>
      <c r="R322" s="9" t="s">
        <v>424</v>
      </c>
      <c r="S32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323" spans="2:19">
      <c r="B323" s="16" t="s">
        <v>1253</v>
      </c>
      <c r="C323" s="35" t="s">
        <v>1301</v>
      </c>
      <c r="D323" s="16">
        <v>1</v>
      </c>
      <c r="E323" s="16"/>
      <c r="F323" s="7" t="s">
        <v>151</v>
      </c>
      <c r="G323" s="16" t="s">
        <v>1126</v>
      </c>
      <c r="H323" s="7"/>
      <c r="I323" s="16" t="s">
        <v>383</v>
      </c>
      <c r="J323" s="16" t="s">
        <v>381</v>
      </c>
      <c r="K323" s="16"/>
      <c r="L323" s="16"/>
      <c r="M323" s="16"/>
      <c r="N323" s="16"/>
      <c r="O323" s="12">
        <f>GET_OK_GROUPS_COUNT(tbHeroEnemy[[#This Row],[Camp]],tbHeroEnemy[[#This Row],[Difficulty]],tbHeroEnemy[[#This Row],[IsBoss]],tbHeroEnemy[[#This Row],[Hero1]:[Soldier3]])</f>
        <v>1</v>
      </c>
      <c r="P323" s="7">
        <v>1</v>
      </c>
      <c r="Q323" s="16" t="s">
        <v>425</v>
      </c>
      <c r="R323" s="9" t="s">
        <v>912</v>
      </c>
      <c r="S323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24" spans="2:19">
      <c r="B324" s="16" t="s">
        <v>1253</v>
      </c>
      <c r="C324" s="35" t="s">
        <v>1301</v>
      </c>
      <c r="D324" s="16">
        <v>2</v>
      </c>
      <c r="E324" s="16"/>
      <c r="F324" s="7" t="s">
        <v>151</v>
      </c>
      <c r="G324" s="16" t="s">
        <v>1126</v>
      </c>
      <c r="H324" s="16" t="b">
        <v>1</v>
      </c>
      <c r="I324" s="16" t="s">
        <v>404</v>
      </c>
      <c r="J324" s="16" t="s">
        <v>383</v>
      </c>
      <c r="K324" s="16"/>
      <c r="L324" s="16"/>
      <c r="M324" s="16"/>
      <c r="N324" s="16"/>
      <c r="O324" s="12">
        <f>GET_OK_GROUPS_COUNT(tbHeroEnemy[[#This Row],[Camp]],tbHeroEnemy[[#This Row],[Difficulty]],tbHeroEnemy[[#This Row],[IsBoss]],tbHeroEnemy[[#This Row],[Hero1]:[Soldier3]])</f>
        <v>1</v>
      </c>
      <c r="P324" s="7">
        <v>1</v>
      </c>
      <c r="Q324" s="16" t="s">
        <v>425</v>
      </c>
      <c r="R324" s="9" t="s">
        <v>404</v>
      </c>
      <c r="S324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325" spans="2:19">
      <c r="B325" s="16" t="s">
        <v>1093</v>
      </c>
      <c r="C325" s="35" t="s">
        <v>1301</v>
      </c>
      <c r="D325" s="16">
        <v>1</v>
      </c>
      <c r="E325" s="16"/>
      <c r="F325" s="7" t="s">
        <v>151</v>
      </c>
      <c r="G325" s="16" t="s">
        <v>1125</v>
      </c>
      <c r="H325" s="7"/>
      <c r="I325" s="16" t="s">
        <v>384</v>
      </c>
      <c r="J325" s="16" t="s">
        <v>385</v>
      </c>
      <c r="K325" s="16"/>
      <c r="L325" s="16"/>
      <c r="M325" s="16"/>
      <c r="N325" s="16"/>
      <c r="O325" s="12">
        <f>GET_OK_GROUPS_COUNT(tbHeroEnemy[[#This Row],[Camp]],tbHeroEnemy[[#This Row],[Difficulty]],tbHeroEnemy[[#This Row],[IsBoss]],tbHeroEnemy[[#This Row],[Hero1]:[Soldier3]])</f>
        <v>1</v>
      </c>
      <c r="P325" s="7">
        <v>1</v>
      </c>
      <c r="Q325" s="16" t="s">
        <v>426</v>
      </c>
      <c r="R325" s="9" t="s">
        <v>912</v>
      </c>
      <c r="S32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26" spans="2:19">
      <c r="B326" s="16" t="s">
        <v>1093</v>
      </c>
      <c r="C326" s="35" t="s">
        <v>1301</v>
      </c>
      <c r="D326" s="16">
        <v>2</v>
      </c>
      <c r="E326" s="16"/>
      <c r="F326" s="7" t="s">
        <v>151</v>
      </c>
      <c r="G326" s="16" t="s">
        <v>1125</v>
      </c>
      <c r="H326" s="16" t="b">
        <v>1</v>
      </c>
      <c r="I326" s="16" t="s">
        <v>411</v>
      </c>
      <c r="J326" s="16" t="s">
        <v>382</v>
      </c>
      <c r="K326" s="16"/>
      <c r="L326" s="16"/>
      <c r="M326" s="16"/>
      <c r="N326" s="16"/>
      <c r="O326" s="12">
        <f>GET_OK_GROUPS_COUNT(tbHeroEnemy[[#This Row],[Camp]],tbHeroEnemy[[#This Row],[Difficulty]],tbHeroEnemy[[#This Row],[IsBoss]],tbHeroEnemy[[#This Row],[Hero1]:[Soldier3]])</f>
        <v>1</v>
      </c>
      <c r="P326" s="7">
        <v>1</v>
      </c>
      <c r="Q326" s="16" t="s">
        <v>426</v>
      </c>
      <c r="R326" s="9" t="s">
        <v>411</v>
      </c>
      <c r="S326" s="2" t="str">
        <f>GET_OK_GROUP(tbHeroEnemy[[#This Row],[Camp]],tbHeroEnemy[[#This Row],[Difficulty]],tbHeroEnemy[[#This Row],[IsBoss]],tbHeroEnemy[[#This Row],[Hero1]:[Soldier3]],tbHeroEnemy[[#This Row],[GroupID]])</f>
        <v>三国-困难-[B]铁英+铁英</v>
      </c>
    </row>
    <row r="327" spans="2:19">
      <c r="B327" s="16" t="s">
        <v>1094</v>
      </c>
      <c r="C327" s="35" t="s">
        <v>1301</v>
      </c>
      <c r="D327" s="16">
        <v>1</v>
      </c>
      <c r="E327" s="16"/>
      <c r="F327" s="7" t="s">
        <v>151</v>
      </c>
      <c r="G327" s="16" t="s">
        <v>1125</v>
      </c>
      <c r="H327" s="7"/>
      <c r="I327" s="16" t="s">
        <v>383</v>
      </c>
      <c r="J327" s="16" t="s">
        <v>381</v>
      </c>
      <c r="K327" s="16"/>
      <c r="L327" s="16"/>
      <c r="M327" s="16"/>
      <c r="N327" s="16"/>
      <c r="O327" s="12">
        <f>GET_OK_GROUPS_COUNT(tbHeroEnemy[[#This Row],[Camp]],tbHeroEnemy[[#This Row],[Difficulty]],tbHeroEnemy[[#This Row],[IsBoss]],tbHeroEnemy[[#This Row],[Hero1]:[Soldier3]])</f>
        <v>1</v>
      </c>
      <c r="P327" s="7">
        <v>1</v>
      </c>
      <c r="Q327" s="16" t="s">
        <v>426</v>
      </c>
      <c r="R327" s="9" t="s">
        <v>912</v>
      </c>
      <c r="S327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28" spans="2:19">
      <c r="B328" s="16" t="s">
        <v>1094</v>
      </c>
      <c r="C328" s="35" t="s">
        <v>1301</v>
      </c>
      <c r="D328" s="16">
        <v>2</v>
      </c>
      <c r="E328" s="16"/>
      <c r="F328" s="7" t="s">
        <v>151</v>
      </c>
      <c r="G328" s="16" t="s">
        <v>1126</v>
      </c>
      <c r="H328" s="16" t="b">
        <v>1</v>
      </c>
      <c r="I328" s="16" t="s">
        <v>404</v>
      </c>
      <c r="J328" s="16" t="s">
        <v>381</v>
      </c>
      <c r="K328" s="16"/>
      <c r="L328" s="16"/>
      <c r="M328" s="16"/>
      <c r="N328" s="16"/>
      <c r="O328" s="12">
        <f>GET_OK_GROUPS_COUNT(tbHeroEnemy[[#This Row],[Camp]],tbHeroEnemy[[#This Row],[Difficulty]],tbHeroEnemy[[#This Row],[IsBoss]],tbHeroEnemy[[#This Row],[Hero1]:[Soldier3]])</f>
        <v>1</v>
      </c>
      <c r="P328" s="7">
        <v>1</v>
      </c>
      <c r="Q328" s="16" t="s">
        <v>426</v>
      </c>
      <c r="R328" s="9" t="s">
        <v>404</v>
      </c>
      <c r="S328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29" spans="2:19">
      <c r="B329" s="16" t="s">
        <v>1095</v>
      </c>
      <c r="C329" s="35" t="s">
        <v>1301</v>
      </c>
      <c r="D329" s="16">
        <v>1</v>
      </c>
      <c r="E329" s="16"/>
      <c r="F329" s="7" t="s">
        <v>151</v>
      </c>
      <c r="G329" s="16" t="s">
        <v>1126</v>
      </c>
      <c r="H329" s="7"/>
      <c r="I329" s="16" t="s">
        <v>382</v>
      </c>
      <c r="J329" s="16" t="s">
        <v>383</v>
      </c>
      <c r="K329" s="16"/>
      <c r="L329" s="16"/>
      <c r="M329" s="16"/>
      <c r="N329" s="16"/>
      <c r="O329" s="12">
        <f>GET_OK_GROUPS_COUNT(tbHeroEnemy[[#This Row],[Camp]],tbHeroEnemy[[#This Row],[Difficulty]],tbHeroEnemy[[#This Row],[IsBoss]],tbHeroEnemy[[#This Row],[Hero1]:[Soldier3]])</f>
        <v>1</v>
      </c>
      <c r="P329" s="7">
        <v>1</v>
      </c>
      <c r="Q329" s="16" t="s">
        <v>426</v>
      </c>
      <c r="R329" s="9" t="s">
        <v>912</v>
      </c>
      <c r="S329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30" spans="2:19">
      <c r="B330" s="16" t="s">
        <v>1095</v>
      </c>
      <c r="C330" s="35" t="s">
        <v>1301</v>
      </c>
      <c r="D330" s="16">
        <v>2</v>
      </c>
      <c r="E330" s="16"/>
      <c r="F330" s="7" t="s">
        <v>151</v>
      </c>
      <c r="G330" s="16" t="s">
        <v>1126</v>
      </c>
      <c r="H330" s="16" t="b">
        <v>1</v>
      </c>
      <c r="I330" s="16" t="s">
        <v>419</v>
      </c>
      <c r="J330" s="16" t="s">
        <v>383</v>
      </c>
      <c r="K330" s="16"/>
      <c r="L330" s="16"/>
      <c r="M330" s="16"/>
      <c r="N330" s="16"/>
      <c r="O330" s="12">
        <f>GET_OK_GROUPS_COUNT(tbHeroEnemy[[#This Row],[Camp]],tbHeroEnemy[[#This Row],[Difficulty]],tbHeroEnemy[[#This Row],[IsBoss]],tbHeroEnemy[[#This Row],[Hero1]:[Soldier3]])</f>
        <v>1</v>
      </c>
      <c r="P330" s="7">
        <v>1</v>
      </c>
      <c r="Q330" s="16" t="s">
        <v>426</v>
      </c>
      <c r="R330" s="9" t="s">
        <v>419</v>
      </c>
      <c r="S33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31" spans="2:19">
      <c r="B331" s="16" t="s">
        <v>1096</v>
      </c>
      <c r="C331" s="35" t="s">
        <v>1301</v>
      </c>
      <c r="D331" s="16">
        <v>1</v>
      </c>
      <c r="E331" s="16"/>
      <c r="F331" s="7" t="s">
        <v>151</v>
      </c>
      <c r="G331" s="16" t="s">
        <v>1126</v>
      </c>
      <c r="H331" s="7"/>
      <c r="I331" s="16" t="s">
        <v>382</v>
      </c>
      <c r="J331" s="16" t="s">
        <v>384</v>
      </c>
      <c r="K331" s="16"/>
      <c r="L331" s="16"/>
      <c r="M331" s="16"/>
      <c r="N331" s="16"/>
      <c r="O331" s="12">
        <f>GET_OK_GROUPS_COUNT(tbHeroEnemy[[#This Row],[Camp]],tbHeroEnemy[[#This Row],[Difficulty]],tbHeroEnemy[[#This Row],[IsBoss]],tbHeroEnemy[[#This Row],[Hero1]:[Soldier3]])</f>
        <v>1</v>
      </c>
      <c r="P331" s="7">
        <v>1</v>
      </c>
      <c r="Q331" s="16" t="s">
        <v>426</v>
      </c>
      <c r="R331" s="9" t="s">
        <v>912</v>
      </c>
      <c r="S33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332" spans="2:19">
      <c r="B332" s="16" t="s">
        <v>1096</v>
      </c>
      <c r="C332" s="35" t="s">
        <v>1301</v>
      </c>
      <c r="D332" s="16">
        <v>2</v>
      </c>
      <c r="E332" s="16"/>
      <c r="F332" s="7" t="s">
        <v>151</v>
      </c>
      <c r="G332" s="16" t="s">
        <v>1126</v>
      </c>
      <c r="H332" s="16" t="b">
        <v>1</v>
      </c>
      <c r="I332" s="16" t="s">
        <v>415</v>
      </c>
      <c r="J332" s="16" t="s">
        <v>385</v>
      </c>
      <c r="K332" s="16"/>
      <c r="L332" s="16"/>
      <c r="M332" s="16"/>
      <c r="N332" s="16"/>
      <c r="O332" s="12">
        <f>GET_OK_GROUPS_COUNT(tbHeroEnemy[[#This Row],[Camp]],tbHeroEnemy[[#This Row],[Difficulty]],tbHeroEnemy[[#This Row],[IsBoss]],tbHeroEnemy[[#This Row],[Hero1]:[Soldier3]])</f>
        <v>1</v>
      </c>
      <c r="P332" s="7">
        <v>1</v>
      </c>
      <c r="Q332" s="16" t="s">
        <v>426</v>
      </c>
      <c r="R332" s="9" t="s">
        <v>415</v>
      </c>
      <c r="S332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333" spans="2:19">
      <c r="B333" s="16" t="s">
        <v>1097</v>
      </c>
      <c r="C333" s="35" t="s">
        <v>1301</v>
      </c>
      <c r="D333" s="16">
        <v>1</v>
      </c>
      <c r="E333" s="16"/>
      <c r="F333" s="7" t="s">
        <v>151</v>
      </c>
      <c r="G333" s="16" t="s">
        <v>1125</v>
      </c>
      <c r="H333" s="7"/>
      <c r="I333" s="16" t="s">
        <v>385</v>
      </c>
      <c r="J333" s="16" t="s">
        <v>384</v>
      </c>
      <c r="K333" s="16"/>
      <c r="L333" s="16"/>
      <c r="M333" s="16"/>
      <c r="N333" s="16"/>
      <c r="O333" s="12">
        <f>GET_OK_GROUPS_COUNT(tbHeroEnemy[[#This Row],[Camp]],tbHeroEnemy[[#This Row],[Difficulty]],tbHeroEnemy[[#This Row],[IsBoss]],tbHeroEnemy[[#This Row],[Hero1]:[Soldier3]])</f>
        <v>1</v>
      </c>
      <c r="P333" s="7">
        <v>1</v>
      </c>
      <c r="Q333" s="16" t="s">
        <v>427</v>
      </c>
      <c r="R333" s="9" t="s">
        <v>912</v>
      </c>
      <c r="S333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34" spans="2:19">
      <c r="B334" s="16" t="s">
        <v>1097</v>
      </c>
      <c r="C334" s="35" t="s">
        <v>1301</v>
      </c>
      <c r="D334" s="16">
        <v>2</v>
      </c>
      <c r="E334" s="16"/>
      <c r="F334" s="7" t="s">
        <v>151</v>
      </c>
      <c r="G334" s="16" t="s">
        <v>1125</v>
      </c>
      <c r="H334" s="16" t="b">
        <v>1</v>
      </c>
      <c r="I334" s="16" t="s">
        <v>409</v>
      </c>
      <c r="J334" s="16" t="s">
        <v>381</v>
      </c>
      <c r="K334" s="16"/>
      <c r="L334" s="16"/>
      <c r="M334" s="16"/>
      <c r="N334" s="16"/>
      <c r="O334" s="12">
        <f>GET_OK_GROUPS_COUNT(tbHeroEnemy[[#This Row],[Camp]],tbHeroEnemy[[#This Row],[Difficulty]],tbHeroEnemy[[#This Row],[IsBoss]],tbHeroEnemy[[#This Row],[Hero1]:[Soldier3]])</f>
        <v>1</v>
      </c>
      <c r="P334" s="7">
        <v>1</v>
      </c>
      <c r="Q334" s="16" t="s">
        <v>427</v>
      </c>
      <c r="R334" s="9" t="s">
        <v>409</v>
      </c>
      <c r="S334" s="2" t="str">
        <f>GET_OK_GROUP(tbHeroEnemy[[#This Row],[Camp]],tbHeroEnemy[[#This Row],[Difficulty]],tbHeroEnemy[[#This Row],[IsBoss]],tbHeroEnemy[[#This Row],[Hero1]:[Soldier3]],tbHeroEnemy[[#This Row],[GroupID]])</f>
        <v>三国-困难-[B]强英+强英</v>
      </c>
    </row>
    <row r="335" spans="2:19">
      <c r="B335" s="16" t="s">
        <v>1098</v>
      </c>
      <c r="C335" s="35" t="s">
        <v>1301</v>
      </c>
      <c r="D335" s="16">
        <v>1</v>
      </c>
      <c r="E335" s="16"/>
      <c r="F335" s="7" t="s">
        <v>151</v>
      </c>
      <c r="G335" s="16" t="s">
        <v>1125</v>
      </c>
      <c r="H335" s="7"/>
      <c r="I335" s="16" t="s">
        <v>384</v>
      </c>
      <c r="J335" s="16" t="s">
        <v>385</v>
      </c>
      <c r="K335" s="16"/>
      <c r="L335" s="16"/>
      <c r="M335" s="16"/>
      <c r="N335" s="16"/>
      <c r="O335" s="12">
        <f>GET_OK_GROUPS_COUNT(tbHeroEnemy[[#This Row],[Camp]],tbHeroEnemy[[#This Row],[Difficulty]],tbHeroEnemy[[#This Row],[IsBoss]],tbHeroEnemy[[#This Row],[Hero1]:[Soldier3]])</f>
        <v>1</v>
      </c>
      <c r="P335" s="7">
        <v>1</v>
      </c>
      <c r="Q335" s="16" t="s">
        <v>427</v>
      </c>
      <c r="R335" s="9" t="s">
        <v>912</v>
      </c>
      <c r="S33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36" spans="2:19">
      <c r="B336" s="16" t="s">
        <v>1098</v>
      </c>
      <c r="C336" s="35" t="s">
        <v>1301</v>
      </c>
      <c r="D336" s="16">
        <v>2</v>
      </c>
      <c r="E336" s="16"/>
      <c r="F336" s="7" t="s">
        <v>151</v>
      </c>
      <c r="G336" s="16" t="s">
        <v>1126</v>
      </c>
      <c r="H336" s="16" t="b">
        <v>1</v>
      </c>
      <c r="I336" s="16" t="s">
        <v>409</v>
      </c>
      <c r="J336" s="16" t="s">
        <v>382</v>
      </c>
      <c r="K336" s="16"/>
      <c r="L336" s="16"/>
      <c r="M336" s="16"/>
      <c r="N336" s="16"/>
      <c r="O336" s="12">
        <f>GET_OK_GROUPS_COUNT(tbHeroEnemy[[#This Row],[Camp]],tbHeroEnemy[[#This Row],[Difficulty]],tbHeroEnemy[[#This Row],[IsBoss]],tbHeroEnemy[[#This Row],[Hero1]:[Soldier3]])</f>
        <v>1</v>
      </c>
      <c r="P336" s="7">
        <v>1</v>
      </c>
      <c r="Q336" s="16" t="s">
        <v>427</v>
      </c>
      <c r="R336" s="9" t="s">
        <v>409</v>
      </c>
      <c r="S336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37" spans="2:19">
      <c r="B337" s="16" t="s">
        <v>1099</v>
      </c>
      <c r="C337" s="35" t="s">
        <v>1301</v>
      </c>
      <c r="D337" s="16">
        <v>1</v>
      </c>
      <c r="E337" s="16"/>
      <c r="F337" s="7" t="s">
        <v>151</v>
      </c>
      <c r="G337" s="16" t="s">
        <v>1126</v>
      </c>
      <c r="H337" s="7"/>
      <c r="I337" s="16" t="s">
        <v>380</v>
      </c>
      <c r="J337" s="16" t="s">
        <v>385</v>
      </c>
      <c r="K337" s="16"/>
      <c r="L337" s="16"/>
      <c r="M337" s="16"/>
      <c r="N337" s="16"/>
      <c r="O337" s="12">
        <f>GET_OK_GROUPS_COUNT(tbHeroEnemy[[#This Row],[Camp]],tbHeroEnemy[[#This Row],[Difficulty]],tbHeroEnemy[[#This Row],[IsBoss]],tbHeroEnemy[[#This Row],[Hero1]:[Soldier3]])</f>
        <v>1</v>
      </c>
      <c r="P337" s="7">
        <v>1</v>
      </c>
      <c r="Q337" s="16" t="s">
        <v>427</v>
      </c>
      <c r="R337" s="9" t="s">
        <v>912</v>
      </c>
      <c r="S337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38" spans="2:19">
      <c r="B338" s="16" t="s">
        <v>1099</v>
      </c>
      <c r="C338" s="35" t="s">
        <v>1301</v>
      </c>
      <c r="D338" s="16">
        <v>2</v>
      </c>
      <c r="E338" s="16"/>
      <c r="F338" s="7" t="s">
        <v>151</v>
      </c>
      <c r="G338" s="16" t="s">
        <v>1126</v>
      </c>
      <c r="H338" s="16" t="b">
        <v>1</v>
      </c>
      <c r="I338" s="16" t="s">
        <v>423</v>
      </c>
      <c r="J338" s="16" t="s">
        <v>382</v>
      </c>
      <c r="K338" s="16"/>
      <c r="L338" s="16"/>
      <c r="M338" s="16"/>
      <c r="N338" s="16"/>
      <c r="O338" s="12">
        <f>GET_OK_GROUPS_COUNT(tbHeroEnemy[[#This Row],[Camp]],tbHeroEnemy[[#This Row],[Difficulty]],tbHeroEnemy[[#This Row],[IsBoss]],tbHeroEnemy[[#This Row],[Hero1]:[Soldier3]])</f>
        <v>1</v>
      </c>
      <c r="P338" s="7">
        <v>1</v>
      </c>
      <c r="Q338" s="16" t="s">
        <v>427</v>
      </c>
      <c r="R338" s="9" t="s">
        <v>423</v>
      </c>
      <c r="S338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339" spans="2:19">
      <c r="B339" s="16" t="s">
        <v>1100</v>
      </c>
      <c r="C339" s="35" t="s">
        <v>1301</v>
      </c>
      <c r="D339" s="16">
        <v>1</v>
      </c>
      <c r="E339" s="16"/>
      <c r="F339" s="7" t="s">
        <v>151</v>
      </c>
      <c r="G339" s="16" t="s">
        <v>1126</v>
      </c>
      <c r="H339" s="7"/>
      <c r="I339" s="16" t="s">
        <v>383</v>
      </c>
      <c r="J339" s="16" t="s">
        <v>381</v>
      </c>
      <c r="K339" s="16"/>
      <c r="L339" s="16"/>
      <c r="M339" s="16"/>
      <c r="N339" s="16"/>
      <c r="O339" s="12">
        <f>GET_OK_GROUPS_COUNT(tbHeroEnemy[[#This Row],[Camp]],tbHeroEnemy[[#This Row],[Difficulty]],tbHeroEnemy[[#This Row],[IsBoss]],tbHeroEnemy[[#This Row],[Hero1]:[Soldier3]])</f>
        <v>1</v>
      </c>
      <c r="P339" s="7">
        <v>1</v>
      </c>
      <c r="Q339" s="16" t="s">
        <v>427</v>
      </c>
      <c r="R339" s="9" t="s">
        <v>912</v>
      </c>
      <c r="S33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40" spans="2:19">
      <c r="B340" s="16" t="s">
        <v>1100</v>
      </c>
      <c r="C340" s="35" t="s">
        <v>1301</v>
      </c>
      <c r="D340" s="16">
        <v>2</v>
      </c>
      <c r="E340" s="16"/>
      <c r="F340" s="7" t="s">
        <v>151</v>
      </c>
      <c r="G340" s="16" t="s">
        <v>1126</v>
      </c>
      <c r="H340" s="16" t="b">
        <v>1</v>
      </c>
      <c r="I340" s="16" t="s">
        <v>403</v>
      </c>
      <c r="J340" s="16" t="s">
        <v>384</v>
      </c>
      <c r="K340" s="16"/>
      <c r="L340" s="16"/>
      <c r="M340" s="16"/>
      <c r="N340" s="16"/>
      <c r="O340" s="12">
        <f>GET_OK_GROUPS_COUNT(tbHeroEnemy[[#This Row],[Camp]],tbHeroEnemy[[#This Row],[Difficulty]],tbHeroEnemy[[#This Row],[IsBoss]],tbHeroEnemy[[#This Row],[Hero1]:[Soldier3]])</f>
        <v>1</v>
      </c>
      <c r="P340" s="7">
        <v>1</v>
      </c>
      <c r="Q340" s="16" t="s">
        <v>427</v>
      </c>
      <c r="R340" s="9" t="s">
        <v>403</v>
      </c>
      <c r="S340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341" spans="2:19">
      <c r="B341" s="16" t="s">
        <v>1101</v>
      </c>
      <c r="C341" s="35" t="s">
        <v>1301</v>
      </c>
      <c r="D341" s="16">
        <v>1</v>
      </c>
      <c r="E341" s="16"/>
      <c r="F341" s="7" t="s">
        <v>151</v>
      </c>
      <c r="G341" s="16" t="s">
        <v>1125</v>
      </c>
      <c r="H341" s="7"/>
      <c r="I341" s="16" t="s">
        <v>385</v>
      </c>
      <c r="J341" s="16" t="s">
        <v>380</v>
      </c>
      <c r="K341" s="16"/>
      <c r="L341" s="16"/>
      <c r="M341" s="16"/>
      <c r="N341" s="16"/>
      <c r="O341" s="12">
        <f>GET_OK_GROUPS_COUNT(tbHeroEnemy[[#This Row],[Camp]],tbHeroEnemy[[#This Row],[Difficulty]],tbHeroEnemy[[#This Row],[IsBoss]],tbHeroEnemy[[#This Row],[Hero1]:[Soldier3]])</f>
        <v>1</v>
      </c>
      <c r="P341" s="7">
        <v>1</v>
      </c>
      <c r="Q341" s="16" t="s">
        <v>428</v>
      </c>
      <c r="R341" s="9" t="s">
        <v>912</v>
      </c>
      <c r="S341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342" spans="2:19">
      <c r="B342" s="16" t="s">
        <v>1101</v>
      </c>
      <c r="C342" s="35" t="s">
        <v>1301</v>
      </c>
      <c r="D342" s="16">
        <v>2</v>
      </c>
      <c r="E342" s="16"/>
      <c r="F342" s="7" t="s">
        <v>151</v>
      </c>
      <c r="G342" s="16" t="s">
        <v>1125</v>
      </c>
      <c r="H342" s="16" t="b">
        <v>1</v>
      </c>
      <c r="I342" s="16" t="s">
        <v>416</v>
      </c>
      <c r="J342" s="16" t="s">
        <v>380</v>
      </c>
      <c r="K342" s="16"/>
      <c r="L342" s="16"/>
      <c r="M342" s="16"/>
      <c r="N342" s="16"/>
      <c r="O342" s="12">
        <f>GET_OK_GROUPS_COUNT(tbHeroEnemy[[#This Row],[Camp]],tbHeroEnemy[[#This Row],[Difficulty]],tbHeroEnemy[[#This Row],[IsBoss]],tbHeroEnemy[[#This Row],[Hero1]:[Soldier3]])</f>
        <v>1</v>
      </c>
      <c r="P342" s="7">
        <v>1</v>
      </c>
      <c r="Q342" s="16" t="s">
        <v>428</v>
      </c>
      <c r="R342" s="9" t="s">
        <v>416</v>
      </c>
      <c r="S342" s="2" t="str">
        <f>GET_OK_GROUP(tbHeroEnemy[[#This Row],[Camp]],tbHeroEnemy[[#This Row],[Difficulty]],tbHeroEnemy[[#This Row],[IsBoss]],tbHeroEnemy[[#This Row],[Hero1]:[Soldier3]],tbHeroEnemy[[#This Row],[GroupID]])</f>
        <v>三国-困难-[B]盾英+刺英</v>
      </c>
    </row>
    <row r="343" spans="2:19">
      <c r="B343" s="16" t="s">
        <v>1102</v>
      </c>
      <c r="C343" s="35" t="s">
        <v>1301</v>
      </c>
      <c r="D343" s="16">
        <v>1</v>
      </c>
      <c r="E343" s="16"/>
      <c r="F343" s="7" t="s">
        <v>151</v>
      </c>
      <c r="G343" s="16" t="s">
        <v>1125</v>
      </c>
      <c r="H343" s="7"/>
      <c r="I343" s="16" t="s">
        <v>381</v>
      </c>
      <c r="J343" s="16" t="s">
        <v>380</v>
      </c>
      <c r="K343" s="16"/>
      <c r="L343" s="16"/>
      <c r="M343" s="16"/>
      <c r="N343" s="16"/>
      <c r="O343" s="12">
        <f>GET_OK_GROUPS_COUNT(tbHeroEnemy[[#This Row],[Camp]],tbHeroEnemy[[#This Row],[Difficulty]],tbHeroEnemy[[#This Row],[IsBoss]],tbHeroEnemy[[#This Row],[Hero1]:[Soldier3]])</f>
        <v>1</v>
      </c>
      <c r="P343" s="7">
        <v>1</v>
      </c>
      <c r="Q343" s="16" t="s">
        <v>428</v>
      </c>
      <c r="R343" s="9" t="s">
        <v>912</v>
      </c>
      <c r="S343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344" spans="2:19">
      <c r="B344" s="16" t="s">
        <v>1102</v>
      </c>
      <c r="C344" s="35" t="s">
        <v>1301</v>
      </c>
      <c r="D344" s="16">
        <v>2</v>
      </c>
      <c r="E344" s="16"/>
      <c r="F344" s="7" t="s">
        <v>151</v>
      </c>
      <c r="G344" s="16" t="s">
        <v>1126</v>
      </c>
      <c r="H344" s="16" t="b">
        <v>1</v>
      </c>
      <c r="I344" s="16" t="s">
        <v>403</v>
      </c>
      <c r="J344" s="16" t="s">
        <v>383</v>
      </c>
      <c r="K344" s="16"/>
      <c r="L344" s="16"/>
      <c r="M344" s="16"/>
      <c r="N344" s="16"/>
      <c r="O344" s="12">
        <f>GET_OK_GROUPS_COUNT(tbHeroEnemy[[#This Row],[Camp]],tbHeroEnemy[[#This Row],[Difficulty]],tbHeroEnemy[[#This Row],[IsBoss]],tbHeroEnemy[[#This Row],[Hero1]:[Soldier3]])</f>
        <v>1</v>
      </c>
      <c r="P344" s="7">
        <v>1</v>
      </c>
      <c r="Q344" s="16" t="s">
        <v>428</v>
      </c>
      <c r="R344" s="9" t="s">
        <v>403</v>
      </c>
      <c r="S344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345" spans="2:19">
      <c r="B345" s="16" t="s">
        <v>1103</v>
      </c>
      <c r="C345" s="35" t="s">
        <v>1301</v>
      </c>
      <c r="D345" s="16">
        <v>1</v>
      </c>
      <c r="E345" s="16"/>
      <c r="F345" s="7" t="s">
        <v>151</v>
      </c>
      <c r="G345" s="16" t="s">
        <v>1126</v>
      </c>
      <c r="H345" s="7"/>
      <c r="I345" s="16" t="s">
        <v>382</v>
      </c>
      <c r="J345" s="16" t="s">
        <v>383</v>
      </c>
      <c r="K345" s="16"/>
      <c r="L345" s="16"/>
      <c r="M345" s="16"/>
      <c r="N345" s="16"/>
      <c r="O345" s="12">
        <f>GET_OK_GROUPS_COUNT(tbHeroEnemy[[#This Row],[Camp]],tbHeroEnemy[[#This Row],[Difficulty]],tbHeroEnemy[[#This Row],[IsBoss]],tbHeroEnemy[[#This Row],[Hero1]:[Soldier3]])</f>
        <v>1</v>
      </c>
      <c r="P345" s="7">
        <v>1</v>
      </c>
      <c r="Q345" s="16" t="s">
        <v>428</v>
      </c>
      <c r="R345" s="9" t="s">
        <v>912</v>
      </c>
      <c r="S345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46" spans="2:19">
      <c r="B346" s="16" t="s">
        <v>1103</v>
      </c>
      <c r="C346" s="35" t="s">
        <v>1301</v>
      </c>
      <c r="D346" s="16">
        <v>2</v>
      </c>
      <c r="E346" s="16"/>
      <c r="F346" s="7" t="s">
        <v>151</v>
      </c>
      <c r="G346" s="16" t="s">
        <v>1126</v>
      </c>
      <c r="H346" s="16" t="b">
        <v>1</v>
      </c>
      <c r="I346" s="16" t="s">
        <v>421</v>
      </c>
      <c r="J346" s="16" t="s">
        <v>382</v>
      </c>
      <c r="K346" s="16"/>
      <c r="L346" s="16"/>
      <c r="M346" s="16"/>
      <c r="N346" s="16"/>
      <c r="O346" s="12">
        <f>GET_OK_GROUPS_COUNT(tbHeroEnemy[[#This Row],[Camp]],tbHeroEnemy[[#This Row],[Difficulty]],tbHeroEnemy[[#This Row],[IsBoss]],tbHeroEnemy[[#This Row],[Hero1]:[Soldier3]])</f>
        <v>1</v>
      </c>
      <c r="P346" s="7">
        <v>1</v>
      </c>
      <c r="Q346" s="16" t="s">
        <v>428</v>
      </c>
      <c r="R346" s="9" t="s">
        <v>421</v>
      </c>
      <c r="S346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347" spans="2:19">
      <c r="B347" s="16" t="s">
        <v>1104</v>
      </c>
      <c r="C347" s="35" t="s">
        <v>1301</v>
      </c>
      <c r="D347" s="16">
        <v>1</v>
      </c>
      <c r="E347" s="16"/>
      <c r="F347" s="7" t="s">
        <v>151</v>
      </c>
      <c r="G347" s="16" t="s">
        <v>1126</v>
      </c>
      <c r="H347" s="7"/>
      <c r="I347" s="16" t="s">
        <v>385</v>
      </c>
      <c r="J347" s="16" t="s">
        <v>380</v>
      </c>
      <c r="K347" s="16"/>
      <c r="L347" s="16"/>
      <c r="M347" s="16"/>
      <c r="N347" s="16"/>
      <c r="O347" s="12">
        <f>GET_OK_GROUPS_COUNT(tbHeroEnemy[[#This Row],[Camp]],tbHeroEnemy[[#This Row],[Difficulty]],tbHeroEnemy[[#This Row],[IsBoss]],tbHeroEnemy[[#This Row],[Hero1]:[Soldier3]])</f>
        <v>1</v>
      </c>
      <c r="P347" s="7">
        <v>1</v>
      </c>
      <c r="Q347" s="16" t="s">
        <v>428</v>
      </c>
      <c r="R347" s="9" t="s">
        <v>912</v>
      </c>
      <c r="S347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48" spans="2:19">
      <c r="B348" s="16" t="s">
        <v>1104</v>
      </c>
      <c r="C348" s="35" t="s">
        <v>1301</v>
      </c>
      <c r="D348" s="16">
        <v>2</v>
      </c>
      <c r="E348" s="16"/>
      <c r="F348" s="7" t="s">
        <v>151</v>
      </c>
      <c r="G348" s="16" t="s">
        <v>1126</v>
      </c>
      <c r="H348" s="16" t="b">
        <v>1</v>
      </c>
      <c r="I348" s="16" t="s">
        <v>415</v>
      </c>
      <c r="J348" s="16" t="s">
        <v>380</v>
      </c>
      <c r="K348" s="16"/>
      <c r="L348" s="16"/>
      <c r="M348" s="16"/>
      <c r="N348" s="16"/>
      <c r="O348" s="12">
        <f>GET_OK_GROUPS_COUNT(tbHeroEnemy[[#This Row],[Camp]],tbHeroEnemy[[#This Row],[Difficulty]],tbHeroEnemy[[#This Row],[IsBoss]],tbHeroEnemy[[#This Row],[Hero1]:[Soldier3]])</f>
        <v>1</v>
      </c>
      <c r="P348" s="7">
        <v>1</v>
      </c>
      <c r="Q348" s="16" t="s">
        <v>428</v>
      </c>
      <c r="R348" s="9" t="s">
        <v>415</v>
      </c>
      <c r="S348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349" spans="2:19">
      <c r="B349" s="16" t="s">
        <v>1105</v>
      </c>
      <c r="C349" s="35" t="s">
        <v>1301</v>
      </c>
      <c r="D349" s="16">
        <v>1</v>
      </c>
      <c r="E349" s="16"/>
      <c r="F349" s="7" t="s">
        <v>151</v>
      </c>
      <c r="G349" s="16" t="s">
        <v>1125</v>
      </c>
      <c r="H349" s="7"/>
      <c r="I349" s="16" t="s">
        <v>382</v>
      </c>
      <c r="J349" s="16" t="s">
        <v>382</v>
      </c>
      <c r="K349" s="16"/>
      <c r="L349" s="16"/>
      <c r="M349" s="16"/>
      <c r="N349" s="16"/>
      <c r="O349" s="12">
        <f>GET_OK_GROUPS_COUNT(tbHeroEnemy[[#This Row],[Camp]],tbHeroEnemy[[#This Row],[Difficulty]],tbHeroEnemy[[#This Row],[IsBoss]],tbHeroEnemy[[#This Row],[Hero1]:[Soldier3]])</f>
        <v>1</v>
      </c>
      <c r="P349" s="7">
        <v>1</v>
      </c>
      <c r="Q349" s="16" t="s">
        <v>429</v>
      </c>
      <c r="R349" s="9" t="s">
        <v>912</v>
      </c>
      <c r="S349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50" spans="2:19">
      <c r="B350" s="16" t="s">
        <v>1105</v>
      </c>
      <c r="C350" s="35" t="s">
        <v>1301</v>
      </c>
      <c r="D350" s="16">
        <v>2</v>
      </c>
      <c r="E350" s="16"/>
      <c r="F350" s="7" t="s">
        <v>151</v>
      </c>
      <c r="G350" s="16" t="s">
        <v>1125</v>
      </c>
      <c r="H350" s="16" t="b">
        <v>1</v>
      </c>
      <c r="I350" s="16" t="s">
        <v>401</v>
      </c>
      <c r="J350" s="16" t="s">
        <v>381</v>
      </c>
      <c r="K350" s="16"/>
      <c r="L350" s="16"/>
      <c r="M350" s="16"/>
      <c r="N350" s="16"/>
      <c r="O350" s="12">
        <f>GET_OK_GROUPS_COUNT(tbHeroEnemy[[#This Row],[Camp]],tbHeroEnemy[[#This Row],[Difficulty]],tbHeroEnemy[[#This Row],[IsBoss]],tbHeroEnemy[[#This Row],[Hero1]:[Soldier3]])</f>
        <v>1</v>
      </c>
      <c r="P350" s="7">
        <v>1</v>
      </c>
      <c r="Q350" s="16" t="s">
        <v>429</v>
      </c>
      <c r="R350" s="9" t="s">
        <v>401</v>
      </c>
      <c r="S350" s="2" t="str">
        <f>GET_OK_GROUP(tbHeroEnemy[[#This Row],[Camp]],tbHeroEnemy[[#This Row],[Difficulty]],tbHeroEnemy[[#This Row],[IsBoss]],tbHeroEnemy[[#This Row],[Hero1]:[Soldier3]],tbHeroEnemy[[#This Row],[GroupID]])</f>
        <v>三国-困难-[B]铁英+强英</v>
      </c>
    </row>
    <row r="351" spans="2:19">
      <c r="B351" s="16" t="s">
        <v>1106</v>
      </c>
      <c r="C351" s="35" t="s">
        <v>1301</v>
      </c>
      <c r="D351" s="16">
        <v>1</v>
      </c>
      <c r="E351" s="16"/>
      <c r="F351" s="7" t="s">
        <v>151</v>
      </c>
      <c r="G351" s="16" t="s">
        <v>1125</v>
      </c>
      <c r="H351" s="7"/>
      <c r="I351" s="16" t="s">
        <v>382</v>
      </c>
      <c r="J351" s="16" t="s">
        <v>381</v>
      </c>
      <c r="K351" s="16"/>
      <c r="L351" s="16"/>
      <c r="M351" s="16"/>
      <c r="N351" s="16"/>
      <c r="O351" s="12">
        <f>GET_OK_GROUPS_COUNT(tbHeroEnemy[[#This Row],[Camp]],tbHeroEnemy[[#This Row],[Difficulty]],tbHeroEnemy[[#This Row],[IsBoss]],tbHeroEnemy[[#This Row],[Hero1]:[Soldier3]])</f>
        <v>1</v>
      </c>
      <c r="P351" s="7">
        <v>1</v>
      </c>
      <c r="Q351" s="16" t="s">
        <v>429</v>
      </c>
      <c r="R351" s="9" t="s">
        <v>912</v>
      </c>
      <c r="S351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352" spans="2:19">
      <c r="B352" s="16" t="s">
        <v>1106</v>
      </c>
      <c r="C352" s="35" t="s">
        <v>1301</v>
      </c>
      <c r="D352" s="16">
        <v>2</v>
      </c>
      <c r="E352" s="16"/>
      <c r="F352" s="7" t="s">
        <v>151</v>
      </c>
      <c r="G352" s="16" t="s">
        <v>1126</v>
      </c>
      <c r="H352" s="16" t="b">
        <v>1</v>
      </c>
      <c r="I352" s="16" t="s">
        <v>416</v>
      </c>
      <c r="J352" s="16" t="s">
        <v>382</v>
      </c>
      <c r="K352" s="16"/>
      <c r="L352" s="16"/>
      <c r="M352" s="16"/>
      <c r="N352" s="16"/>
      <c r="O352" s="12">
        <f>GET_OK_GROUPS_COUNT(tbHeroEnemy[[#This Row],[Camp]],tbHeroEnemy[[#This Row],[Difficulty]],tbHeroEnemy[[#This Row],[IsBoss]],tbHeroEnemy[[#This Row],[Hero1]:[Soldier3]])</f>
        <v>1</v>
      </c>
      <c r="P352" s="7">
        <v>1</v>
      </c>
      <c r="Q352" s="16" t="s">
        <v>429</v>
      </c>
      <c r="R352" s="9" t="s">
        <v>416</v>
      </c>
      <c r="S352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353" spans="2:19">
      <c r="B353" s="16" t="s">
        <v>1107</v>
      </c>
      <c r="C353" s="35" t="s">
        <v>1301</v>
      </c>
      <c r="D353" s="16">
        <v>1</v>
      </c>
      <c r="E353" s="16"/>
      <c r="F353" s="7" t="s">
        <v>151</v>
      </c>
      <c r="G353" s="16" t="s">
        <v>1126</v>
      </c>
      <c r="H353" s="7"/>
      <c r="I353" s="16" t="s">
        <v>382</v>
      </c>
      <c r="J353" s="16" t="s">
        <v>383</v>
      </c>
      <c r="K353" s="16"/>
      <c r="L353" s="16"/>
      <c r="M353" s="16"/>
      <c r="N353" s="16"/>
      <c r="O353" s="12">
        <f>GET_OK_GROUPS_COUNT(tbHeroEnemy[[#This Row],[Camp]],tbHeroEnemy[[#This Row],[Difficulty]],tbHeroEnemy[[#This Row],[IsBoss]],tbHeroEnemy[[#This Row],[Hero1]:[Soldier3]])</f>
        <v>1</v>
      </c>
      <c r="P353" s="7">
        <v>1</v>
      </c>
      <c r="Q353" s="16" t="s">
        <v>429</v>
      </c>
      <c r="R353" s="9" t="s">
        <v>912</v>
      </c>
      <c r="S353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54" spans="2:19">
      <c r="B354" s="16" t="s">
        <v>1107</v>
      </c>
      <c r="C354" s="35" t="s">
        <v>1301</v>
      </c>
      <c r="D354" s="16">
        <v>2</v>
      </c>
      <c r="E354" s="16"/>
      <c r="F354" s="7" t="s">
        <v>151</v>
      </c>
      <c r="G354" s="16" t="s">
        <v>1126</v>
      </c>
      <c r="H354" s="16" t="b">
        <v>1</v>
      </c>
      <c r="I354" s="16" t="s">
        <v>426</v>
      </c>
      <c r="J354" s="16" t="s">
        <v>385</v>
      </c>
      <c r="K354" s="16"/>
      <c r="L354" s="16"/>
      <c r="M354" s="16"/>
      <c r="N354" s="16"/>
      <c r="O354" s="12">
        <f>GET_OK_GROUPS_COUNT(tbHeroEnemy[[#This Row],[Camp]],tbHeroEnemy[[#This Row],[Difficulty]],tbHeroEnemy[[#This Row],[IsBoss]],tbHeroEnemy[[#This Row],[Hero1]:[Soldier3]])</f>
        <v>1</v>
      </c>
      <c r="P354" s="7">
        <v>1</v>
      </c>
      <c r="Q354" s="16" t="s">
        <v>429</v>
      </c>
      <c r="R354" s="9" t="s">
        <v>426</v>
      </c>
      <c r="S354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355" spans="2:19">
      <c r="B355" s="16" t="s">
        <v>1108</v>
      </c>
      <c r="C355" s="35" t="s">
        <v>1301</v>
      </c>
      <c r="D355" s="16">
        <v>1</v>
      </c>
      <c r="E355" s="16"/>
      <c r="F355" s="7" t="s">
        <v>151</v>
      </c>
      <c r="G355" s="16" t="s">
        <v>1126</v>
      </c>
      <c r="H355" s="7"/>
      <c r="I355" s="16" t="s">
        <v>385</v>
      </c>
      <c r="J355" s="16" t="s">
        <v>382</v>
      </c>
      <c r="K355" s="16"/>
      <c r="L355" s="16"/>
      <c r="M355" s="16"/>
      <c r="N355" s="16"/>
      <c r="O355" s="12">
        <f>GET_OK_GROUPS_COUNT(tbHeroEnemy[[#This Row],[Camp]],tbHeroEnemy[[#This Row],[Difficulty]],tbHeroEnemy[[#This Row],[IsBoss]],tbHeroEnemy[[#This Row],[Hero1]:[Soldier3]])</f>
        <v>1</v>
      </c>
      <c r="P355" s="7">
        <v>1</v>
      </c>
      <c r="Q355" s="16" t="s">
        <v>429</v>
      </c>
      <c r="R355" s="9" t="s">
        <v>912</v>
      </c>
      <c r="S355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356" spans="2:19">
      <c r="B356" s="16" t="s">
        <v>1108</v>
      </c>
      <c r="C356" s="35" t="s">
        <v>1301</v>
      </c>
      <c r="D356" s="16">
        <v>2</v>
      </c>
      <c r="E356" s="16"/>
      <c r="F356" s="7" t="s">
        <v>151</v>
      </c>
      <c r="G356" s="16" t="s">
        <v>1126</v>
      </c>
      <c r="H356" s="16" t="b">
        <v>1</v>
      </c>
      <c r="I356" s="16" t="s">
        <v>414</v>
      </c>
      <c r="J356" s="16" t="s">
        <v>382</v>
      </c>
      <c r="K356" s="16"/>
      <c r="L356" s="16"/>
      <c r="M356" s="16"/>
      <c r="N356" s="16"/>
      <c r="O356" s="12">
        <f>GET_OK_GROUPS_COUNT(tbHeroEnemy[[#This Row],[Camp]],tbHeroEnemy[[#This Row],[Difficulty]],tbHeroEnemy[[#This Row],[IsBoss]],tbHeroEnemy[[#This Row],[Hero1]:[Soldier3]])</f>
        <v>1</v>
      </c>
      <c r="P356" s="7">
        <v>1</v>
      </c>
      <c r="Q356" s="16" t="s">
        <v>429</v>
      </c>
      <c r="R356" s="9" t="s">
        <v>414</v>
      </c>
      <c r="S356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357" spans="2:19">
      <c r="B357" s="16" t="s">
        <v>1109</v>
      </c>
      <c r="C357" s="35" t="s">
        <v>1301</v>
      </c>
      <c r="D357" s="16">
        <v>1</v>
      </c>
      <c r="E357" s="16"/>
      <c r="F357" s="7" t="s">
        <v>151</v>
      </c>
      <c r="G357" s="16" t="s">
        <v>1125</v>
      </c>
      <c r="H357" s="7"/>
      <c r="I357" s="16" t="s">
        <v>384</v>
      </c>
      <c r="J357" s="16" t="s">
        <v>381</v>
      </c>
      <c r="K357" s="16"/>
      <c r="L357" s="16"/>
      <c r="M357" s="16"/>
      <c r="N357" s="16"/>
      <c r="O357" s="12">
        <f>GET_OK_GROUPS_COUNT(tbHeroEnemy[[#This Row],[Camp]],tbHeroEnemy[[#This Row],[Difficulty]],tbHeroEnemy[[#This Row],[IsBoss]],tbHeroEnemy[[#This Row],[Hero1]:[Soldier3]])</f>
        <v>1</v>
      </c>
      <c r="P357" s="7">
        <v>1</v>
      </c>
      <c r="Q357" s="16" t="s">
        <v>430</v>
      </c>
      <c r="R357" s="9" t="s">
        <v>912</v>
      </c>
      <c r="S357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358" spans="2:19">
      <c r="B358" s="16" t="s">
        <v>1109</v>
      </c>
      <c r="C358" s="35" t="s">
        <v>1301</v>
      </c>
      <c r="D358" s="16">
        <v>2</v>
      </c>
      <c r="E358" s="16"/>
      <c r="F358" s="7" t="s">
        <v>151</v>
      </c>
      <c r="G358" s="16" t="s">
        <v>1125</v>
      </c>
      <c r="H358" s="16" t="b">
        <v>1</v>
      </c>
      <c r="I358" s="16" t="s">
        <v>426</v>
      </c>
      <c r="J358" s="16" t="s">
        <v>383</v>
      </c>
      <c r="K358" s="16"/>
      <c r="L358" s="16"/>
      <c r="M358" s="16"/>
      <c r="N358" s="16"/>
      <c r="O358" s="12">
        <f>GET_OK_GROUPS_COUNT(tbHeroEnemy[[#This Row],[Camp]],tbHeroEnemy[[#This Row],[Difficulty]],tbHeroEnemy[[#This Row],[IsBoss]],tbHeroEnemy[[#This Row],[Hero1]:[Soldier3]])</f>
        <v>1</v>
      </c>
      <c r="P358" s="7">
        <v>1</v>
      </c>
      <c r="Q358" s="16" t="s">
        <v>430</v>
      </c>
      <c r="R358" s="9" t="s">
        <v>426</v>
      </c>
      <c r="S358" s="2" t="str">
        <f>GET_OK_GROUP(tbHeroEnemy[[#This Row],[Camp]],tbHeroEnemy[[#This Row],[Difficulty]],tbHeroEnemy[[#This Row],[IsBoss]],tbHeroEnemy[[#This Row],[Hero1]:[Soldier3]],tbHeroEnemy[[#This Row],[GroupID]])</f>
        <v>三国-困难-[B]铁英+炼英</v>
      </c>
    </row>
    <row r="359" spans="2:19">
      <c r="B359" s="16" t="s">
        <v>1110</v>
      </c>
      <c r="C359" s="35" t="s">
        <v>1301</v>
      </c>
      <c r="D359" s="16">
        <v>1</v>
      </c>
      <c r="E359" s="16"/>
      <c r="F359" s="7" t="s">
        <v>151</v>
      </c>
      <c r="G359" s="16" t="s">
        <v>1125</v>
      </c>
      <c r="H359" s="7"/>
      <c r="I359" s="16" t="s">
        <v>382</v>
      </c>
      <c r="J359" s="16" t="s">
        <v>383</v>
      </c>
      <c r="K359" s="16"/>
      <c r="L359" s="16"/>
      <c r="M359" s="16"/>
      <c r="N359" s="16"/>
      <c r="O359" s="12">
        <f>GET_OK_GROUPS_COUNT(tbHeroEnemy[[#This Row],[Camp]],tbHeroEnemy[[#This Row],[Difficulty]],tbHeroEnemy[[#This Row],[IsBoss]],tbHeroEnemy[[#This Row],[Hero1]:[Soldier3]])</f>
        <v>1</v>
      </c>
      <c r="P359" s="7">
        <v>1</v>
      </c>
      <c r="Q359" s="16" t="s">
        <v>430</v>
      </c>
      <c r="R359" s="9" t="s">
        <v>912</v>
      </c>
      <c r="S35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360" spans="2:19">
      <c r="B360" s="16" t="s">
        <v>1110</v>
      </c>
      <c r="C360" s="35" t="s">
        <v>1301</v>
      </c>
      <c r="D360" s="16">
        <v>2</v>
      </c>
      <c r="E360" s="16"/>
      <c r="F360" s="7" t="s">
        <v>151</v>
      </c>
      <c r="G360" s="16" t="s">
        <v>1126</v>
      </c>
      <c r="H360" s="16" t="b">
        <v>1</v>
      </c>
      <c r="I360" s="16" t="s">
        <v>24</v>
      </c>
      <c r="J360" s="16" t="s">
        <v>381</v>
      </c>
      <c r="K360" s="16"/>
      <c r="L360" s="16"/>
      <c r="M360" s="16"/>
      <c r="N360" s="16"/>
      <c r="O360" s="12">
        <f>GET_OK_GROUPS_COUNT(tbHeroEnemy[[#This Row],[Camp]],tbHeroEnemy[[#This Row],[Difficulty]],tbHeroEnemy[[#This Row],[IsBoss]],tbHeroEnemy[[#This Row],[Hero1]:[Soldier3]])</f>
        <v>1</v>
      </c>
      <c r="P360" s="7">
        <v>1</v>
      </c>
      <c r="Q360" s="16" t="s">
        <v>430</v>
      </c>
      <c r="R360" s="9" t="s">
        <v>24</v>
      </c>
      <c r="S360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61" spans="2:19">
      <c r="B361" s="16" t="s">
        <v>1111</v>
      </c>
      <c r="C361" s="35" t="s">
        <v>1301</v>
      </c>
      <c r="D361" s="16">
        <v>1</v>
      </c>
      <c r="E361" s="16"/>
      <c r="F361" s="7" t="s">
        <v>151</v>
      </c>
      <c r="G361" s="16" t="s">
        <v>1126</v>
      </c>
      <c r="H361" s="7"/>
      <c r="I361" s="16" t="s">
        <v>384</v>
      </c>
      <c r="J361" s="16" t="s">
        <v>385</v>
      </c>
      <c r="K361" s="16"/>
      <c r="L361" s="16"/>
      <c r="M361" s="16"/>
      <c r="N361" s="16"/>
      <c r="O361" s="12">
        <f>GET_OK_GROUPS_COUNT(tbHeroEnemy[[#This Row],[Camp]],tbHeroEnemy[[#This Row],[Difficulty]],tbHeroEnemy[[#This Row],[IsBoss]],tbHeroEnemy[[#This Row],[Hero1]:[Soldier3]])</f>
        <v>1</v>
      </c>
      <c r="P361" s="7">
        <v>1</v>
      </c>
      <c r="Q361" s="16" t="s">
        <v>430</v>
      </c>
      <c r="R361" s="9" t="s">
        <v>912</v>
      </c>
      <c r="S361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362" spans="2:19">
      <c r="B362" s="16" t="s">
        <v>1111</v>
      </c>
      <c r="C362" s="35" t="s">
        <v>1301</v>
      </c>
      <c r="D362" s="16">
        <v>2</v>
      </c>
      <c r="E362" s="16"/>
      <c r="F362" s="7" t="s">
        <v>151</v>
      </c>
      <c r="G362" s="16" t="s">
        <v>1126</v>
      </c>
      <c r="H362" s="16" t="b">
        <v>1</v>
      </c>
      <c r="I362" s="16" t="s">
        <v>415</v>
      </c>
      <c r="J362" s="16" t="s">
        <v>381</v>
      </c>
      <c r="K362" s="16"/>
      <c r="L362" s="16"/>
      <c r="M362" s="16"/>
      <c r="N362" s="16"/>
      <c r="O362" s="12">
        <f>GET_OK_GROUPS_COUNT(tbHeroEnemy[[#This Row],[Camp]],tbHeroEnemy[[#This Row],[Difficulty]],tbHeroEnemy[[#This Row],[IsBoss]],tbHeroEnemy[[#This Row],[Hero1]:[Soldier3]])</f>
        <v>1</v>
      </c>
      <c r="P362" s="7">
        <v>1</v>
      </c>
      <c r="Q362" s="16" t="s">
        <v>430</v>
      </c>
      <c r="R362" s="9" t="s">
        <v>415</v>
      </c>
      <c r="S362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363" spans="2:19">
      <c r="B363" s="16" t="s">
        <v>1112</v>
      </c>
      <c r="C363" s="35" t="s">
        <v>1301</v>
      </c>
      <c r="D363" s="16">
        <v>1</v>
      </c>
      <c r="E363" s="16"/>
      <c r="F363" s="7" t="s">
        <v>151</v>
      </c>
      <c r="G363" s="16" t="s">
        <v>1126</v>
      </c>
      <c r="H363" s="7"/>
      <c r="I363" s="16" t="s">
        <v>381</v>
      </c>
      <c r="J363" s="16" t="s">
        <v>382</v>
      </c>
      <c r="K363" s="16"/>
      <c r="L363" s="16"/>
      <c r="M363" s="16"/>
      <c r="N363" s="16"/>
      <c r="O363" s="12">
        <f>GET_OK_GROUPS_COUNT(tbHeroEnemy[[#This Row],[Camp]],tbHeroEnemy[[#This Row],[Difficulty]],tbHeroEnemy[[#This Row],[IsBoss]],tbHeroEnemy[[#This Row],[Hero1]:[Soldier3]])</f>
        <v>1</v>
      </c>
      <c r="P363" s="7">
        <v>1</v>
      </c>
      <c r="Q363" s="16" t="s">
        <v>430</v>
      </c>
      <c r="R363" s="9" t="s">
        <v>912</v>
      </c>
      <c r="S363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64" spans="2:19">
      <c r="B364" s="16" t="s">
        <v>1112</v>
      </c>
      <c r="C364" s="35" t="s">
        <v>1301</v>
      </c>
      <c r="D364" s="16">
        <v>2</v>
      </c>
      <c r="E364" s="16"/>
      <c r="F364" s="7" t="s">
        <v>151</v>
      </c>
      <c r="G364" s="16" t="s">
        <v>1126</v>
      </c>
      <c r="H364" s="16" t="b">
        <v>1</v>
      </c>
      <c r="I364" s="16" t="s">
        <v>391</v>
      </c>
      <c r="J364" s="16" t="s">
        <v>385</v>
      </c>
      <c r="K364" s="16"/>
      <c r="L364" s="16"/>
      <c r="M364" s="16"/>
      <c r="N364" s="16"/>
      <c r="O364" s="12">
        <f>GET_OK_GROUPS_COUNT(tbHeroEnemy[[#This Row],[Camp]],tbHeroEnemy[[#This Row],[Difficulty]],tbHeroEnemy[[#This Row],[IsBoss]],tbHeroEnemy[[#This Row],[Hero1]:[Soldier3]])</f>
        <v>1</v>
      </c>
      <c r="P364" s="7">
        <v>1</v>
      </c>
      <c r="Q364" s="16" t="s">
        <v>430</v>
      </c>
      <c r="R364" s="9" t="s">
        <v>391</v>
      </c>
      <c r="S364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365" spans="2:19">
      <c r="B365" s="16" t="s">
        <v>1113</v>
      </c>
      <c r="C365" s="35" t="s">
        <v>1301</v>
      </c>
      <c r="D365" s="16">
        <v>1</v>
      </c>
      <c r="E365" s="16"/>
      <c r="F365" s="7" t="s">
        <v>151</v>
      </c>
      <c r="G365" s="16" t="s">
        <v>1125</v>
      </c>
      <c r="H365" s="7"/>
      <c r="I365" s="16" t="s">
        <v>381</v>
      </c>
      <c r="J365" s="16" t="s">
        <v>382</v>
      </c>
      <c r="K365" s="16"/>
      <c r="L365" s="16"/>
      <c r="M365" s="16"/>
      <c r="N365" s="16"/>
      <c r="O365" s="12">
        <f>GET_OK_GROUPS_COUNT(tbHeroEnemy[[#This Row],[Camp]],tbHeroEnemy[[#This Row],[Difficulty]],tbHeroEnemy[[#This Row],[IsBoss]],tbHeroEnemy[[#This Row],[Hero1]:[Soldier3]])</f>
        <v>1</v>
      </c>
      <c r="P365" s="7">
        <v>1</v>
      </c>
      <c r="Q365" s="16" t="s">
        <v>431</v>
      </c>
      <c r="R365" s="9" t="s">
        <v>912</v>
      </c>
      <c r="S365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366" spans="2:19">
      <c r="B366" s="16" t="s">
        <v>1113</v>
      </c>
      <c r="C366" s="35" t="s">
        <v>1301</v>
      </c>
      <c r="D366" s="16">
        <v>2</v>
      </c>
      <c r="E366" s="16"/>
      <c r="F366" s="7" t="s">
        <v>151</v>
      </c>
      <c r="G366" s="16" t="s">
        <v>1125</v>
      </c>
      <c r="H366" s="16" t="b">
        <v>1</v>
      </c>
      <c r="I366" s="16" t="s">
        <v>415</v>
      </c>
      <c r="J366" s="16" t="s">
        <v>385</v>
      </c>
      <c r="K366" s="16"/>
      <c r="L366" s="16"/>
      <c r="M366" s="16"/>
      <c r="N366" s="16"/>
      <c r="O366" s="12">
        <f>GET_OK_GROUPS_COUNT(tbHeroEnemy[[#This Row],[Camp]],tbHeroEnemy[[#This Row],[Difficulty]],tbHeroEnemy[[#This Row],[IsBoss]],tbHeroEnemy[[#This Row],[Hero1]:[Soldier3]])</f>
        <v>1</v>
      </c>
      <c r="P366" s="7">
        <v>1</v>
      </c>
      <c r="Q366" s="16" t="s">
        <v>431</v>
      </c>
      <c r="R366" s="9" t="s">
        <v>415</v>
      </c>
      <c r="S366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367" spans="2:19">
      <c r="B367" s="16" t="s">
        <v>1114</v>
      </c>
      <c r="C367" s="35" t="s">
        <v>1301</v>
      </c>
      <c r="D367" s="16">
        <v>1</v>
      </c>
      <c r="E367" s="16"/>
      <c r="F367" s="7" t="s">
        <v>151</v>
      </c>
      <c r="G367" s="16" t="s">
        <v>1125</v>
      </c>
      <c r="H367" s="7"/>
      <c r="I367" s="16" t="s">
        <v>380</v>
      </c>
      <c r="J367" s="16" t="s">
        <v>380</v>
      </c>
      <c r="K367" s="16"/>
      <c r="L367" s="16"/>
      <c r="M367" s="16"/>
      <c r="N367" s="16"/>
      <c r="O367" s="12">
        <f>GET_OK_GROUPS_COUNT(tbHeroEnemy[[#This Row],[Camp]],tbHeroEnemy[[#This Row],[Difficulty]],tbHeroEnemy[[#This Row],[IsBoss]],tbHeroEnemy[[#This Row],[Hero1]:[Soldier3]])</f>
        <v>1</v>
      </c>
      <c r="P367" s="7">
        <v>1</v>
      </c>
      <c r="Q367" s="16" t="s">
        <v>431</v>
      </c>
      <c r="R367" s="9" t="s">
        <v>912</v>
      </c>
      <c r="S367" s="2" t="str">
        <f>GET_OK_GROUP(tbHeroEnemy[[#This Row],[Camp]],tbHeroEnemy[[#This Row],[Difficulty]],tbHeroEnemy[[#This Row],[IsBoss]],tbHeroEnemy[[#This Row],[Hero1]:[Soldier3]],tbHeroEnemy[[#This Row],[GroupID]])</f>
        <v>三国-困难-盾英+盾英</v>
      </c>
    </row>
    <row r="368" spans="2:19">
      <c r="B368" s="16" t="s">
        <v>1114</v>
      </c>
      <c r="C368" s="35" t="s">
        <v>1301</v>
      </c>
      <c r="D368" s="16">
        <v>2</v>
      </c>
      <c r="E368" s="16"/>
      <c r="F368" s="7" t="s">
        <v>151</v>
      </c>
      <c r="G368" s="16" t="s">
        <v>1126</v>
      </c>
      <c r="H368" s="16" t="b">
        <v>1</v>
      </c>
      <c r="I368" s="16" t="s">
        <v>401</v>
      </c>
      <c r="J368" s="16" t="s">
        <v>380</v>
      </c>
      <c r="K368" s="16"/>
      <c r="L368" s="16"/>
      <c r="M368" s="16"/>
      <c r="N368" s="16"/>
      <c r="O368" s="12">
        <f>GET_OK_GROUPS_COUNT(tbHeroEnemy[[#This Row],[Camp]],tbHeroEnemy[[#This Row],[Difficulty]],tbHeroEnemy[[#This Row],[IsBoss]],tbHeroEnemy[[#This Row],[Hero1]:[Soldier3]])</f>
        <v>1</v>
      </c>
      <c r="P368" s="7">
        <v>1</v>
      </c>
      <c r="Q368" s="16" t="s">
        <v>431</v>
      </c>
      <c r="R368" s="9" t="s">
        <v>401</v>
      </c>
      <c r="S368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369" spans="2:19">
      <c r="B369" s="16" t="s">
        <v>1115</v>
      </c>
      <c r="C369" s="35" t="s">
        <v>1301</v>
      </c>
      <c r="D369" s="16">
        <v>1</v>
      </c>
      <c r="E369" s="16"/>
      <c r="F369" s="7" t="s">
        <v>151</v>
      </c>
      <c r="G369" s="16" t="s">
        <v>1126</v>
      </c>
      <c r="H369" s="7"/>
      <c r="I369" s="16" t="s">
        <v>380</v>
      </c>
      <c r="J369" s="16" t="s">
        <v>385</v>
      </c>
      <c r="K369" s="16"/>
      <c r="L369" s="16"/>
      <c r="M369" s="16"/>
      <c r="N369" s="16"/>
      <c r="O369" s="12">
        <f>GET_OK_GROUPS_COUNT(tbHeroEnemy[[#This Row],[Camp]],tbHeroEnemy[[#This Row],[Difficulty]],tbHeroEnemy[[#This Row],[IsBoss]],tbHeroEnemy[[#This Row],[Hero1]:[Soldier3]])</f>
        <v>1</v>
      </c>
      <c r="P369" s="7">
        <v>1</v>
      </c>
      <c r="Q369" s="16" t="s">
        <v>431</v>
      </c>
      <c r="R369" s="9" t="s">
        <v>912</v>
      </c>
      <c r="S369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70" spans="2:19">
      <c r="B370" s="16" t="s">
        <v>1115</v>
      </c>
      <c r="C370" s="35" t="s">
        <v>1301</v>
      </c>
      <c r="D370" s="16">
        <v>2</v>
      </c>
      <c r="E370" s="16"/>
      <c r="F370" s="7" t="s">
        <v>151</v>
      </c>
      <c r="G370" s="16" t="s">
        <v>1126</v>
      </c>
      <c r="H370" s="16" t="b">
        <v>1</v>
      </c>
      <c r="I370" s="16" t="s">
        <v>417</v>
      </c>
      <c r="J370" s="16" t="s">
        <v>380</v>
      </c>
      <c r="K370" s="16"/>
      <c r="L370" s="16"/>
      <c r="M370" s="16"/>
      <c r="N370" s="16"/>
      <c r="O370" s="12">
        <f>GET_OK_GROUPS_COUNT(tbHeroEnemy[[#This Row],[Camp]],tbHeroEnemy[[#This Row],[Difficulty]],tbHeroEnemy[[#This Row],[IsBoss]],tbHeroEnemy[[#This Row],[Hero1]:[Soldier3]])</f>
        <v>1</v>
      </c>
      <c r="P370" s="7">
        <v>1</v>
      </c>
      <c r="Q370" s="16" t="s">
        <v>431</v>
      </c>
      <c r="R370" s="9" t="s">
        <v>417</v>
      </c>
      <c r="S370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371" spans="2:19">
      <c r="B371" s="16" t="s">
        <v>1116</v>
      </c>
      <c r="C371" s="35" t="s">
        <v>1301</v>
      </c>
      <c r="D371" s="16">
        <v>1</v>
      </c>
      <c r="E371" s="16"/>
      <c r="F371" s="7" t="s">
        <v>151</v>
      </c>
      <c r="G371" s="16" t="s">
        <v>1126</v>
      </c>
      <c r="H371" s="7"/>
      <c r="I371" s="16" t="s">
        <v>384</v>
      </c>
      <c r="J371" s="16" t="s">
        <v>384</v>
      </c>
      <c r="K371" s="16"/>
      <c r="L371" s="16"/>
      <c r="M371" s="16"/>
      <c r="N371" s="16"/>
      <c r="O371" s="12">
        <f>GET_OK_GROUPS_COUNT(tbHeroEnemy[[#This Row],[Camp]],tbHeroEnemy[[#This Row],[Difficulty]],tbHeroEnemy[[#This Row],[IsBoss]],tbHeroEnemy[[#This Row],[Hero1]:[Soldier3]])</f>
        <v>1</v>
      </c>
      <c r="P371" s="7">
        <v>1</v>
      </c>
      <c r="Q371" s="16" t="s">
        <v>431</v>
      </c>
      <c r="R371" s="9" t="s">
        <v>912</v>
      </c>
      <c r="S371" s="2" t="str">
        <f>GET_OK_GROUP(tbHeroEnemy[[#This Row],[Camp]],tbHeroEnemy[[#This Row],[Difficulty]],tbHeroEnemy[[#This Row],[IsBoss]],tbHeroEnemy[[#This Row],[Hero1]:[Soldier3]],tbHeroEnemy[[#This Row],[GroupID]])</f>
        <v>三国-超难-法英+法英</v>
      </c>
    </row>
    <row r="372" spans="2:19">
      <c r="B372" s="16" t="s">
        <v>1116</v>
      </c>
      <c r="C372" s="35" t="s">
        <v>1301</v>
      </c>
      <c r="D372" s="16">
        <v>2</v>
      </c>
      <c r="E372" s="16"/>
      <c r="F372" s="7" t="s">
        <v>151</v>
      </c>
      <c r="G372" s="16" t="s">
        <v>1126</v>
      </c>
      <c r="H372" s="16" t="b">
        <v>1</v>
      </c>
      <c r="I372" s="16" t="s">
        <v>424</v>
      </c>
      <c r="J372" s="16" t="s">
        <v>380</v>
      </c>
      <c r="K372" s="16"/>
      <c r="L372" s="16"/>
      <c r="M372" s="16"/>
      <c r="N372" s="16"/>
      <c r="O372" s="12">
        <f>GET_OK_GROUPS_COUNT(tbHeroEnemy[[#This Row],[Camp]],tbHeroEnemy[[#This Row],[Difficulty]],tbHeroEnemy[[#This Row],[IsBoss]],tbHeroEnemy[[#This Row],[Hero1]:[Soldier3]])</f>
        <v>1</v>
      </c>
      <c r="P372" s="7">
        <v>1</v>
      </c>
      <c r="Q372" s="16" t="s">
        <v>431</v>
      </c>
      <c r="R372" s="9" t="s">
        <v>424</v>
      </c>
      <c r="S372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373" spans="2:19">
      <c r="B373" s="16" t="s">
        <v>1117</v>
      </c>
      <c r="C373" s="35" t="s">
        <v>1301</v>
      </c>
      <c r="D373" s="16">
        <v>1</v>
      </c>
      <c r="E373" s="16"/>
      <c r="F373" s="7" t="s">
        <v>151</v>
      </c>
      <c r="G373" s="16" t="s">
        <v>1125</v>
      </c>
      <c r="H373" s="7"/>
      <c r="I373" s="16" t="s">
        <v>383</v>
      </c>
      <c r="J373" s="16" t="s">
        <v>383</v>
      </c>
      <c r="K373" s="16"/>
      <c r="L373" s="16"/>
      <c r="M373" s="16"/>
      <c r="N373" s="16"/>
      <c r="O373" s="12">
        <f>GET_OK_GROUPS_COUNT(tbHeroEnemy[[#This Row],[Camp]],tbHeroEnemy[[#This Row],[Difficulty]],tbHeroEnemy[[#This Row],[IsBoss]],tbHeroEnemy[[#This Row],[Hero1]:[Soldier3]])</f>
        <v>1</v>
      </c>
      <c r="P373" s="7">
        <v>1</v>
      </c>
      <c r="Q373" s="16" t="s">
        <v>432</v>
      </c>
      <c r="R373" s="9" t="s">
        <v>912</v>
      </c>
      <c r="S373" s="2" t="str">
        <f>GET_OK_GROUP(tbHeroEnemy[[#This Row],[Camp]],tbHeroEnemy[[#This Row],[Difficulty]],tbHeroEnemy[[#This Row],[IsBoss]],tbHeroEnemy[[#This Row],[Hero1]:[Soldier3]],tbHeroEnemy[[#This Row],[GroupID]])</f>
        <v>三国-困难-炼英+炼英</v>
      </c>
    </row>
    <row r="374" spans="2:19">
      <c r="B374" s="16" t="s">
        <v>1117</v>
      </c>
      <c r="C374" s="35" t="s">
        <v>1301</v>
      </c>
      <c r="D374" s="16">
        <v>2</v>
      </c>
      <c r="E374" s="16"/>
      <c r="F374" s="7" t="s">
        <v>151</v>
      </c>
      <c r="G374" s="16" t="s">
        <v>1125</v>
      </c>
      <c r="H374" s="16" t="b">
        <v>1</v>
      </c>
      <c r="I374" s="16" t="s">
        <v>415</v>
      </c>
      <c r="J374" s="16" t="s">
        <v>381</v>
      </c>
      <c r="K374" s="16"/>
      <c r="L374" s="16"/>
      <c r="M374" s="16"/>
      <c r="N374" s="16"/>
      <c r="O374" s="12">
        <f>GET_OK_GROUPS_COUNT(tbHeroEnemy[[#This Row],[Camp]],tbHeroEnemy[[#This Row],[Difficulty]],tbHeroEnemy[[#This Row],[IsBoss]],tbHeroEnemy[[#This Row],[Hero1]:[Soldier3]])</f>
        <v>1</v>
      </c>
      <c r="P374" s="7">
        <v>1</v>
      </c>
      <c r="Q374" s="16" t="s">
        <v>432</v>
      </c>
      <c r="R374" s="9" t="s">
        <v>415</v>
      </c>
      <c r="S374" s="2" t="str">
        <f>GET_OK_GROUP(tbHeroEnemy[[#This Row],[Camp]],tbHeroEnemy[[#This Row],[Difficulty]],tbHeroEnemy[[#This Row],[IsBoss]],tbHeroEnemy[[#This Row],[Hero1]:[Soldier3]],tbHeroEnemy[[#This Row],[GroupID]])</f>
        <v>三国-困难-[B]强英+法英</v>
      </c>
    </row>
    <row r="375" spans="2:19">
      <c r="B375" s="16" t="s">
        <v>1118</v>
      </c>
      <c r="C375" s="35" t="s">
        <v>1301</v>
      </c>
      <c r="D375" s="16">
        <v>1</v>
      </c>
      <c r="E375" s="16"/>
      <c r="F375" s="7" t="s">
        <v>151</v>
      </c>
      <c r="G375" s="16" t="s">
        <v>1125</v>
      </c>
      <c r="H375" s="7"/>
      <c r="I375" s="16" t="s">
        <v>384</v>
      </c>
      <c r="J375" s="16" t="s">
        <v>383</v>
      </c>
      <c r="K375" s="16"/>
      <c r="L375" s="16"/>
      <c r="M375" s="16"/>
      <c r="N375" s="16"/>
      <c r="O375" s="12">
        <f>GET_OK_GROUPS_COUNT(tbHeroEnemy[[#This Row],[Camp]],tbHeroEnemy[[#This Row],[Difficulty]],tbHeroEnemy[[#This Row],[IsBoss]],tbHeroEnemy[[#This Row],[Hero1]:[Soldier3]])</f>
        <v>1</v>
      </c>
      <c r="P375" s="7">
        <v>1</v>
      </c>
      <c r="Q375" s="16" t="s">
        <v>432</v>
      </c>
      <c r="R375" s="9" t="s">
        <v>912</v>
      </c>
      <c r="S375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376" spans="2:19">
      <c r="B376" s="16" t="s">
        <v>1118</v>
      </c>
      <c r="C376" s="35" t="s">
        <v>1301</v>
      </c>
      <c r="D376" s="16">
        <v>2</v>
      </c>
      <c r="E376" s="16"/>
      <c r="F376" s="7" t="s">
        <v>151</v>
      </c>
      <c r="G376" s="16" t="s">
        <v>1126</v>
      </c>
      <c r="H376" s="16" t="b">
        <v>1</v>
      </c>
      <c r="I376" s="16" t="s">
        <v>429</v>
      </c>
      <c r="J376" s="16" t="s">
        <v>383</v>
      </c>
      <c r="K376" s="16"/>
      <c r="L376" s="16"/>
      <c r="M376" s="16"/>
      <c r="N376" s="16"/>
      <c r="O376" s="12">
        <f>GET_OK_GROUPS_COUNT(tbHeroEnemy[[#This Row],[Camp]],tbHeroEnemy[[#This Row],[Difficulty]],tbHeroEnemy[[#This Row],[IsBoss]],tbHeroEnemy[[#This Row],[Hero1]:[Soldier3]])</f>
        <v>1</v>
      </c>
      <c r="P376" s="7">
        <v>1</v>
      </c>
      <c r="Q376" s="16" t="s">
        <v>432</v>
      </c>
      <c r="R376" s="9" t="s">
        <v>429</v>
      </c>
      <c r="S376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77" spans="2:19">
      <c r="B377" s="16" t="s">
        <v>1119</v>
      </c>
      <c r="C377" s="35" t="s">
        <v>1301</v>
      </c>
      <c r="D377" s="16">
        <v>1</v>
      </c>
      <c r="E377" s="16"/>
      <c r="F377" s="7" t="s">
        <v>151</v>
      </c>
      <c r="G377" s="16" t="s">
        <v>1126</v>
      </c>
      <c r="H377" s="7"/>
      <c r="I377" s="16" t="s">
        <v>382</v>
      </c>
      <c r="J377" s="16" t="s">
        <v>381</v>
      </c>
      <c r="K377" s="16"/>
      <c r="L377" s="16"/>
      <c r="M377" s="16"/>
      <c r="N377" s="16"/>
      <c r="O377" s="12">
        <f>GET_OK_GROUPS_COUNT(tbHeroEnemy[[#This Row],[Camp]],tbHeroEnemy[[#This Row],[Difficulty]],tbHeroEnemy[[#This Row],[IsBoss]],tbHeroEnemy[[#This Row],[Hero1]:[Soldier3]])</f>
        <v>1</v>
      </c>
      <c r="P377" s="7">
        <v>1</v>
      </c>
      <c r="Q377" s="16" t="s">
        <v>432</v>
      </c>
      <c r="R377" s="9" t="s">
        <v>912</v>
      </c>
      <c r="S377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78" spans="2:19">
      <c r="B378" s="16" t="s">
        <v>1119</v>
      </c>
      <c r="C378" s="35" t="s">
        <v>1301</v>
      </c>
      <c r="D378" s="16">
        <v>2</v>
      </c>
      <c r="E378" s="16"/>
      <c r="F378" s="7" t="s">
        <v>151</v>
      </c>
      <c r="G378" s="16" t="s">
        <v>1126</v>
      </c>
      <c r="H378" s="16" t="b">
        <v>1</v>
      </c>
      <c r="I378" s="16" t="s">
        <v>416</v>
      </c>
      <c r="J378" s="16" t="s">
        <v>381</v>
      </c>
      <c r="K378" s="16"/>
      <c r="L378" s="16"/>
      <c r="M378" s="16"/>
      <c r="N378" s="16"/>
      <c r="O378" s="12">
        <f>GET_OK_GROUPS_COUNT(tbHeroEnemy[[#This Row],[Camp]],tbHeroEnemy[[#This Row],[Difficulty]],tbHeroEnemy[[#This Row],[IsBoss]],tbHeroEnemy[[#This Row],[Hero1]:[Soldier3]])</f>
        <v>1</v>
      </c>
      <c r="P378" s="7">
        <v>1</v>
      </c>
      <c r="Q378" s="16" t="s">
        <v>432</v>
      </c>
      <c r="R378" s="9" t="s">
        <v>416</v>
      </c>
      <c r="S378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379" spans="2:19">
      <c r="B379" s="16" t="s">
        <v>1120</v>
      </c>
      <c r="C379" s="35" t="s">
        <v>1301</v>
      </c>
      <c r="D379" s="16">
        <v>1</v>
      </c>
      <c r="E379" s="16"/>
      <c r="F379" s="7" t="s">
        <v>151</v>
      </c>
      <c r="G379" s="16" t="s">
        <v>1126</v>
      </c>
      <c r="H379" s="7"/>
      <c r="I379" s="16" t="s">
        <v>380</v>
      </c>
      <c r="J379" s="16" t="s">
        <v>380</v>
      </c>
      <c r="K379" s="16"/>
      <c r="L379" s="16"/>
      <c r="M379" s="16"/>
      <c r="N379" s="16"/>
      <c r="O379" s="12">
        <f>GET_OK_GROUPS_COUNT(tbHeroEnemy[[#This Row],[Camp]],tbHeroEnemy[[#This Row],[Difficulty]],tbHeroEnemy[[#This Row],[IsBoss]],tbHeroEnemy[[#This Row],[Hero1]:[Soldier3]])</f>
        <v>1</v>
      </c>
      <c r="P379" s="7">
        <v>1</v>
      </c>
      <c r="Q379" s="16" t="s">
        <v>432</v>
      </c>
      <c r="R379" s="9" t="s">
        <v>912</v>
      </c>
      <c r="S379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380" spans="2:19">
      <c r="B380" s="16" t="s">
        <v>1120</v>
      </c>
      <c r="C380" s="35" t="s">
        <v>1301</v>
      </c>
      <c r="D380" s="16">
        <v>2</v>
      </c>
      <c r="E380" s="16"/>
      <c r="F380" s="7" t="s">
        <v>151</v>
      </c>
      <c r="G380" s="16" t="s">
        <v>1126</v>
      </c>
      <c r="H380" s="16" t="b">
        <v>1</v>
      </c>
      <c r="I380" s="16" t="s">
        <v>398</v>
      </c>
      <c r="J380" s="16" t="s">
        <v>381</v>
      </c>
      <c r="K380" s="16"/>
      <c r="L380" s="16"/>
      <c r="M380" s="16"/>
      <c r="N380" s="16"/>
      <c r="O380" s="12">
        <f>GET_OK_GROUPS_COUNT(tbHeroEnemy[[#This Row],[Camp]],tbHeroEnemy[[#This Row],[Difficulty]],tbHeroEnemy[[#This Row],[IsBoss]],tbHeroEnemy[[#This Row],[Hero1]:[Soldier3]])</f>
        <v>1</v>
      </c>
      <c r="P380" s="7">
        <v>1</v>
      </c>
      <c r="Q380" s="16" t="s">
        <v>432</v>
      </c>
      <c r="R380" s="9" t="s">
        <v>398</v>
      </c>
      <c r="S38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81" spans="2:19">
      <c r="B381" s="16" t="s">
        <v>1121</v>
      </c>
      <c r="C381" s="35" t="s">
        <v>1301</v>
      </c>
      <c r="D381" s="16">
        <v>1</v>
      </c>
      <c r="E381" s="16"/>
      <c r="F381" s="7" t="s">
        <v>151</v>
      </c>
      <c r="G381" s="16" t="s">
        <v>1125</v>
      </c>
      <c r="H381" s="7"/>
      <c r="I381" s="16" t="s">
        <v>382</v>
      </c>
      <c r="J381" s="16" t="s">
        <v>382</v>
      </c>
      <c r="K381" s="16"/>
      <c r="L381" s="16"/>
      <c r="M381" s="16"/>
      <c r="N381" s="16"/>
      <c r="O381" s="12">
        <f>GET_OK_GROUPS_COUNT(tbHeroEnemy[[#This Row],[Camp]],tbHeroEnemy[[#This Row],[Difficulty]],tbHeroEnemy[[#This Row],[IsBoss]],tbHeroEnemy[[#This Row],[Hero1]:[Soldier3]])</f>
        <v>1</v>
      </c>
      <c r="P381" s="7">
        <v>1</v>
      </c>
      <c r="Q381" s="16" t="s">
        <v>433</v>
      </c>
      <c r="R381" s="9" t="s">
        <v>912</v>
      </c>
      <c r="S381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82" spans="2:19">
      <c r="B382" s="16" t="s">
        <v>1121</v>
      </c>
      <c r="C382" s="35" t="s">
        <v>1301</v>
      </c>
      <c r="D382" s="16">
        <v>2</v>
      </c>
      <c r="E382" s="16"/>
      <c r="F382" s="7" t="s">
        <v>151</v>
      </c>
      <c r="G382" s="16" t="s">
        <v>1125</v>
      </c>
      <c r="H382" s="16" t="b">
        <v>1</v>
      </c>
      <c r="I382" s="16" t="s">
        <v>427</v>
      </c>
      <c r="J382" s="16" t="s">
        <v>380</v>
      </c>
      <c r="K382" s="16"/>
      <c r="L382" s="16"/>
      <c r="M382" s="16"/>
      <c r="N382" s="16"/>
      <c r="O382" s="12">
        <f>GET_OK_GROUPS_COUNT(tbHeroEnemy[[#This Row],[Camp]],tbHeroEnemy[[#This Row],[Difficulty]],tbHeroEnemy[[#This Row],[IsBoss]],tbHeroEnemy[[#This Row],[Hero1]:[Soldier3]])</f>
        <v>1</v>
      </c>
      <c r="P382" s="7">
        <v>1</v>
      </c>
      <c r="Q382" s="16" t="s">
        <v>433</v>
      </c>
      <c r="R382" s="9" t="s">
        <v>427</v>
      </c>
      <c r="S382" s="2" t="str">
        <f>GET_OK_GROUP(tbHeroEnemy[[#This Row],[Camp]],tbHeroEnemy[[#This Row],[Difficulty]],tbHeroEnemy[[#This Row],[IsBoss]],tbHeroEnemy[[#This Row],[Hero1]:[Soldier3]],tbHeroEnemy[[#This Row],[GroupID]])</f>
        <v>三国-困难-[B]盾英+炼英</v>
      </c>
    </row>
    <row r="383" spans="2:19">
      <c r="B383" s="16" t="s">
        <v>1122</v>
      </c>
      <c r="C383" s="35" t="s">
        <v>1301</v>
      </c>
      <c r="D383" s="16">
        <v>1</v>
      </c>
      <c r="E383" s="16"/>
      <c r="F383" s="7" t="s">
        <v>151</v>
      </c>
      <c r="G383" s="16" t="s">
        <v>1125</v>
      </c>
      <c r="H383" s="7"/>
      <c r="I383" s="16" t="s">
        <v>382</v>
      </c>
      <c r="J383" s="16" t="s">
        <v>385</v>
      </c>
      <c r="K383" s="16"/>
      <c r="L383" s="16"/>
      <c r="M383" s="16"/>
      <c r="N383" s="16"/>
      <c r="O383" s="12">
        <f>GET_OK_GROUPS_COUNT(tbHeroEnemy[[#This Row],[Camp]],tbHeroEnemy[[#This Row],[Difficulty]],tbHeroEnemy[[#This Row],[IsBoss]],tbHeroEnemy[[#This Row],[Hero1]:[Soldier3]])</f>
        <v>1</v>
      </c>
      <c r="P383" s="7">
        <v>1</v>
      </c>
      <c r="Q383" s="16" t="s">
        <v>433</v>
      </c>
      <c r="R383" s="9" t="s">
        <v>912</v>
      </c>
      <c r="S383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384" spans="2:19">
      <c r="B384" s="16" t="s">
        <v>1122</v>
      </c>
      <c r="C384" s="35" t="s">
        <v>1301</v>
      </c>
      <c r="D384" s="16">
        <v>2</v>
      </c>
      <c r="E384" s="16"/>
      <c r="F384" s="7" t="s">
        <v>151</v>
      </c>
      <c r="G384" s="16" t="s">
        <v>1126</v>
      </c>
      <c r="H384" s="16" t="b">
        <v>1</v>
      </c>
      <c r="I384" s="16" t="s">
        <v>406</v>
      </c>
      <c r="J384" s="16" t="s">
        <v>381</v>
      </c>
      <c r="K384" s="16"/>
      <c r="L384" s="16"/>
      <c r="M384" s="16"/>
      <c r="N384" s="16"/>
      <c r="O384" s="12">
        <f>GET_OK_GROUPS_COUNT(tbHeroEnemy[[#This Row],[Camp]],tbHeroEnemy[[#This Row],[Difficulty]],tbHeroEnemy[[#This Row],[IsBoss]],tbHeroEnemy[[#This Row],[Hero1]:[Soldier3]])</f>
        <v>1</v>
      </c>
      <c r="P384" s="7">
        <v>1</v>
      </c>
      <c r="Q384" s="16" t="s">
        <v>433</v>
      </c>
      <c r="R384" s="9" t="s">
        <v>406</v>
      </c>
      <c r="S384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85" spans="2:19">
      <c r="B385" s="16" t="s">
        <v>1123</v>
      </c>
      <c r="C385" s="35" t="s">
        <v>1301</v>
      </c>
      <c r="D385" s="16">
        <v>1</v>
      </c>
      <c r="E385" s="16"/>
      <c r="F385" s="7" t="s">
        <v>151</v>
      </c>
      <c r="G385" s="16" t="s">
        <v>1126</v>
      </c>
      <c r="H385" s="7"/>
      <c r="I385" s="16" t="s">
        <v>383</v>
      </c>
      <c r="J385" s="16" t="s">
        <v>381</v>
      </c>
      <c r="K385" s="16"/>
      <c r="L385" s="16"/>
      <c r="M385" s="16"/>
      <c r="N385" s="16"/>
      <c r="O385" s="12">
        <f>GET_OK_GROUPS_COUNT(tbHeroEnemy[[#This Row],[Camp]],tbHeroEnemy[[#This Row],[Difficulty]],tbHeroEnemy[[#This Row],[IsBoss]],tbHeroEnemy[[#This Row],[Hero1]:[Soldier3]])</f>
        <v>1</v>
      </c>
      <c r="P385" s="7">
        <v>1</v>
      </c>
      <c r="Q385" s="16" t="s">
        <v>433</v>
      </c>
      <c r="R385" s="9" t="s">
        <v>912</v>
      </c>
      <c r="S385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86" spans="2:19">
      <c r="B386" s="16" t="s">
        <v>1123</v>
      </c>
      <c r="C386" s="35" t="s">
        <v>1301</v>
      </c>
      <c r="D386" s="16">
        <v>2</v>
      </c>
      <c r="E386" s="16"/>
      <c r="F386" s="7" t="s">
        <v>151</v>
      </c>
      <c r="G386" s="16" t="s">
        <v>1126</v>
      </c>
      <c r="H386" s="16" t="b">
        <v>1</v>
      </c>
      <c r="I386" s="16" t="s">
        <v>400</v>
      </c>
      <c r="J386" s="16" t="s">
        <v>383</v>
      </c>
      <c r="K386" s="16"/>
      <c r="L386" s="16"/>
      <c r="M386" s="16"/>
      <c r="N386" s="16"/>
      <c r="O386" s="12">
        <f>GET_OK_GROUPS_COUNT(tbHeroEnemy[[#This Row],[Camp]],tbHeroEnemy[[#This Row],[Difficulty]],tbHeroEnemy[[#This Row],[IsBoss]],tbHeroEnemy[[#This Row],[Hero1]:[Soldier3]])</f>
        <v>1</v>
      </c>
      <c r="P386" s="7">
        <v>1</v>
      </c>
      <c r="Q386" s="16" t="s">
        <v>433</v>
      </c>
      <c r="R386" s="9" t="s">
        <v>400</v>
      </c>
      <c r="S38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387" spans="2:19">
      <c r="B387" s="16" t="s">
        <v>1124</v>
      </c>
      <c r="C387" s="35" t="s">
        <v>1301</v>
      </c>
      <c r="D387" s="16">
        <v>1</v>
      </c>
      <c r="E387" s="16"/>
      <c r="F387" s="7" t="s">
        <v>151</v>
      </c>
      <c r="G387" s="16" t="s">
        <v>1126</v>
      </c>
      <c r="H387" s="7"/>
      <c r="I387" s="16" t="s">
        <v>383</v>
      </c>
      <c r="J387" s="16" t="s">
        <v>381</v>
      </c>
      <c r="K387" s="16"/>
      <c r="L387" s="16"/>
      <c r="M387" s="16"/>
      <c r="N387" s="16"/>
      <c r="O387" s="12">
        <f>GET_OK_GROUPS_COUNT(tbHeroEnemy[[#This Row],[Camp]],tbHeroEnemy[[#This Row],[Difficulty]],tbHeroEnemy[[#This Row],[IsBoss]],tbHeroEnemy[[#This Row],[Hero1]:[Soldier3]])</f>
        <v>1</v>
      </c>
      <c r="P387" s="7">
        <v>1</v>
      </c>
      <c r="Q387" s="16" t="s">
        <v>433</v>
      </c>
      <c r="R387" s="9" t="s">
        <v>912</v>
      </c>
      <c r="S387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88" spans="2:19">
      <c r="B388" s="16" t="s">
        <v>1124</v>
      </c>
      <c r="C388" s="35" t="s">
        <v>1301</v>
      </c>
      <c r="D388" s="16">
        <v>2</v>
      </c>
      <c r="E388" s="16"/>
      <c r="F388" s="7" t="s">
        <v>151</v>
      </c>
      <c r="G388" s="16" t="s">
        <v>1126</v>
      </c>
      <c r="H388" s="16" t="b">
        <v>1</v>
      </c>
      <c r="I388" s="16" t="s">
        <v>396</v>
      </c>
      <c r="J388" s="16" t="s">
        <v>382</v>
      </c>
      <c r="K388" s="16"/>
      <c r="L388" s="16"/>
      <c r="M388" s="16"/>
      <c r="N388" s="16"/>
      <c r="O388" s="12">
        <f>GET_OK_GROUPS_COUNT(tbHeroEnemy[[#This Row],[Camp]],tbHeroEnemy[[#This Row],[Difficulty]],tbHeroEnemy[[#This Row],[IsBoss]],tbHeroEnemy[[#This Row],[Hero1]:[Soldier3]])</f>
        <v>1</v>
      </c>
      <c r="P388" s="7">
        <v>1</v>
      </c>
      <c r="Q388" s="16" t="s">
        <v>433</v>
      </c>
      <c r="R388" s="9" t="s">
        <v>396</v>
      </c>
      <c r="S388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</sheetData>
  <phoneticPr fontId="28" type="noConversion"/>
  <conditionalFormatting sqref="P5:P388">
    <cfRule type="expression" dxfId="9" priority="2">
      <formula>P5&gt;O5</formula>
    </cfRule>
  </conditionalFormatting>
  <conditionalFormatting sqref="O5:O388">
    <cfRule type="cellIs" dxfId="8" priority="1" operator="equal">
      <formula>0</formula>
    </cfRule>
  </conditionalFormatting>
  <dataValidations count="5">
    <dataValidation type="list" allowBlank="1" showInputMessage="1" showErrorMessage="1" sqref="I5:K388">
      <formula1>UnitNames</formula1>
    </dataValidation>
    <dataValidation type="list" allowBlank="1" showInputMessage="1" showErrorMessage="1" sqref="L5:N388">
      <formula1>SoldierNames</formula1>
    </dataValidation>
    <dataValidation type="list" allowBlank="1" showInputMessage="1" showErrorMessage="1" sqref="F5:F388">
      <formula1>"三国,黄巾"</formula1>
    </dataValidation>
    <dataValidation type="list" allowBlank="1" showInputMessage="1" showErrorMessage="1" sqref="H5:H388">
      <formula1>"TRUE,FALSE"</formula1>
    </dataValidation>
    <dataValidation type="list" allowBlank="1" showInputMessage="1" showErrorMessage="1" sqref="G5:G388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Hero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ReadHeroStageDifficulty">
                <anchor moveWithCells="1">
                  <from>
                    <xdr:col>3</xdr:col>
                    <xdr:colOff>247650</xdr:colOff>
                    <xdr:row>0</xdr:row>
                    <xdr:rowOff>171450</xdr:rowOff>
                  </from>
                  <to>
                    <xdr:col>5</xdr:col>
                    <xdr:colOff>342900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S69"/>
  <sheetViews>
    <sheetView showGridLines="0" tabSelected="1" zoomScale="90" zoomScaleNormal="90" workbookViewId="0">
      <pane ySplit="4" topLeftCell="A5" activePane="bottomLeft" state="frozen"/>
      <selection activeCell="E1" sqref="E1:E1048576"/>
      <selection pane="bottomLeft" activeCell="L1" sqref="L1"/>
    </sheetView>
  </sheetViews>
  <sheetFormatPr defaultColWidth="9" defaultRowHeight="16.5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9.25" style="7" customWidth="1"/>
    <col min="6" max="6" width="10" style="7" customWidth="1"/>
    <col min="7" max="7" width="9.5" style="7" bestFit="1" customWidth="1"/>
    <col min="9" max="11" width="9" style="7"/>
    <col min="12" max="14" width="10.5" style="7" customWidth="1"/>
    <col min="15" max="15" width="14" style="7" customWidth="1"/>
    <col min="16" max="16" width="10.5" style="7" customWidth="1"/>
    <col min="17" max="17" width="11.375" style="7" customWidth="1"/>
    <col min="18" max="18" width="10.125" style="7" customWidth="1"/>
    <col min="19" max="19" width="21.125" style="7" customWidth="1"/>
    <col min="20" max="16384" width="9" style="7"/>
  </cols>
  <sheetData>
    <row r="1" spans="2:19">
      <c r="H1" s="7"/>
    </row>
    <row r="2" spans="2:19">
      <c r="H2" s="7"/>
    </row>
    <row r="3" spans="2:19">
      <c r="H3" s="7"/>
    </row>
    <row r="4" spans="2:19">
      <c r="B4" s="8" t="s">
        <v>492</v>
      </c>
      <c r="C4" s="35" t="s">
        <v>1290</v>
      </c>
      <c r="D4" s="7" t="s">
        <v>482</v>
      </c>
      <c r="E4" s="36" t="s">
        <v>1312</v>
      </c>
      <c r="F4" s="7" t="s">
        <v>480</v>
      </c>
      <c r="G4" s="7" t="s">
        <v>470</v>
      </c>
      <c r="H4" s="7" t="s">
        <v>490</v>
      </c>
      <c r="I4" s="8" t="s">
        <v>473</v>
      </c>
      <c r="J4" s="8" t="s">
        <v>474</v>
      </c>
      <c r="K4" s="8" t="s">
        <v>475</v>
      </c>
      <c r="L4" s="7" t="s">
        <v>476</v>
      </c>
      <c r="M4" s="7" t="s">
        <v>477</v>
      </c>
      <c r="N4" s="7" t="s">
        <v>478</v>
      </c>
      <c r="O4" s="7" t="s">
        <v>487</v>
      </c>
      <c r="P4" s="7" t="s">
        <v>488</v>
      </c>
      <c r="Q4" s="16" t="s">
        <v>948</v>
      </c>
      <c r="R4" s="8" t="s">
        <v>496</v>
      </c>
      <c r="S4" s="7" t="s">
        <v>486</v>
      </c>
    </row>
    <row r="5" spans="2:19">
      <c r="B5" s="7" t="s">
        <v>1321</v>
      </c>
      <c r="C5" s="38" t="s">
        <v>1335</v>
      </c>
      <c r="D5" s="7">
        <v>1</v>
      </c>
      <c r="E5" s="7">
        <v>5</v>
      </c>
      <c r="F5" s="7" t="s">
        <v>597</v>
      </c>
      <c r="G5" s="16" t="s">
        <v>1337</v>
      </c>
      <c r="H5" s="7"/>
      <c r="I5" s="8"/>
      <c r="L5" s="7" t="s">
        <v>49</v>
      </c>
      <c r="O5" s="12">
        <f>GET_OK_GROUPS_COUNT(tbHeroEliteEnemy16[[#This Row],[Camp]],tbHeroEliteEnemy16[[#This Row],[Difficulty]],tbHeroEliteEnemy16[[#This Row],[IsBoss]],tbHeroEliteEnemy16[[#This Row],[Hero1]:[Soldier3]])</f>
        <v>4</v>
      </c>
      <c r="P5" s="7">
        <v>4</v>
      </c>
      <c r="R5" s="9" t="s">
        <v>912</v>
      </c>
      <c r="S5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黄巾-简单-教徒4</v>
      </c>
    </row>
    <row r="6" spans="2:19">
      <c r="B6" s="18" t="s">
        <v>1321</v>
      </c>
      <c r="C6" s="38" t="s">
        <v>1335</v>
      </c>
      <c r="D6" s="18">
        <v>2</v>
      </c>
      <c r="E6" s="18">
        <v>10</v>
      </c>
      <c r="F6" s="7" t="s">
        <v>597</v>
      </c>
      <c r="G6" s="18" t="s">
        <v>1338</v>
      </c>
      <c r="H6" s="18"/>
      <c r="I6" s="18"/>
      <c r="J6" s="18"/>
      <c r="K6" s="18"/>
      <c r="L6" s="18" t="s">
        <v>25</v>
      </c>
      <c r="M6" s="18" t="s">
        <v>26</v>
      </c>
      <c r="N6" s="18"/>
      <c r="O6" s="13">
        <f>GET_OK_GROUPS_COUNT(tbHeroEliteEnemy16[[#This Row],[Camp]],tbHeroEliteEnemy16[[#This Row],[Difficulty]],tbHeroEliteEnemy16[[#This Row],[IsBoss]],tbHeroEliteEnemy16[[#This Row],[Hero1]:[Soldier3]])</f>
        <v>1</v>
      </c>
      <c r="P6" s="7">
        <v>1</v>
      </c>
      <c r="Q6" s="18"/>
      <c r="R6" s="18" t="s">
        <v>912</v>
      </c>
      <c r="S6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黄巾-普通-铁兵+强兵</v>
      </c>
    </row>
    <row r="7" spans="2:19">
      <c r="B7" s="18" t="s">
        <v>1321</v>
      </c>
      <c r="C7" s="38" t="s">
        <v>1335</v>
      </c>
      <c r="D7" s="18">
        <v>3</v>
      </c>
      <c r="E7" s="18">
        <v>10</v>
      </c>
      <c r="F7" s="7" t="s">
        <v>597</v>
      </c>
      <c r="G7" s="18" t="s">
        <v>1338</v>
      </c>
      <c r="H7" s="18"/>
      <c r="I7" s="18"/>
      <c r="J7" s="18"/>
      <c r="K7" s="18"/>
      <c r="L7" s="18" t="s">
        <v>25</v>
      </c>
      <c r="M7" s="18" t="s">
        <v>28</v>
      </c>
      <c r="N7" s="18"/>
      <c r="O7" s="13">
        <f>GET_OK_GROUPS_COUNT(tbHeroEliteEnemy16[[#This Row],[Camp]],tbHeroEliteEnemy16[[#This Row],[Difficulty]],tbHeroEliteEnemy16[[#This Row],[IsBoss]],tbHeroEliteEnemy16[[#This Row],[Hero1]:[Soldier3]])</f>
        <v>1</v>
      </c>
      <c r="P7" s="7">
        <v>1</v>
      </c>
      <c r="Q7" s="18"/>
      <c r="R7" s="18" t="s">
        <v>912</v>
      </c>
      <c r="S7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黄巾-普通-铁兵+法兵</v>
      </c>
    </row>
    <row r="8" spans="2:19">
      <c r="B8" s="18" t="s">
        <v>1321</v>
      </c>
      <c r="C8" s="38" t="s">
        <v>1335</v>
      </c>
      <c r="D8" s="18">
        <v>4</v>
      </c>
      <c r="E8" s="18">
        <v>15</v>
      </c>
      <c r="F8" s="7" t="s">
        <v>597</v>
      </c>
      <c r="G8" s="18" t="s">
        <v>1169</v>
      </c>
      <c r="H8" s="18"/>
      <c r="I8" s="40" t="s">
        <v>1349</v>
      </c>
      <c r="J8" s="18"/>
      <c r="K8" s="18"/>
      <c r="L8" s="18" t="s">
        <v>49</v>
      </c>
      <c r="M8" s="18"/>
      <c r="N8" s="18"/>
      <c r="O8" s="13">
        <f>GET_OK_GROUPS_COUNT(tbHeroEliteEnemy16[[#This Row],[Camp]],tbHeroEliteEnemy16[[#This Row],[Difficulty]],tbHeroEliteEnemy16[[#This Row],[IsBoss]],tbHeroEliteEnemy16[[#This Row],[Hero1]:[Soldier3]])</f>
        <v>1</v>
      </c>
      <c r="P8" s="7">
        <v>1</v>
      </c>
      <c r="Q8" s="18"/>
      <c r="R8" s="18" t="s">
        <v>912</v>
      </c>
      <c r="S8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黄巾-困难-法英+教徒</v>
      </c>
    </row>
    <row r="9" spans="2:19">
      <c r="B9" s="18" t="s">
        <v>1321</v>
      </c>
      <c r="C9" s="38" t="s">
        <v>1335</v>
      </c>
      <c r="D9" s="18">
        <v>5</v>
      </c>
      <c r="E9" s="18">
        <v>20</v>
      </c>
      <c r="F9" s="7" t="s">
        <v>597</v>
      </c>
      <c r="G9" s="18" t="s">
        <v>1126</v>
      </c>
      <c r="H9" s="18" t="b">
        <v>1</v>
      </c>
      <c r="I9" s="40" t="s">
        <v>1350</v>
      </c>
      <c r="J9" s="40" t="s">
        <v>1347</v>
      </c>
      <c r="K9" s="40" t="s">
        <v>1348</v>
      </c>
      <c r="L9" s="18"/>
      <c r="M9" s="18"/>
      <c r="N9" s="18"/>
      <c r="O9" s="13">
        <f>GET_OK_GROUPS_COUNT(tbHeroEliteEnemy16[[#This Row],[Camp]],tbHeroEliteEnemy16[[#This Row],[Difficulty]],tbHeroEliteEnemy16[[#This Row],[IsBoss]],tbHeroEliteEnemy16[[#This Row],[Hero1]:[Soldier3]])</f>
        <v>1</v>
      </c>
      <c r="P9" s="7">
        <v>1</v>
      </c>
      <c r="Q9" s="18"/>
      <c r="R9" s="18" t="s">
        <v>1183</v>
      </c>
      <c r="S9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黄巾-超难-[B]盾英+法英+法英</v>
      </c>
    </row>
    <row r="10" spans="2:19">
      <c r="B10" s="18" t="s">
        <v>1322</v>
      </c>
      <c r="C10" s="38" t="s">
        <v>1335</v>
      </c>
      <c r="D10" s="18">
        <v>1</v>
      </c>
      <c r="E10" s="18">
        <v>5</v>
      </c>
      <c r="F10" s="7" t="s">
        <v>151</v>
      </c>
      <c r="G10" s="16" t="s">
        <v>1339</v>
      </c>
      <c r="H10" s="7"/>
      <c r="I10" s="8"/>
      <c r="L10" s="7" t="s">
        <v>34</v>
      </c>
      <c r="N10" s="18"/>
      <c r="O10" s="13">
        <f>GET_OK_GROUPS_COUNT(tbHeroEliteEnemy16[[#This Row],[Camp]],tbHeroEliteEnemy16[[#This Row],[Difficulty]],tbHeroEliteEnemy16[[#This Row],[IsBoss]],tbHeroEliteEnemy16[[#This Row],[Hero1]:[Soldier3]])</f>
        <v>4</v>
      </c>
      <c r="P10" s="7">
        <v>1</v>
      </c>
      <c r="Q10" s="18"/>
      <c r="R10" s="18" t="s">
        <v>912</v>
      </c>
      <c r="S1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三国-简单-盾兵</v>
      </c>
    </row>
    <row r="11" spans="2:19">
      <c r="B11" s="18" t="s">
        <v>1322</v>
      </c>
      <c r="C11" s="38" t="s">
        <v>1335</v>
      </c>
      <c r="D11" s="18">
        <v>2</v>
      </c>
      <c r="E11" s="18">
        <v>10</v>
      </c>
      <c r="F11" s="7" t="s">
        <v>151</v>
      </c>
      <c r="G11" s="18" t="s">
        <v>1338</v>
      </c>
      <c r="H11" s="18"/>
      <c r="I11" s="18"/>
      <c r="J11" s="18"/>
      <c r="K11" s="18"/>
      <c r="L11" s="40" t="s">
        <v>1380</v>
      </c>
      <c r="M11" s="18"/>
      <c r="N11" s="18"/>
      <c r="O11" s="13">
        <f>GET_OK_GROUPS_COUNT(tbHeroEliteEnemy16[[#This Row],[Camp]],tbHeroEliteEnemy16[[#This Row],[Difficulty]],tbHeroEliteEnemy16[[#This Row],[IsBoss]],tbHeroEliteEnemy16[[#This Row],[Hero1]:[Soldier3]])</f>
        <v>1</v>
      </c>
      <c r="P11" s="7">
        <v>1</v>
      </c>
      <c r="Q11" s="18"/>
      <c r="R11" s="18" t="s">
        <v>912</v>
      </c>
      <c r="S1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三国-普通-教徒</v>
      </c>
    </row>
    <row r="12" spans="2:19">
      <c r="B12" s="18" t="s">
        <v>1322</v>
      </c>
      <c r="C12" s="38" t="s">
        <v>1335</v>
      </c>
      <c r="D12" s="18">
        <v>3</v>
      </c>
      <c r="E12" s="18">
        <v>10</v>
      </c>
      <c r="F12" s="7" t="s">
        <v>151</v>
      </c>
      <c r="G12" s="18" t="s">
        <v>1338</v>
      </c>
      <c r="H12" s="18"/>
      <c r="I12" s="18"/>
      <c r="J12" s="18"/>
      <c r="K12" s="18"/>
      <c r="L12" s="18" t="s">
        <v>34</v>
      </c>
      <c r="M12" s="18" t="s">
        <v>28</v>
      </c>
      <c r="N12" s="18"/>
      <c r="O12" s="13">
        <f>GET_OK_GROUPS_COUNT(tbHeroEliteEnemy16[[#This Row],[Camp]],tbHeroEliteEnemy16[[#This Row],[Difficulty]],tbHeroEliteEnemy16[[#This Row],[IsBoss]],tbHeroEliteEnemy16[[#This Row],[Hero1]:[Soldier3]])</f>
        <v>1</v>
      </c>
      <c r="P12" s="7">
        <v>1</v>
      </c>
      <c r="Q12" s="18"/>
      <c r="R12" s="18" t="s">
        <v>912</v>
      </c>
      <c r="S1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三国-普通-盾兵+法兵</v>
      </c>
    </row>
    <row r="13" spans="2:19">
      <c r="B13" s="18" t="s">
        <v>1322</v>
      </c>
      <c r="C13" s="38" t="s">
        <v>1335</v>
      </c>
      <c r="D13" s="18">
        <v>4</v>
      </c>
      <c r="E13" s="18">
        <v>15</v>
      </c>
      <c r="F13" s="7" t="s">
        <v>151</v>
      </c>
      <c r="G13" s="18" t="s">
        <v>1169</v>
      </c>
      <c r="H13" s="18"/>
      <c r="I13" s="40" t="s">
        <v>1355</v>
      </c>
      <c r="J13" s="18"/>
      <c r="K13" s="18"/>
      <c r="L13" s="40" t="s">
        <v>1374</v>
      </c>
      <c r="M13" s="18"/>
      <c r="N13" s="18"/>
      <c r="O13" s="13">
        <f>GET_OK_GROUPS_COUNT(tbHeroEliteEnemy16[[#This Row],[Camp]],tbHeroEliteEnemy16[[#This Row],[Difficulty]],tbHeroEliteEnemy16[[#This Row],[IsBoss]],tbHeroEliteEnemy16[[#This Row],[Hero1]:[Soldier3]])</f>
        <v>1</v>
      </c>
      <c r="P13" s="7">
        <v>1</v>
      </c>
      <c r="Q13" s="18"/>
      <c r="R13" s="18"/>
      <c r="S1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三国-困难-盾英+强兵</v>
      </c>
    </row>
    <row r="14" spans="2:19">
      <c r="B14" s="18" t="s">
        <v>1322</v>
      </c>
      <c r="C14" s="38" t="s">
        <v>1335</v>
      </c>
      <c r="D14" s="18">
        <v>5</v>
      </c>
      <c r="E14" s="18">
        <v>20</v>
      </c>
      <c r="F14" s="7" t="s">
        <v>151</v>
      </c>
      <c r="G14" s="18" t="s">
        <v>1126</v>
      </c>
      <c r="H14" s="18" t="b">
        <v>1</v>
      </c>
      <c r="I14" s="40" t="s">
        <v>1352</v>
      </c>
      <c r="J14" s="40" t="s">
        <v>1353</v>
      </c>
      <c r="K14" s="18"/>
      <c r="L14" s="18"/>
      <c r="M14" s="18"/>
      <c r="N14" s="18"/>
      <c r="O14" s="13">
        <f>GET_OK_GROUPS_COUNT(tbHeroEliteEnemy16[[#This Row],[Camp]],tbHeroEliteEnemy16[[#This Row],[Difficulty]],tbHeroEliteEnemy16[[#This Row],[IsBoss]],tbHeroEliteEnemy16[[#This Row],[Hero1]:[Soldier3]])</f>
        <v>1</v>
      </c>
      <c r="P14" s="7">
        <v>1</v>
      </c>
      <c r="Q14" s="18"/>
      <c r="R14" s="18" t="s">
        <v>1351</v>
      </c>
      <c r="S1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三国-超难-[B]铁英+炼英</v>
      </c>
    </row>
    <row r="15" spans="2:19">
      <c r="B15" s="18" t="s">
        <v>1323</v>
      </c>
      <c r="C15" s="38" t="s">
        <v>1335</v>
      </c>
      <c r="D15" s="18">
        <v>1</v>
      </c>
      <c r="E15" s="18">
        <v>5</v>
      </c>
      <c r="F15" s="7" t="s">
        <v>151</v>
      </c>
      <c r="G15" s="16" t="s">
        <v>1339</v>
      </c>
      <c r="H15" s="7"/>
      <c r="I15" s="8"/>
      <c r="L15" s="7" t="s">
        <v>25</v>
      </c>
      <c r="N15" s="18"/>
      <c r="O15" s="13">
        <f>GET_OK_GROUPS_COUNT(tbHeroEliteEnemy16[[#This Row],[Camp]],tbHeroEliteEnemy16[[#This Row],[Difficulty]],tbHeroEliteEnemy16[[#This Row],[IsBoss]],tbHeroEliteEnemy16[[#This Row],[Hero1]:[Soldier3]])</f>
        <v>4</v>
      </c>
      <c r="P15" s="7">
        <v>1</v>
      </c>
      <c r="Q15" s="18"/>
      <c r="R15" s="18" t="s">
        <v>912</v>
      </c>
      <c r="S1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</v>
      </c>
    </row>
    <row r="16" spans="2:19">
      <c r="B16" s="18" t="s">
        <v>1323</v>
      </c>
      <c r="C16" s="38" t="s">
        <v>1335</v>
      </c>
      <c r="D16" s="18">
        <v>2</v>
      </c>
      <c r="E16" s="18">
        <v>10</v>
      </c>
      <c r="F16" s="7" t="s">
        <v>151</v>
      </c>
      <c r="G16" s="18" t="s">
        <v>1338</v>
      </c>
      <c r="H16" s="18"/>
      <c r="I16" s="18"/>
      <c r="J16" s="18"/>
      <c r="K16" s="18"/>
      <c r="L16" s="40" t="s">
        <v>1374</v>
      </c>
      <c r="M16" s="18"/>
      <c r="N16" s="18"/>
      <c r="O16" s="13">
        <f>GET_OK_GROUPS_COUNT(tbHeroEliteEnemy16[[#This Row],[Camp]],tbHeroEliteEnemy16[[#This Row],[Difficulty]],tbHeroEliteEnemy16[[#This Row],[IsBoss]],tbHeroEliteEnemy16[[#This Row],[Hero1]:[Soldier3]])</f>
        <v>3</v>
      </c>
      <c r="P16" s="7">
        <v>1</v>
      </c>
      <c r="Q16" s="18"/>
      <c r="R16" s="18" t="s">
        <v>912</v>
      </c>
      <c r="S1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三国-普通-强兵</v>
      </c>
    </row>
    <row r="17" spans="2:19">
      <c r="B17" s="18" t="s">
        <v>1323</v>
      </c>
      <c r="C17" s="38" t="s">
        <v>1335</v>
      </c>
      <c r="D17" s="18">
        <v>3</v>
      </c>
      <c r="E17" s="18">
        <v>10</v>
      </c>
      <c r="F17" s="7" t="s">
        <v>151</v>
      </c>
      <c r="G17" s="18" t="s">
        <v>1338</v>
      </c>
      <c r="H17" s="18"/>
      <c r="I17" s="18"/>
      <c r="J17" s="18"/>
      <c r="K17" s="18"/>
      <c r="L17" s="18" t="s">
        <v>25</v>
      </c>
      <c r="M17" s="40" t="s">
        <v>1374</v>
      </c>
      <c r="N17" s="18"/>
      <c r="O17" s="13">
        <f>GET_OK_GROUPS_COUNT(tbHeroEliteEnemy16[[#This Row],[Camp]],tbHeroEliteEnemy16[[#This Row],[Difficulty]],tbHeroEliteEnemy16[[#This Row],[IsBoss]],tbHeroEliteEnemy16[[#This Row],[Hero1]:[Soldier3]])</f>
        <v>1</v>
      </c>
      <c r="P17" s="7">
        <v>1</v>
      </c>
      <c r="Q17" s="18"/>
      <c r="R17" s="18" t="s">
        <v>912</v>
      </c>
      <c r="S1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18" spans="2:19">
      <c r="B18" s="18" t="s">
        <v>1323</v>
      </c>
      <c r="C18" s="38" t="s">
        <v>1335</v>
      </c>
      <c r="D18" s="18">
        <v>4</v>
      </c>
      <c r="E18" s="18">
        <v>15</v>
      </c>
      <c r="F18" s="7" t="s">
        <v>151</v>
      </c>
      <c r="G18" s="18" t="s">
        <v>1169</v>
      </c>
      <c r="H18" s="18"/>
      <c r="I18" s="40" t="s">
        <v>1375</v>
      </c>
      <c r="J18" s="18"/>
      <c r="K18" s="18"/>
      <c r="L18" s="18" t="s">
        <v>25</v>
      </c>
      <c r="M18" s="18"/>
      <c r="N18" s="18"/>
      <c r="O18" s="13">
        <f>GET_OK_GROUPS_COUNT(tbHeroEliteEnemy16[[#This Row],[Camp]],tbHeroEliteEnemy16[[#This Row],[Difficulty]],tbHeroEliteEnemy16[[#This Row],[IsBoss]],tbHeroEliteEnemy16[[#This Row],[Hero1]:[Soldier3]])</f>
        <v>1</v>
      </c>
      <c r="P18" s="7">
        <v>1</v>
      </c>
      <c r="Q18" s="18"/>
      <c r="R18" s="18" t="s">
        <v>912</v>
      </c>
      <c r="S1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三国-困难-强英+铁兵</v>
      </c>
    </row>
    <row r="19" spans="2:19">
      <c r="B19" s="18" t="s">
        <v>1323</v>
      </c>
      <c r="C19" s="38" t="s">
        <v>1335</v>
      </c>
      <c r="D19" s="18">
        <v>5</v>
      </c>
      <c r="E19" s="18">
        <v>20</v>
      </c>
      <c r="F19" s="7" t="s">
        <v>151</v>
      </c>
      <c r="G19" s="18" t="s">
        <v>1126</v>
      </c>
      <c r="H19" s="18" t="b">
        <v>1</v>
      </c>
      <c r="I19" s="40" t="s">
        <v>1354</v>
      </c>
      <c r="J19" s="40" t="s">
        <v>1355</v>
      </c>
      <c r="K19" s="18"/>
      <c r="L19" s="18"/>
      <c r="M19" s="18"/>
      <c r="N19" s="18"/>
      <c r="O19" s="13">
        <f>GET_OK_GROUPS_COUNT(tbHeroEliteEnemy16[[#This Row],[Camp]],tbHeroEliteEnemy16[[#This Row],[Difficulty]],tbHeroEliteEnemy16[[#This Row],[IsBoss]],tbHeroEliteEnemy16[[#This Row],[Hero1]:[Soldier3]])</f>
        <v>1</v>
      </c>
      <c r="P19" s="7">
        <v>1</v>
      </c>
      <c r="Q19" s="18"/>
      <c r="R19" s="18" t="s">
        <v>322</v>
      </c>
      <c r="S1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三国-超难-[B]盾英+刺英</v>
      </c>
    </row>
    <row r="20" spans="2:19">
      <c r="B20" s="18" t="s">
        <v>1324</v>
      </c>
      <c r="C20" s="38" t="s">
        <v>1335</v>
      </c>
      <c r="D20" s="18">
        <v>1</v>
      </c>
      <c r="E20" s="18">
        <v>5</v>
      </c>
      <c r="F20" s="7" t="s">
        <v>151</v>
      </c>
      <c r="G20" s="16" t="s">
        <v>1339</v>
      </c>
      <c r="H20" s="7"/>
      <c r="I20" s="8"/>
      <c r="L20" s="40" t="s">
        <v>1381</v>
      </c>
      <c r="N20" s="18"/>
      <c r="O20" s="13">
        <f>GET_OK_GROUPS_COUNT(tbHeroEliteEnemy16[[#This Row],[Camp]],tbHeroEliteEnemy16[[#This Row],[Difficulty]],tbHeroEliteEnemy16[[#This Row],[IsBoss]],tbHeroEliteEnemy16[[#This Row],[Hero1]:[Soldier3]])</f>
        <v>3</v>
      </c>
      <c r="P20" s="7">
        <v>1</v>
      </c>
      <c r="Q20" s="18"/>
      <c r="R20" s="18" t="s">
        <v>912</v>
      </c>
      <c r="S2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三国-简单-法兵</v>
      </c>
    </row>
    <row r="21" spans="2:19">
      <c r="B21" s="18" t="s">
        <v>1324</v>
      </c>
      <c r="C21" s="38" t="s">
        <v>1335</v>
      </c>
      <c r="D21" s="18">
        <v>2</v>
      </c>
      <c r="E21" s="18">
        <v>10</v>
      </c>
      <c r="F21" s="7" t="s">
        <v>151</v>
      </c>
      <c r="G21" s="18" t="s">
        <v>1338</v>
      </c>
      <c r="H21" s="18"/>
      <c r="I21" s="18"/>
      <c r="J21" s="18"/>
      <c r="K21" s="18"/>
      <c r="L21" s="40" t="s">
        <v>1377</v>
      </c>
      <c r="M21" s="40"/>
      <c r="N21" s="18"/>
      <c r="O21" s="13">
        <f>GET_OK_GROUPS_COUNT(tbHeroEliteEnemy16[[#This Row],[Camp]],tbHeroEliteEnemy16[[#This Row],[Difficulty]],tbHeroEliteEnemy16[[#This Row],[IsBoss]],tbHeroEliteEnemy16[[#This Row],[Hero1]:[Soldier3]])</f>
        <v>5</v>
      </c>
      <c r="P21" s="7">
        <v>1</v>
      </c>
      <c r="Q21" s="18"/>
      <c r="R21" s="18" t="s">
        <v>912</v>
      </c>
      <c r="S2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</v>
      </c>
    </row>
    <row r="22" spans="2:19">
      <c r="B22" s="18" t="s">
        <v>1324</v>
      </c>
      <c r="C22" s="38" t="s">
        <v>1335</v>
      </c>
      <c r="D22" s="18">
        <v>3</v>
      </c>
      <c r="E22" s="18">
        <v>10</v>
      </c>
      <c r="F22" s="7" t="s">
        <v>151</v>
      </c>
      <c r="G22" s="18" t="s">
        <v>1338</v>
      </c>
      <c r="H22" s="18"/>
      <c r="I22" s="18"/>
      <c r="J22" s="18"/>
      <c r="K22" s="18"/>
      <c r="L22" s="40" t="s">
        <v>1377</v>
      </c>
      <c r="M22" s="18" t="s">
        <v>28</v>
      </c>
      <c r="N22" s="18"/>
      <c r="O22" s="13">
        <f>GET_OK_GROUPS_COUNT(tbHeroEliteEnemy16[[#This Row],[Camp]],tbHeroEliteEnemy16[[#This Row],[Difficulty]],tbHeroEliteEnemy16[[#This Row],[IsBoss]],tbHeroEliteEnemy16[[#This Row],[Hero1]:[Soldier3]])</f>
        <v>1</v>
      </c>
      <c r="P22" s="7">
        <v>1</v>
      </c>
      <c r="Q22" s="18"/>
      <c r="R22" s="18" t="s">
        <v>912</v>
      </c>
      <c r="S2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三国-普通-盾兵+法兵</v>
      </c>
    </row>
    <row r="23" spans="2:19">
      <c r="B23" s="18" t="s">
        <v>1324</v>
      </c>
      <c r="C23" s="38" t="s">
        <v>1335</v>
      </c>
      <c r="D23" s="18">
        <v>4</v>
      </c>
      <c r="E23" s="18">
        <v>15</v>
      </c>
      <c r="F23" s="7" t="s">
        <v>151</v>
      </c>
      <c r="G23" s="18" t="s">
        <v>1169</v>
      </c>
      <c r="H23" s="18"/>
      <c r="I23" s="40" t="s">
        <v>1376</v>
      </c>
      <c r="J23" s="18"/>
      <c r="K23" s="18"/>
      <c r="L23" s="40" t="s">
        <v>1377</v>
      </c>
      <c r="M23" s="18"/>
      <c r="N23" s="18"/>
      <c r="O23" s="13">
        <f>GET_OK_GROUPS_COUNT(tbHeroEliteEnemy16[[#This Row],[Camp]],tbHeroEliteEnemy16[[#This Row],[Difficulty]],tbHeroEliteEnemy16[[#This Row],[IsBoss]],tbHeroEliteEnemy16[[#This Row],[Hero1]:[Soldier3]])</f>
        <v>1</v>
      </c>
      <c r="P23" s="7">
        <v>1</v>
      </c>
      <c r="Q23" s="18"/>
      <c r="R23" s="18"/>
      <c r="S2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三国-困难-法英+盾兵</v>
      </c>
    </row>
    <row r="24" spans="2:19">
      <c r="B24" s="18" t="s">
        <v>1324</v>
      </c>
      <c r="C24" s="38" t="s">
        <v>1335</v>
      </c>
      <c r="D24" s="18">
        <v>5</v>
      </c>
      <c r="E24" s="18">
        <v>20</v>
      </c>
      <c r="F24" s="7" t="s">
        <v>151</v>
      </c>
      <c r="G24" s="18" t="s">
        <v>1126</v>
      </c>
      <c r="H24" s="18" t="b">
        <v>1</v>
      </c>
      <c r="I24" s="40" t="s">
        <v>1357</v>
      </c>
      <c r="J24" s="40" t="s">
        <v>1353</v>
      </c>
      <c r="K24" s="18"/>
      <c r="L24" s="18"/>
      <c r="M24" s="18"/>
      <c r="N24" s="18"/>
      <c r="O24" s="13">
        <f>GET_OK_GROUPS_COUNT(tbHeroEliteEnemy16[[#This Row],[Camp]],tbHeroEliteEnemy16[[#This Row],[Difficulty]],tbHeroEliteEnemy16[[#This Row],[IsBoss]],tbHeroEliteEnemy16[[#This Row],[Hero1]:[Soldier3]])</f>
        <v>1</v>
      </c>
      <c r="P24" s="7">
        <v>1</v>
      </c>
      <c r="Q24" s="18"/>
      <c r="R24" s="18" t="s">
        <v>1356</v>
      </c>
      <c r="S2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三国-超难-[B]铁英+法英</v>
      </c>
    </row>
    <row r="25" spans="2:19">
      <c r="B25" s="18" t="s">
        <v>1325</v>
      </c>
      <c r="C25" s="38" t="s">
        <v>1335</v>
      </c>
      <c r="D25" s="18">
        <v>1</v>
      </c>
      <c r="E25" s="18">
        <v>5</v>
      </c>
      <c r="F25" s="7" t="s">
        <v>151</v>
      </c>
      <c r="G25" s="16" t="s">
        <v>1339</v>
      </c>
      <c r="H25" s="7"/>
      <c r="I25" s="8"/>
      <c r="L25" s="40" t="s">
        <v>1379</v>
      </c>
      <c r="N25" s="18"/>
      <c r="O25" s="13">
        <f>GET_OK_GROUPS_COUNT(tbHeroEliteEnemy16[[#This Row],[Camp]],tbHeroEliteEnemy16[[#This Row],[Difficulty]],tbHeroEliteEnemy16[[#This Row],[IsBoss]],tbHeroEliteEnemy16[[#This Row],[Hero1]:[Soldier3]])</f>
        <v>3</v>
      </c>
      <c r="P25" s="7">
        <v>1</v>
      </c>
      <c r="Q25" s="18"/>
      <c r="R25" s="18" t="s">
        <v>912</v>
      </c>
      <c r="S2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三国-简单-炼兵</v>
      </c>
    </row>
    <row r="26" spans="2:19">
      <c r="B26" s="18" t="s">
        <v>1325</v>
      </c>
      <c r="C26" s="38" t="s">
        <v>1335</v>
      </c>
      <c r="D26" s="18">
        <v>2</v>
      </c>
      <c r="E26" s="18">
        <v>10</v>
      </c>
      <c r="F26" s="7" t="s">
        <v>151</v>
      </c>
      <c r="G26" s="18" t="s">
        <v>1338</v>
      </c>
      <c r="H26" s="18"/>
      <c r="I26" s="18"/>
      <c r="J26" s="18"/>
      <c r="K26" s="18"/>
      <c r="L26" s="18" t="s">
        <v>25</v>
      </c>
      <c r="M26" s="40"/>
      <c r="N26" s="18"/>
      <c r="O26" s="13">
        <f>GET_OK_GROUPS_COUNT(tbHeroEliteEnemy16[[#This Row],[Camp]],tbHeroEliteEnemy16[[#This Row],[Difficulty]],tbHeroEliteEnemy16[[#This Row],[IsBoss]],tbHeroEliteEnemy16[[#This Row],[Hero1]:[Soldier3]])</f>
        <v>5</v>
      </c>
      <c r="P26" s="7">
        <v>1</v>
      </c>
      <c r="Q26" s="18"/>
      <c r="R26" s="18" t="s">
        <v>912</v>
      </c>
      <c r="S2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</v>
      </c>
    </row>
    <row r="27" spans="2:19">
      <c r="B27" s="18" t="s">
        <v>1325</v>
      </c>
      <c r="C27" s="38" t="s">
        <v>1335</v>
      </c>
      <c r="D27" s="18">
        <v>3</v>
      </c>
      <c r="E27" s="18">
        <v>10</v>
      </c>
      <c r="F27" s="7" t="s">
        <v>151</v>
      </c>
      <c r="G27" s="18" t="s">
        <v>1338</v>
      </c>
      <c r="H27" s="18"/>
      <c r="I27" s="18"/>
      <c r="J27" s="18"/>
      <c r="K27" s="18"/>
      <c r="L27" s="18" t="s">
        <v>25</v>
      </c>
      <c r="M27" s="40" t="s">
        <v>1379</v>
      </c>
      <c r="N27" s="18"/>
      <c r="O27" s="13">
        <f>GET_OK_GROUPS_COUNT(tbHeroEliteEnemy16[[#This Row],[Camp]],tbHeroEliteEnemy16[[#This Row],[Difficulty]],tbHeroEliteEnemy16[[#This Row],[IsBoss]],tbHeroEliteEnemy16[[#This Row],[Hero1]:[Soldier3]])</f>
        <v>1</v>
      </c>
      <c r="P27" s="7">
        <v>1</v>
      </c>
      <c r="Q27" s="18"/>
      <c r="R27" s="18" t="s">
        <v>912</v>
      </c>
      <c r="S2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三国-普通-铁兵+炼兵</v>
      </c>
    </row>
    <row r="28" spans="2:19">
      <c r="B28" s="18" t="s">
        <v>1325</v>
      </c>
      <c r="C28" s="38" t="s">
        <v>1335</v>
      </c>
      <c r="D28" s="18">
        <v>4</v>
      </c>
      <c r="E28" s="18">
        <v>15</v>
      </c>
      <c r="F28" s="7" t="s">
        <v>151</v>
      </c>
      <c r="G28" s="18" t="s">
        <v>1169</v>
      </c>
      <c r="H28" s="18"/>
      <c r="I28" s="40" t="s">
        <v>1359</v>
      </c>
      <c r="J28" s="18"/>
      <c r="K28" s="18"/>
      <c r="L28" s="18" t="s">
        <v>25</v>
      </c>
      <c r="M28" s="18"/>
      <c r="N28" s="18"/>
      <c r="O28" s="13">
        <f>GET_OK_GROUPS_COUNT(tbHeroEliteEnemy16[[#This Row],[Camp]],tbHeroEliteEnemy16[[#This Row],[Difficulty]],tbHeroEliteEnemy16[[#This Row],[IsBoss]],tbHeroEliteEnemy16[[#This Row],[Hero1]:[Soldier3]])</f>
        <v>1</v>
      </c>
      <c r="P28" s="7">
        <v>1</v>
      </c>
      <c r="Q28" s="18"/>
      <c r="R28" s="18" t="s">
        <v>912</v>
      </c>
      <c r="S2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三国-困难-炼英+铁兵</v>
      </c>
    </row>
    <row r="29" spans="2:19">
      <c r="B29" s="18" t="s">
        <v>1325</v>
      </c>
      <c r="C29" s="38" t="s">
        <v>1335</v>
      </c>
      <c r="D29" s="18">
        <v>5</v>
      </c>
      <c r="E29" s="18">
        <v>20</v>
      </c>
      <c r="F29" s="7" t="s">
        <v>151</v>
      </c>
      <c r="G29" s="18" t="s">
        <v>1126</v>
      </c>
      <c r="H29" s="18" t="b">
        <v>1</v>
      </c>
      <c r="I29" s="40" t="s">
        <v>1358</v>
      </c>
      <c r="J29" s="40" t="s">
        <v>1359</v>
      </c>
      <c r="K29" s="18"/>
      <c r="L29" s="18"/>
      <c r="M29" s="18"/>
      <c r="N29" s="18"/>
      <c r="O29" s="13">
        <f>GET_OK_GROUPS_COUNT(tbHeroEliteEnemy16[[#This Row],[Camp]],tbHeroEliteEnemy16[[#This Row],[Difficulty]],tbHeroEliteEnemy16[[#This Row],[IsBoss]],tbHeroEliteEnemy16[[#This Row],[Hero1]:[Soldier3]])</f>
        <v>1</v>
      </c>
      <c r="P29" s="7">
        <v>1</v>
      </c>
      <c r="Q29" s="18"/>
      <c r="R29" s="18" t="s">
        <v>413</v>
      </c>
      <c r="S2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三国-超难-[B]盾英+炼英</v>
      </c>
    </row>
    <row r="30" spans="2:19">
      <c r="B30" s="18" t="s">
        <v>1326</v>
      </c>
      <c r="C30" s="38" t="s">
        <v>1335</v>
      </c>
      <c r="D30" s="18">
        <v>1</v>
      </c>
      <c r="E30" s="18">
        <v>5</v>
      </c>
      <c r="F30" s="7" t="s">
        <v>151</v>
      </c>
      <c r="G30" s="16" t="s">
        <v>1339</v>
      </c>
      <c r="H30" s="7"/>
      <c r="I30" s="8"/>
      <c r="L30" s="7" t="s">
        <v>25</v>
      </c>
      <c r="M30" s="7" t="s">
        <v>28</v>
      </c>
      <c r="N30" s="18"/>
      <c r="O30" s="13">
        <f>GET_OK_GROUPS_COUNT(tbHeroEliteEnemy16[[#This Row],[Camp]],tbHeroEliteEnemy16[[#This Row],[Difficulty]],tbHeroEliteEnemy16[[#This Row],[IsBoss]],tbHeroEliteEnemy16[[#This Row],[Hero1]:[Soldier3]])</f>
        <v>1</v>
      </c>
      <c r="P30" s="7">
        <v>1</v>
      </c>
      <c r="Q30" s="18"/>
      <c r="R30" s="18" t="s">
        <v>912</v>
      </c>
      <c r="S3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三国-简单-铁兵+法兵</v>
      </c>
    </row>
    <row r="31" spans="2:19">
      <c r="B31" s="18" t="s">
        <v>1326</v>
      </c>
      <c r="C31" s="38" t="s">
        <v>1335</v>
      </c>
      <c r="D31" s="18">
        <v>2</v>
      </c>
      <c r="E31" s="18">
        <v>10</v>
      </c>
      <c r="F31" s="7" t="s">
        <v>151</v>
      </c>
      <c r="G31" s="18" t="s">
        <v>1338</v>
      </c>
      <c r="H31" s="18"/>
      <c r="I31" s="18"/>
      <c r="J31" s="18"/>
      <c r="K31" s="18"/>
      <c r="L31" s="18" t="s">
        <v>25</v>
      </c>
      <c r="M31" s="18" t="s">
        <v>26</v>
      </c>
      <c r="N31" s="18"/>
      <c r="O31" s="13">
        <f>GET_OK_GROUPS_COUNT(tbHeroEliteEnemy16[[#This Row],[Camp]],tbHeroEliteEnemy16[[#This Row],[Difficulty]],tbHeroEliteEnemy16[[#This Row],[IsBoss]],tbHeroEliteEnemy16[[#This Row],[Hero1]:[Soldier3]])</f>
        <v>1</v>
      </c>
      <c r="P31" s="7">
        <v>1</v>
      </c>
      <c r="Q31" s="18"/>
      <c r="R31" s="18" t="s">
        <v>912</v>
      </c>
      <c r="S3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32" spans="2:19">
      <c r="B32" s="18" t="s">
        <v>1326</v>
      </c>
      <c r="C32" s="38" t="s">
        <v>1335</v>
      </c>
      <c r="D32" s="18">
        <v>3</v>
      </c>
      <c r="E32" s="18">
        <v>10</v>
      </c>
      <c r="F32" s="7" t="s">
        <v>151</v>
      </c>
      <c r="G32" s="18" t="s">
        <v>1338</v>
      </c>
      <c r="H32" s="18"/>
      <c r="I32" s="18"/>
      <c r="J32" s="18"/>
      <c r="K32" s="18"/>
      <c r="L32" s="18" t="s">
        <v>25</v>
      </c>
      <c r="M32" s="18" t="s">
        <v>28</v>
      </c>
      <c r="N32" s="18"/>
      <c r="O32" s="13">
        <f>GET_OK_GROUPS_COUNT(tbHeroEliteEnemy16[[#This Row],[Camp]],tbHeroEliteEnemy16[[#This Row],[Difficulty]],tbHeroEliteEnemy16[[#This Row],[IsBoss]],tbHeroEliteEnemy16[[#This Row],[Hero1]:[Soldier3]])</f>
        <v>1</v>
      </c>
      <c r="P32" s="7">
        <v>1</v>
      </c>
      <c r="Q32" s="18"/>
      <c r="R32" s="18" t="s">
        <v>912</v>
      </c>
      <c r="S3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33" spans="2:19">
      <c r="B33" s="18" t="s">
        <v>1326</v>
      </c>
      <c r="C33" s="38" t="s">
        <v>1335</v>
      </c>
      <c r="D33" s="18">
        <v>4</v>
      </c>
      <c r="E33" s="18">
        <v>15</v>
      </c>
      <c r="F33" s="7" t="s">
        <v>151</v>
      </c>
      <c r="G33" s="18" t="s">
        <v>1169</v>
      </c>
      <c r="H33" s="18"/>
      <c r="I33" s="40" t="s">
        <v>1378</v>
      </c>
      <c r="J33" s="18"/>
      <c r="K33" s="18"/>
      <c r="L33" s="18" t="s">
        <v>25</v>
      </c>
      <c r="M33" s="18"/>
      <c r="N33" s="18"/>
      <c r="O33" s="13">
        <f>GET_OK_GROUPS_COUNT(tbHeroEliteEnemy16[[#This Row],[Camp]],tbHeroEliteEnemy16[[#This Row],[Difficulty]],tbHeroEliteEnemy16[[#This Row],[IsBoss]],tbHeroEliteEnemy16[[#This Row],[Hero1]:[Soldier3]])</f>
        <v>1</v>
      </c>
      <c r="P33" s="7">
        <v>1</v>
      </c>
      <c r="Q33" s="18"/>
      <c r="R33" s="18" t="s">
        <v>912</v>
      </c>
      <c r="S3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三国-困难-刺英+铁兵</v>
      </c>
    </row>
    <row r="34" spans="2:19">
      <c r="B34" s="18" t="s">
        <v>1326</v>
      </c>
      <c r="C34" s="38" t="s">
        <v>1335</v>
      </c>
      <c r="D34" s="18">
        <v>5</v>
      </c>
      <c r="E34" s="18">
        <v>20</v>
      </c>
      <c r="F34" s="7" t="s">
        <v>151</v>
      </c>
      <c r="G34" s="18" t="s">
        <v>1126</v>
      </c>
      <c r="H34" s="18" t="b">
        <v>1</v>
      </c>
      <c r="I34" s="40" t="s">
        <v>1360</v>
      </c>
      <c r="J34" s="18" t="s">
        <v>381</v>
      </c>
      <c r="K34" s="18"/>
      <c r="L34" s="18"/>
      <c r="M34" s="18"/>
      <c r="N34" s="18"/>
      <c r="O34" s="13">
        <f>GET_OK_GROUPS_COUNT(tbHeroEliteEnemy16[[#This Row],[Camp]],tbHeroEliteEnemy16[[#This Row],[Difficulty]],tbHeroEliteEnemy16[[#This Row],[IsBoss]],tbHeroEliteEnemy16[[#This Row],[Hero1]:[Soldier3]])</f>
        <v>1</v>
      </c>
      <c r="P34" s="7">
        <v>1</v>
      </c>
      <c r="Q34" s="18"/>
      <c r="R34" s="18" t="s">
        <v>358</v>
      </c>
      <c r="S3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三国-超难-[B]强英+炼英</v>
      </c>
    </row>
    <row r="35" spans="2:19">
      <c r="B35" s="18" t="s">
        <v>1327</v>
      </c>
      <c r="C35" s="38" t="s">
        <v>1335</v>
      </c>
      <c r="D35" s="18">
        <v>1</v>
      </c>
      <c r="E35" s="18">
        <v>5</v>
      </c>
      <c r="F35" s="7" t="s">
        <v>151</v>
      </c>
      <c r="G35" s="16" t="s">
        <v>1339</v>
      </c>
      <c r="H35" s="7"/>
      <c r="I35" s="8"/>
      <c r="L35" s="7" t="s">
        <v>25</v>
      </c>
      <c r="N35" s="18"/>
      <c r="O35" s="13">
        <f>GET_OK_GROUPS_COUNT(tbHeroEliteEnemy16[[#This Row],[Camp]],tbHeroEliteEnemy16[[#This Row],[Difficulty]],tbHeroEliteEnemy16[[#This Row],[IsBoss]],tbHeroEliteEnemy16[[#This Row],[Hero1]:[Soldier3]])</f>
        <v>4</v>
      </c>
      <c r="P35" s="7">
        <v>1</v>
      </c>
      <c r="Q35" s="18"/>
      <c r="R35" s="18" t="s">
        <v>912</v>
      </c>
      <c r="S3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</v>
      </c>
    </row>
    <row r="36" spans="2:19">
      <c r="B36" s="18" t="s">
        <v>1327</v>
      </c>
      <c r="C36" s="38" t="s">
        <v>1335</v>
      </c>
      <c r="D36" s="18">
        <v>2</v>
      </c>
      <c r="E36" s="18">
        <v>10</v>
      </c>
      <c r="F36" s="7" t="s">
        <v>151</v>
      </c>
      <c r="G36" s="18" t="s">
        <v>1338</v>
      </c>
      <c r="H36" s="18"/>
      <c r="I36" s="18"/>
      <c r="J36" s="18"/>
      <c r="K36" s="18"/>
      <c r="L36" s="40" t="s">
        <v>1374</v>
      </c>
      <c r="M36" s="18"/>
      <c r="N36" s="18"/>
      <c r="O36" s="13">
        <f>GET_OK_GROUPS_COUNT(tbHeroEliteEnemy16[[#This Row],[Camp]],tbHeroEliteEnemy16[[#This Row],[Difficulty]],tbHeroEliteEnemy16[[#This Row],[IsBoss]],tbHeroEliteEnemy16[[#This Row],[Hero1]:[Soldier3]])</f>
        <v>3</v>
      </c>
      <c r="P36" s="7">
        <v>1</v>
      </c>
      <c r="Q36" s="18"/>
      <c r="R36" s="18" t="s">
        <v>912</v>
      </c>
      <c r="S3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三国-普通-强兵</v>
      </c>
    </row>
    <row r="37" spans="2:19">
      <c r="B37" s="18" t="s">
        <v>1327</v>
      </c>
      <c r="C37" s="38" t="s">
        <v>1335</v>
      </c>
      <c r="D37" s="18">
        <v>3</v>
      </c>
      <c r="E37" s="18">
        <v>10</v>
      </c>
      <c r="F37" s="7" t="s">
        <v>151</v>
      </c>
      <c r="G37" s="18" t="s">
        <v>1338</v>
      </c>
      <c r="H37" s="18"/>
      <c r="I37" s="18"/>
      <c r="J37" s="18"/>
      <c r="K37" s="18"/>
      <c r="L37" s="18" t="s">
        <v>25</v>
      </c>
      <c r="M37" s="40" t="s">
        <v>1374</v>
      </c>
      <c r="N37" s="18"/>
      <c r="O37" s="13">
        <f>GET_OK_GROUPS_COUNT(tbHeroEliteEnemy16[[#This Row],[Camp]],tbHeroEliteEnemy16[[#This Row],[Difficulty]],tbHeroEliteEnemy16[[#This Row],[IsBoss]],tbHeroEliteEnemy16[[#This Row],[Hero1]:[Soldier3]])</f>
        <v>1</v>
      </c>
      <c r="P37" s="7">
        <v>1</v>
      </c>
      <c r="Q37" s="18"/>
      <c r="R37" s="18" t="s">
        <v>912</v>
      </c>
      <c r="S3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38" spans="2:19">
      <c r="B38" s="18" t="s">
        <v>1327</v>
      </c>
      <c r="C38" s="38" t="s">
        <v>1335</v>
      </c>
      <c r="D38" s="18">
        <v>4</v>
      </c>
      <c r="E38" s="18">
        <v>15</v>
      </c>
      <c r="F38" s="7" t="s">
        <v>151</v>
      </c>
      <c r="G38" s="18" t="s">
        <v>1169</v>
      </c>
      <c r="H38" s="18"/>
      <c r="I38" s="40" t="s">
        <v>1355</v>
      </c>
      <c r="J38" s="18"/>
      <c r="K38" s="18"/>
      <c r="L38" s="40" t="s">
        <v>1374</v>
      </c>
      <c r="M38" s="18"/>
      <c r="N38" s="18"/>
      <c r="O38" s="13">
        <f>GET_OK_GROUPS_COUNT(tbHeroEliteEnemy16[[#This Row],[Camp]],tbHeroEliteEnemy16[[#This Row],[Difficulty]],tbHeroEliteEnemy16[[#This Row],[IsBoss]],tbHeroEliteEnemy16[[#This Row],[Hero1]:[Soldier3]])</f>
        <v>1</v>
      </c>
      <c r="P38" s="7">
        <v>1</v>
      </c>
      <c r="Q38" s="18"/>
      <c r="R38" s="18" t="s">
        <v>912</v>
      </c>
      <c r="S3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三国-困难-盾英+强兵</v>
      </c>
    </row>
    <row r="39" spans="2:19">
      <c r="B39" s="18" t="s">
        <v>1327</v>
      </c>
      <c r="C39" s="38" t="s">
        <v>1335</v>
      </c>
      <c r="D39" s="18">
        <v>5</v>
      </c>
      <c r="E39" s="18">
        <v>20</v>
      </c>
      <c r="F39" s="7" t="s">
        <v>151</v>
      </c>
      <c r="G39" s="18" t="s">
        <v>1126</v>
      </c>
      <c r="H39" s="18" t="b">
        <v>1</v>
      </c>
      <c r="I39" s="40" t="s">
        <v>1361</v>
      </c>
      <c r="J39" s="18" t="s">
        <v>381</v>
      </c>
      <c r="K39" s="18"/>
      <c r="L39" s="18"/>
      <c r="M39" s="18"/>
      <c r="N39" s="18"/>
      <c r="O39" s="13">
        <f>GET_OK_GROUPS_COUNT(tbHeroEliteEnemy16[[#This Row],[Camp]],tbHeroEliteEnemy16[[#This Row],[Difficulty]],tbHeroEliteEnemy16[[#This Row],[IsBoss]],tbHeroEliteEnemy16[[#This Row],[Hero1]:[Soldier3]])</f>
        <v>1</v>
      </c>
      <c r="P39" s="7">
        <v>1</v>
      </c>
      <c r="Q39" s="18"/>
      <c r="R39" s="18" t="s">
        <v>389</v>
      </c>
      <c r="S3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三国-超难-[B]盾英+强英</v>
      </c>
    </row>
    <row r="40" spans="2:19">
      <c r="B40" s="18" t="s">
        <v>1328</v>
      </c>
      <c r="C40" s="38" t="s">
        <v>1335</v>
      </c>
      <c r="D40" s="18">
        <v>1</v>
      </c>
      <c r="E40" s="18">
        <v>5</v>
      </c>
      <c r="F40" s="7" t="s">
        <v>151</v>
      </c>
      <c r="G40" s="16" t="s">
        <v>1339</v>
      </c>
      <c r="H40" s="7"/>
      <c r="I40" s="8"/>
      <c r="L40" s="40" t="s">
        <v>1377</v>
      </c>
      <c r="N40" s="18"/>
      <c r="O40" s="13">
        <f>GET_OK_GROUPS_COUNT(tbHeroEliteEnemy16[[#This Row],[Camp]],tbHeroEliteEnemy16[[#This Row],[Difficulty]],tbHeroEliteEnemy16[[#This Row],[IsBoss]],tbHeroEliteEnemy16[[#This Row],[Hero1]:[Soldier3]])</f>
        <v>4</v>
      </c>
      <c r="P40" s="7">
        <v>1</v>
      </c>
      <c r="Q40" s="18"/>
      <c r="R40" s="18" t="s">
        <v>912</v>
      </c>
      <c r="S4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三国-简单-盾兵</v>
      </c>
    </row>
    <row r="41" spans="2:19">
      <c r="B41" s="18" t="s">
        <v>1328</v>
      </c>
      <c r="C41" s="38" t="s">
        <v>1335</v>
      </c>
      <c r="D41" s="18">
        <v>2</v>
      </c>
      <c r="E41" s="18">
        <v>10</v>
      </c>
      <c r="F41" s="7" t="s">
        <v>151</v>
      </c>
      <c r="G41" s="18" t="s">
        <v>1338</v>
      </c>
      <c r="H41" s="18"/>
      <c r="I41" s="18"/>
      <c r="J41" s="18"/>
      <c r="K41" s="18"/>
      <c r="L41" s="40" t="s">
        <v>1374</v>
      </c>
      <c r="M41" s="18"/>
      <c r="N41" s="18"/>
      <c r="O41" s="13">
        <f>GET_OK_GROUPS_COUNT(tbHeroEliteEnemy16[[#This Row],[Camp]],tbHeroEliteEnemy16[[#This Row],[Difficulty]],tbHeroEliteEnemy16[[#This Row],[IsBoss]],tbHeroEliteEnemy16[[#This Row],[Hero1]:[Soldier3]])</f>
        <v>3</v>
      </c>
      <c r="P41" s="7">
        <v>1</v>
      </c>
      <c r="Q41" s="18"/>
      <c r="R41" s="18" t="s">
        <v>912</v>
      </c>
      <c r="S4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三国-普通-强兵</v>
      </c>
    </row>
    <row r="42" spans="2:19">
      <c r="B42" s="18" t="s">
        <v>1328</v>
      </c>
      <c r="C42" s="38" t="s">
        <v>1335</v>
      </c>
      <c r="D42" s="18">
        <v>3</v>
      </c>
      <c r="E42" s="18">
        <v>10</v>
      </c>
      <c r="F42" s="7" t="s">
        <v>151</v>
      </c>
      <c r="G42" s="18" t="s">
        <v>1338</v>
      </c>
      <c r="H42" s="18"/>
      <c r="I42" s="18"/>
      <c r="J42" s="18"/>
      <c r="K42" s="18"/>
      <c r="L42" s="40" t="s">
        <v>1377</v>
      </c>
      <c r="M42" s="40" t="s">
        <v>1374</v>
      </c>
      <c r="N42" s="18"/>
      <c r="O42" s="13">
        <f>GET_OK_GROUPS_COUNT(tbHeroEliteEnemy16[[#This Row],[Camp]],tbHeroEliteEnemy16[[#This Row],[Difficulty]],tbHeroEliteEnemy16[[#This Row],[IsBoss]],tbHeroEliteEnemy16[[#This Row],[Hero1]:[Soldier3]])</f>
        <v>1</v>
      </c>
      <c r="P42" s="7">
        <v>1</v>
      </c>
      <c r="Q42" s="18"/>
      <c r="R42" s="18" t="s">
        <v>912</v>
      </c>
      <c r="S4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三国-普通-盾兵+强兵</v>
      </c>
    </row>
    <row r="43" spans="2:19">
      <c r="B43" s="18" t="s">
        <v>1328</v>
      </c>
      <c r="C43" s="38" t="s">
        <v>1335</v>
      </c>
      <c r="D43" s="18">
        <v>4</v>
      </c>
      <c r="E43" s="18">
        <v>15</v>
      </c>
      <c r="F43" s="7" t="s">
        <v>151</v>
      </c>
      <c r="G43" s="18" t="s">
        <v>1169</v>
      </c>
      <c r="H43" s="18"/>
      <c r="I43" s="40" t="s">
        <v>1375</v>
      </c>
      <c r="J43" s="18"/>
      <c r="K43" s="18"/>
      <c r="L43" s="40" t="s">
        <v>1377</v>
      </c>
      <c r="M43" s="18"/>
      <c r="N43" s="18"/>
      <c r="O43" s="13">
        <f>GET_OK_GROUPS_COUNT(tbHeroEliteEnemy16[[#This Row],[Camp]],tbHeroEliteEnemy16[[#This Row],[Difficulty]],tbHeroEliteEnemy16[[#This Row],[IsBoss]],tbHeroEliteEnemy16[[#This Row],[Hero1]:[Soldier3]])</f>
        <v>1</v>
      </c>
      <c r="P43" s="7">
        <v>1</v>
      </c>
      <c r="Q43" s="18"/>
      <c r="R43" s="18" t="s">
        <v>912</v>
      </c>
      <c r="S4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三国-困难-强英+盾兵</v>
      </c>
    </row>
    <row r="44" spans="2:19">
      <c r="B44" s="18" t="s">
        <v>1328</v>
      </c>
      <c r="C44" s="38" t="s">
        <v>1335</v>
      </c>
      <c r="D44" s="18">
        <v>5</v>
      </c>
      <c r="E44" s="18">
        <v>20</v>
      </c>
      <c r="F44" s="7" t="s">
        <v>151</v>
      </c>
      <c r="G44" s="18" t="s">
        <v>1126</v>
      </c>
      <c r="H44" s="18" t="b">
        <v>1</v>
      </c>
      <c r="I44" s="18" t="s">
        <v>1362</v>
      </c>
      <c r="J44" s="18" t="s">
        <v>381</v>
      </c>
      <c r="K44" s="18"/>
      <c r="L44" s="18"/>
      <c r="M44" s="18"/>
      <c r="N44" s="18"/>
      <c r="O44" s="13">
        <f>GET_OK_GROUPS_COUNT(tbHeroEliteEnemy16[[#This Row],[Camp]],tbHeroEliteEnemy16[[#This Row],[Difficulty]],tbHeroEliteEnemy16[[#This Row],[IsBoss]],tbHeroEliteEnemy16[[#This Row],[Hero1]:[Soldier3]])</f>
        <v>1</v>
      </c>
      <c r="P44" s="7">
        <v>1</v>
      </c>
      <c r="Q44" s="18"/>
      <c r="R44" s="18" t="s">
        <v>1362</v>
      </c>
      <c r="S4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三国-超难-[B]盾英+强英</v>
      </c>
    </row>
    <row r="45" spans="2:19">
      <c r="B45" s="18" t="s">
        <v>1329</v>
      </c>
      <c r="C45" s="38" t="s">
        <v>1335</v>
      </c>
      <c r="D45" s="18">
        <v>1</v>
      </c>
      <c r="E45" s="18">
        <v>5</v>
      </c>
      <c r="F45" s="7" t="s">
        <v>151</v>
      </c>
      <c r="G45" s="16" t="s">
        <v>1339</v>
      </c>
      <c r="H45" s="7"/>
      <c r="I45" s="8"/>
      <c r="L45" s="7" t="s">
        <v>25</v>
      </c>
      <c r="N45" s="18"/>
      <c r="O45" s="13">
        <f>GET_OK_GROUPS_COUNT(tbHeroEliteEnemy16[[#This Row],[Camp]],tbHeroEliteEnemy16[[#This Row],[Difficulty]],tbHeroEliteEnemy16[[#This Row],[IsBoss]],tbHeroEliteEnemy16[[#This Row],[Hero1]:[Soldier3]])</f>
        <v>4</v>
      </c>
      <c r="P45" s="7">
        <v>1</v>
      </c>
      <c r="Q45" s="18"/>
      <c r="R45" s="18" t="s">
        <v>912</v>
      </c>
      <c r="S4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</v>
      </c>
    </row>
    <row r="46" spans="2:19">
      <c r="B46" s="18" t="s">
        <v>1329</v>
      </c>
      <c r="C46" s="38" t="s">
        <v>1335</v>
      </c>
      <c r="D46" s="18">
        <v>2</v>
      </c>
      <c r="E46" s="18">
        <v>10</v>
      </c>
      <c r="F46" s="7" t="s">
        <v>151</v>
      </c>
      <c r="G46" s="18" t="s">
        <v>1338</v>
      </c>
      <c r="H46" s="18"/>
      <c r="I46" s="18"/>
      <c r="J46" s="18"/>
      <c r="K46" s="18"/>
      <c r="L46" s="40" t="s">
        <v>1381</v>
      </c>
      <c r="M46" s="18"/>
      <c r="N46" s="18"/>
      <c r="O46" s="13">
        <f>GET_OK_GROUPS_COUNT(tbHeroEliteEnemy16[[#This Row],[Camp]],tbHeroEliteEnemy16[[#This Row],[Difficulty]],tbHeroEliteEnemy16[[#This Row],[IsBoss]],tbHeroEliteEnemy16[[#This Row],[Hero1]:[Soldier3]])</f>
        <v>3</v>
      </c>
      <c r="P46" s="7">
        <v>1</v>
      </c>
      <c r="Q46" s="18"/>
      <c r="R46" s="18" t="s">
        <v>912</v>
      </c>
      <c r="S4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三国-普通-法兵</v>
      </c>
    </row>
    <row r="47" spans="2:19">
      <c r="B47" s="18" t="s">
        <v>1329</v>
      </c>
      <c r="C47" s="38" t="s">
        <v>1335</v>
      </c>
      <c r="D47" s="18">
        <v>3</v>
      </c>
      <c r="E47" s="18">
        <v>10</v>
      </c>
      <c r="F47" s="7" t="s">
        <v>151</v>
      </c>
      <c r="G47" s="18" t="s">
        <v>1338</v>
      </c>
      <c r="H47" s="18"/>
      <c r="I47" s="18"/>
      <c r="J47" s="18"/>
      <c r="K47" s="18"/>
      <c r="L47" s="18" t="s">
        <v>25</v>
      </c>
      <c r="M47" s="18" t="s">
        <v>28</v>
      </c>
      <c r="N47" s="18"/>
      <c r="O47" s="13">
        <f>GET_OK_GROUPS_COUNT(tbHeroEliteEnemy16[[#This Row],[Camp]],tbHeroEliteEnemy16[[#This Row],[Difficulty]],tbHeroEliteEnemy16[[#This Row],[IsBoss]],tbHeroEliteEnemy16[[#This Row],[Hero1]:[Soldier3]])</f>
        <v>1</v>
      </c>
      <c r="P47" s="7">
        <v>1</v>
      </c>
      <c r="Q47" s="18"/>
      <c r="R47" s="18" t="s">
        <v>912</v>
      </c>
      <c r="S4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48" spans="2:19">
      <c r="B48" s="18" t="s">
        <v>1329</v>
      </c>
      <c r="C48" s="38" t="s">
        <v>1335</v>
      </c>
      <c r="D48" s="18">
        <v>4</v>
      </c>
      <c r="E48" s="18">
        <v>15</v>
      </c>
      <c r="F48" s="7" t="s">
        <v>151</v>
      </c>
      <c r="G48" s="18" t="s">
        <v>1169</v>
      </c>
      <c r="H48" s="18"/>
      <c r="I48" s="40" t="s">
        <v>1353</v>
      </c>
      <c r="J48" s="18"/>
      <c r="K48" s="18"/>
      <c r="L48" s="40" t="s">
        <v>1381</v>
      </c>
      <c r="M48" s="18"/>
      <c r="N48" s="18"/>
      <c r="O48" s="13">
        <f>GET_OK_GROUPS_COUNT(tbHeroEliteEnemy16[[#This Row],[Camp]],tbHeroEliteEnemy16[[#This Row],[Difficulty]],tbHeroEliteEnemy16[[#This Row],[IsBoss]],tbHeroEliteEnemy16[[#This Row],[Hero1]:[Soldier3]])</f>
        <v>1</v>
      </c>
      <c r="P48" s="7">
        <v>1</v>
      </c>
      <c r="Q48" s="18"/>
      <c r="R48" s="18" t="s">
        <v>912</v>
      </c>
      <c r="S4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三国-困难-铁英+法兵</v>
      </c>
    </row>
    <row r="49" spans="2:19">
      <c r="B49" s="18" t="s">
        <v>1329</v>
      </c>
      <c r="C49" s="38" t="s">
        <v>1335</v>
      </c>
      <c r="D49" s="18">
        <v>5</v>
      </c>
      <c r="E49" s="18">
        <v>20</v>
      </c>
      <c r="F49" s="7" t="s">
        <v>151</v>
      </c>
      <c r="G49" s="18" t="s">
        <v>1126</v>
      </c>
      <c r="H49" s="18" t="b">
        <v>1</v>
      </c>
      <c r="I49" s="40" t="s">
        <v>1363</v>
      </c>
      <c r="J49" s="40" t="s">
        <v>1364</v>
      </c>
      <c r="K49" s="18"/>
      <c r="L49" s="18"/>
      <c r="M49" s="18"/>
      <c r="N49" s="18"/>
      <c r="O49" s="13">
        <f>GET_OK_GROUPS_COUNT(tbHeroEliteEnemy16[[#This Row],[Camp]],tbHeroEliteEnemy16[[#This Row],[Difficulty]],tbHeroEliteEnemy16[[#This Row],[IsBoss]],tbHeroEliteEnemy16[[#This Row],[Hero1]:[Soldier3]])</f>
        <v>1</v>
      </c>
      <c r="P49" s="7">
        <v>1</v>
      </c>
      <c r="Q49" s="18"/>
      <c r="R49" s="40" t="s">
        <v>1363</v>
      </c>
      <c r="S4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三国-超难-[B]盾英+强英</v>
      </c>
    </row>
    <row r="50" spans="2:19">
      <c r="B50" s="31" t="s">
        <v>1330</v>
      </c>
      <c r="C50" s="38" t="s">
        <v>1335</v>
      </c>
      <c r="D50" s="18">
        <v>1</v>
      </c>
      <c r="E50" s="18">
        <v>5</v>
      </c>
      <c r="F50" s="7" t="s">
        <v>151</v>
      </c>
      <c r="G50" s="16" t="s">
        <v>1339</v>
      </c>
      <c r="H50" s="7"/>
      <c r="I50" s="8"/>
      <c r="L50" s="40" t="s">
        <v>1377</v>
      </c>
      <c r="N50" s="18"/>
      <c r="O50" s="13">
        <f>GET_OK_GROUPS_COUNT(tbHeroEliteEnemy16[[#This Row],[Camp]],tbHeroEliteEnemy16[[#This Row],[Difficulty]],tbHeroEliteEnemy16[[#This Row],[IsBoss]],tbHeroEliteEnemy16[[#This Row],[Hero1]:[Soldier3]])</f>
        <v>4</v>
      </c>
      <c r="P50" s="7">
        <v>1</v>
      </c>
      <c r="Q50" s="18"/>
      <c r="R50" s="18" t="s">
        <v>912</v>
      </c>
      <c r="S5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三国-简单-盾兵</v>
      </c>
    </row>
    <row r="51" spans="2:19">
      <c r="B51" s="31" t="s">
        <v>1330</v>
      </c>
      <c r="C51" s="38" t="s">
        <v>1335</v>
      </c>
      <c r="D51" s="18">
        <v>2</v>
      </c>
      <c r="E51" s="18">
        <v>10</v>
      </c>
      <c r="F51" s="7" t="s">
        <v>151</v>
      </c>
      <c r="G51" s="18" t="s">
        <v>1338</v>
      </c>
      <c r="H51" s="18"/>
      <c r="I51" s="18"/>
      <c r="J51" s="18"/>
      <c r="K51" s="18"/>
      <c r="L51" s="40" t="s">
        <v>1382</v>
      </c>
      <c r="M51" s="18"/>
      <c r="N51" s="18"/>
      <c r="O51" s="13">
        <f>GET_OK_GROUPS_COUNT(tbHeroEliteEnemy16[[#This Row],[Camp]],tbHeroEliteEnemy16[[#This Row],[Difficulty]],tbHeroEliteEnemy16[[#This Row],[IsBoss]],tbHeroEliteEnemy16[[#This Row],[Hero1]:[Soldier3]])</f>
        <v>3</v>
      </c>
      <c r="P51" s="7">
        <v>1</v>
      </c>
      <c r="Q51" s="18"/>
      <c r="R51" s="18" t="s">
        <v>912</v>
      </c>
      <c r="S5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三国-普通-刺兵</v>
      </c>
    </row>
    <row r="52" spans="2:19">
      <c r="B52" s="31" t="s">
        <v>1330</v>
      </c>
      <c r="C52" s="38" t="s">
        <v>1335</v>
      </c>
      <c r="D52" s="18">
        <v>3</v>
      </c>
      <c r="E52" s="18">
        <v>10</v>
      </c>
      <c r="F52" s="7" t="s">
        <v>151</v>
      </c>
      <c r="G52" s="18" t="s">
        <v>1338</v>
      </c>
      <c r="H52" s="18"/>
      <c r="I52" s="18"/>
      <c r="J52" s="18"/>
      <c r="K52" s="18"/>
      <c r="L52" s="40" t="s">
        <v>1377</v>
      </c>
      <c r="M52" s="40" t="s">
        <v>1382</v>
      </c>
      <c r="N52" s="18"/>
      <c r="O52" s="13">
        <f>GET_OK_GROUPS_COUNT(tbHeroEliteEnemy16[[#This Row],[Camp]],tbHeroEliteEnemy16[[#This Row],[Difficulty]],tbHeroEliteEnemy16[[#This Row],[IsBoss]],tbHeroEliteEnemy16[[#This Row],[Hero1]:[Soldier3]])</f>
        <v>1</v>
      </c>
      <c r="P52" s="7">
        <v>1</v>
      </c>
      <c r="Q52" s="18"/>
      <c r="R52" s="18" t="s">
        <v>912</v>
      </c>
      <c r="S5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三国-普通-盾兵+刺兵</v>
      </c>
    </row>
    <row r="53" spans="2:19">
      <c r="B53" s="31" t="s">
        <v>1330</v>
      </c>
      <c r="C53" s="38" t="s">
        <v>1335</v>
      </c>
      <c r="D53" s="18">
        <v>4</v>
      </c>
      <c r="E53" s="18">
        <v>15</v>
      </c>
      <c r="F53" s="7" t="s">
        <v>151</v>
      </c>
      <c r="G53" s="18" t="s">
        <v>1169</v>
      </c>
      <c r="H53" s="18"/>
      <c r="I53" s="40" t="s">
        <v>1378</v>
      </c>
      <c r="J53" s="18"/>
      <c r="K53" s="18"/>
      <c r="L53" s="40" t="s">
        <v>1377</v>
      </c>
      <c r="M53" s="18"/>
      <c r="N53" s="18"/>
      <c r="O53" s="13">
        <f>GET_OK_GROUPS_COUNT(tbHeroEliteEnemy16[[#This Row],[Camp]],tbHeroEliteEnemy16[[#This Row],[Difficulty]],tbHeroEliteEnemy16[[#This Row],[IsBoss]],tbHeroEliteEnemy16[[#This Row],[Hero1]:[Soldier3]])</f>
        <v>1</v>
      </c>
      <c r="P53" s="7">
        <v>1</v>
      </c>
      <c r="Q53" s="18"/>
      <c r="R53" s="18" t="s">
        <v>912</v>
      </c>
      <c r="S5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三国-困难-刺英+盾兵</v>
      </c>
    </row>
    <row r="54" spans="2:19">
      <c r="B54" s="31" t="s">
        <v>1330</v>
      </c>
      <c r="C54" s="38" t="s">
        <v>1335</v>
      </c>
      <c r="D54" s="18">
        <v>5</v>
      </c>
      <c r="E54" s="18">
        <v>20</v>
      </c>
      <c r="F54" s="7" t="s">
        <v>151</v>
      </c>
      <c r="G54" s="18" t="s">
        <v>1126</v>
      </c>
      <c r="H54" s="18" t="b">
        <v>1</v>
      </c>
      <c r="I54" s="40" t="s">
        <v>1365</v>
      </c>
      <c r="J54" s="40" t="s">
        <v>1355</v>
      </c>
      <c r="K54" s="18"/>
      <c r="L54" s="18"/>
      <c r="M54" s="18"/>
      <c r="N54" s="18"/>
      <c r="O54" s="13">
        <f>GET_OK_GROUPS_COUNT(tbHeroEliteEnemy16[[#This Row],[Camp]],tbHeroEliteEnemy16[[#This Row],[Difficulty]],tbHeroEliteEnemy16[[#This Row],[IsBoss]],tbHeroEliteEnemy16[[#This Row],[Hero1]:[Soldier3]])</f>
        <v>1</v>
      </c>
      <c r="P54" s="7">
        <v>1</v>
      </c>
      <c r="Q54" s="18"/>
      <c r="R54" s="18" t="s">
        <v>432</v>
      </c>
      <c r="S5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三国-超难-[B]盾英+刺英</v>
      </c>
    </row>
    <row r="55" spans="2:19">
      <c r="B55" s="18" t="s">
        <v>1331</v>
      </c>
      <c r="C55" s="38" t="s">
        <v>1335</v>
      </c>
      <c r="D55" s="18">
        <v>1</v>
      </c>
      <c r="E55" s="18">
        <v>5</v>
      </c>
      <c r="F55" s="7" t="s">
        <v>151</v>
      </c>
      <c r="G55" s="16" t="s">
        <v>1339</v>
      </c>
      <c r="H55" s="7"/>
      <c r="I55" s="8"/>
      <c r="L55" s="7" t="s">
        <v>25</v>
      </c>
      <c r="N55" s="18"/>
      <c r="O55" s="13">
        <f>GET_OK_GROUPS_COUNT(tbHeroEliteEnemy16[[#This Row],[Camp]],tbHeroEliteEnemy16[[#This Row],[Difficulty]],tbHeroEliteEnemy16[[#This Row],[IsBoss]],tbHeroEliteEnemy16[[#This Row],[Hero1]:[Soldier3]])</f>
        <v>4</v>
      </c>
      <c r="P55" s="7">
        <v>1</v>
      </c>
      <c r="Q55" s="18"/>
      <c r="R55" s="18" t="s">
        <v>912</v>
      </c>
      <c r="S5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</v>
      </c>
    </row>
    <row r="56" spans="2:19">
      <c r="B56" s="18" t="s">
        <v>1331</v>
      </c>
      <c r="C56" s="38" t="s">
        <v>1335</v>
      </c>
      <c r="D56" s="18">
        <v>2</v>
      </c>
      <c r="E56" s="18">
        <v>10</v>
      </c>
      <c r="F56" s="7" t="s">
        <v>151</v>
      </c>
      <c r="G56" s="18" t="s">
        <v>1338</v>
      </c>
      <c r="H56" s="18"/>
      <c r="I56" s="18"/>
      <c r="J56" s="18"/>
      <c r="K56" s="18"/>
      <c r="L56" s="40" t="s">
        <v>1379</v>
      </c>
      <c r="M56" s="18"/>
      <c r="N56" s="18"/>
      <c r="O56" s="13">
        <f>GET_OK_GROUPS_COUNT(tbHeroEliteEnemy16[[#This Row],[Camp]],tbHeroEliteEnemy16[[#This Row],[Difficulty]],tbHeroEliteEnemy16[[#This Row],[IsBoss]],tbHeroEliteEnemy16[[#This Row],[Hero1]:[Soldier3]])</f>
        <v>3</v>
      </c>
      <c r="P56" s="7">
        <v>1</v>
      </c>
      <c r="Q56" s="18"/>
      <c r="R56" s="18" t="s">
        <v>912</v>
      </c>
      <c r="S5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三国-普通-炼兵</v>
      </c>
    </row>
    <row r="57" spans="2:19">
      <c r="B57" s="18" t="s">
        <v>1331</v>
      </c>
      <c r="C57" s="38" t="s">
        <v>1335</v>
      </c>
      <c r="D57" s="18">
        <v>3</v>
      </c>
      <c r="E57" s="18">
        <v>10</v>
      </c>
      <c r="F57" s="7" t="s">
        <v>151</v>
      </c>
      <c r="G57" s="18" t="s">
        <v>1338</v>
      </c>
      <c r="H57" s="18"/>
      <c r="I57" s="18"/>
      <c r="J57" s="18"/>
      <c r="K57" s="18"/>
      <c r="L57" s="18" t="s">
        <v>25</v>
      </c>
      <c r="M57" s="40" t="s">
        <v>1379</v>
      </c>
      <c r="N57" s="18"/>
      <c r="O57" s="13">
        <f>GET_OK_GROUPS_COUNT(tbHeroEliteEnemy16[[#This Row],[Camp]],tbHeroEliteEnemy16[[#This Row],[Difficulty]],tbHeroEliteEnemy16[[#This Row],[IsBoss]],tbHeroEliteEnemy16[[#This Row],[Hero1]:[Soldier3]])</f>
        <v>1</v>
      </c>
      <c r="P57" s="7">
        <v>1</v>
      </c>
      <c r="Q57" s="18"/>
      <c r="R57" s="18" t="s">
        <v>912</v>
      </c>
      <c r="S5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三国-普通-铁兵+炼兵</v>
      </c>
    </row>
    <row r="58" spans="2:19">
      <c r="B58" s="18" t="s">
        <v>1331</v>
      </c>
      <c r="C58" s="38" t="s">
        <v>1335</v>
      </c>
      <c r="D58" s="18">
        <v>4</v>
      </c>
      <c r="E58" s="18">
        <v>15</v>
      </c>
      <c r="F58" s="7" t="s">
        <v>151</v>
      </c>
      <c r="G58" s="18" t="s">
        <v>1169</v>
      </c>
      <c r="H58" s="18"/>
      <c r="I58" s="40" t="s">
        <v>1359</v>
      </c>
      <c r="J58" s="18"/>
      <c r="K58" s="18"/>
      <c r="L58" s="18" t="s">
        <v>25</v>
      </c>
      <c r="M58" s="18"/>
      <c r="N58" s="18"/>
      <c r="O58" s="13">
        <f>GET_OK_GROUPS_COUNT(tbHeroEliteEnemy16[[#This Row],[Camp]],tbHeroEliteEnemy16[[#This Row],[Difficulty]],tbHeroEliteEnemy16[[#This Row],[IsBoss]],tbHeroEliteEnemy16[[#This Row],[Hero1]:[Soldier3]])</f>
        <v>1</v>
      </c>
      <c r="P58" s="7">
        <v>1</v>
      </c>
      <c r="Q58" s="18"/>
      <c r="R58" s="18" t="s">
        <v>912</v>
      </c>
      <c r="S5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三国-困难-炼英+铁兵</v>
      </c>
    </row>
    <row r="59" spans="2:19">
      <c r="B59" s="18" t="s">
        <v>1331</v>
      </c>
      <c r="C59" s="38" t="s">
        <v>1335</v>
      </c>
      <c r="D59" s="18">
        <v>5</v>
      </c>
      <c r="E59" s="18">
        <v>20</v>
      </c>
      <c r="F59" s="7" t="s">
        <v>151</v>
      </c>
      <c r="G59" s="18" t="s">
        <v>1126</v>
      </c>
      <c r="H59" s="18" t="b">
        <v>1</v>
      </c>
      <c r="I59" s="40" t="s">
        <v>1367</v>
      </c>
      <c r="J59" s="40" t="s">
        <v>1353</v>
      </c>
      <c r="K59" s="18"/>
      <c r="L59" s="18"/>
      <c r="M59" s="18"/>
      <c r="N59" s="18"/>
      <c r="O59" s="13">
        <f>GET_OK_GROUPS_COUNT(tbHeroEliteEnemy16[[#This Row],[Camp]],tbHeroEliteEnemy16[[#This Row],[Difficulty]],tbHeroEliteEnemy16[[#This Row],[IsBoss]],tbHeroEliteEnemy16[[#This Row],[Hero1]:[Soldier3]])</f>
        <v>1</v>
      </c>
      <c r="P59" s="7">
        <v>1</v>
      </c>
      <c r="Q59" s="18"/>
      <c r="R59" s="18" t="s">
        <v>1366</v>
      </c>
      <c r="S5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三国-超难-[B]铁英+炼英</v>
      </c>
    </row>
    <row r="60" spans="2:19">
      <c r="B60" s="18" t="s">
        <v>1332</v>
      </c>
      <c r="C60" s="38" t="s">
        <v>1335</v>
      </c>
      <c r="D60" s="18">
        <v>1</v>
      </c>
      <c r="E60" s="18">
        <v>5</v>
      </c>
      <c r="F60" s="7" t="s">
        <v>151</v>
      </c>
      <c r="G60" s="16" t="s">
        <v>1339</v>
      </c>
      <c r="H60" s="7"/>
      <c r="I60" s="8"/>
      <c r="L60" s="40" t="s">
        <v>1377</v>
      </c>
      <c r="N60" s="18"/>
      <c r="O60" s="13">
        <f>GET_OK_GROUPS_COUNT(tbHeroEliteEnemy16[[#This Row],[Camp]],tbHeroEliteEnemy16[[#This Row],[Difficulty]],tbHeroEliteEnemy16[[#This Row],[IsBoss]],tbHeroEliteEnemy16[[#This Row],[Hero1]:[Soldier3]])</f>
        <v>4</v>
      </c>
      <c r="P60" s="7">
        <v>1</v>
      </c>
      <c r="Q60" s="18"/>
      <c r="R60" s="18" t="s">
        <v>912</v>
      </c>
      <c r="S6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三国-简单-盾兵</v>
      </c>
    </row>
    <row r="61" spans="2:19">
      <c r="B61" s="18" t="s">
        <v>1332</v>
      </c>
      <c r="C61" s="38" t="s">
        <v>1335</v>
      </c>
      <c r="D61" s="18">
        <v>2</v>
      </c>
      <c r="E61" s="18">
        <v>10</v>
      </c>
      <c r="F61" s="7" t="s">
        <v>151</v>
      </c>
      <c r="G61" s="18" t="s">
        <v>1338</v>
      </c>
      <c r="H61" s="18"/>
      <c r="I61" s="18"/>
      <c r="J61" s="18"/>
      <c r="K61" s="18"/>
      <c r="L61" s="40" t="s">
        <v>1379</v>
      </c>
      <c r="M61" s="18"/>
      <c r="N61" s="18"/>
      <c r="O61" s="13">
        <f>GET_OK_GROUPS_COUNT(tbHeroEliteEnemy16[[#This Row],[Camp]],tbHeroEliteEnemy16[[#This Row],[Difficulty]],tbHeroEliteEnemy16[[#This Row],[IsBoss]],tbHeroEliteEnemy16[[#This Row],[Hero1]:[Soldier3]])</f>
        <v>3</v>
      </c>
      <c r="P61" s="7">
        <v>1</v>
      </c>
      <c r="Q61" s="18"/>
      <c r="R61" s="18" t="s">
        <v>912</v>
      </c>
      <c r="S6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三国-普通-炼兵</v>
      </c>
    </row>
    <row r="62" spans="2:19">
      <c r="B62" s="18" t="s">
        <v>1332</v>
      </c>
      <c r="C62" s="38" t="s">
        <v>1335</v>
      </c>
      <c r="D62" s="18">
        <v>3</v>
      </c>
      <c r="E62" s="18">
        <v>10</v>
      </c>
      <c r="F62" s="7" t="s">
        <v>151</v>
      </c>
      <c r="G62" s="18" t="s">
        <v>1338</v>
      </c>
      <c r="H62" s="18"/>
      <c r="I62" s="18"/>
      <c r="J62" s="18"/>
      <c r="K62" s="18"/>
      <c r="L62" s="40" t="s">
        <v>1377</v>
      </c>
      <c r="M62" s="40" t="s">
        <v>1379</v>
      </c>
      <c r="N62" s="18"/>
      <c r="O62" s="13">
        <f>GET_OK_GROUPS_COUNT(tbHeroEliteEnemy16[[#This Row],[Camp]],tbHeroEliteEnemy16[[#This Row],[Difficulty]],tbHeroEliteEnemy16[[#This Row],[IsBoss]],tbHeroEliteEnemy16[[#This Row],[Hero1]:[Soldier3]])</f>
        <v>1</v>
      </c>
      <c r="P62" s="7">
        <v>1</v>
      </c>
      <c r="Q62" s="18"/>
      <c r="R62" s="18" t="s">
        <v>912</v>
      </c>
      <c r="S6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三国-普通-盾兵+炼兵</v>
      </c>
    </row>
    <row r="63" spans="2:19">
      <c r="B63" s="18" t="s">
        <v>1332</v>
      </c>
      <c r="C63" s="38" t="s">
        <v>1335</v>
      </c>
      <c r="D63" s="18">
        <v>4</v>
      </c>
      <c r="E63" s="18">
        <v>15</v>
      </c>
      <c r="F63" s="7" t="s">
        <v>151</v>
      </c>
      <c r="G63" s="18" t="s">
        <v>1169</v>
      </c>
      <c r="H63" s="18"/>
      <c r="I63" s="40" t="s">
        <v>1359</v>
      </c>
      <c r="J63" s="18"/>
      <c r="K63" s="18"/>
      <c r="L63" s="40" t="s">
        <v>1377</v>
      </c>
      <c r="M63" s="18"/>
      <c r="N63" s="18"/>
      <c r="O63" s="13">
        <f>GET_OK_GROUPS_COUNT(tbHeroEliteEnemy16[[#This Row],[Camp]],tbHeroEliteEnemy16[[#This Row],[Difficulty]],tbHeroEliteEnemy16[[#This Row],[IsBoss]],tbHeroEliteEnemy16[[#This Row],[Hero1]:[Soldier3]])</f>
        <v>1</v>
      </c>
      <c r="P63" s="7">
        <v>1</v>
      </c>
      <c r="Q63" s="18"/>
      <c r="R63" s="18" t="s">
        <v>912</v>
      </c>
      <c r="S6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三国-困难-炼英+盾兵</v>
      </c>
    </row>
    <row r="64" spans="2:19">
      <c r="B64" s="18" t="s">
        <v>1332</v>
      </c>
      <c r="C64" s="38" t="s">
        <v>1335</v>
      </c>
      <c r="D64" s="18">
        <v>5</v>
      </c>
      <c r="E64" s="18">
        <v>20</v>
      </c>
      <c r="F64" s="7" t="s">
        <v>151</v>
      </c>
      <c r="G64" s="18" t="s">
        <v>1126</v>
      </c>
      <c r="H64" s="18" t="b">
        <v>1</v>
      </c>
      <c r="I64" s="40" t="s">
        <v>1369</v>
      </c>
      <c r="J64" s="40" t="s">
        <v>1355</v>
      </c>
      <c r="K64" s="18"/>
      <c r="L64" s="18"/>
      <c r="M64" s="18"/>
      <c r="N64" s="18"/>
      <c r="O64" s="13">
        <f>GET_OK_GROUPS_COUNT(tbHeroEliteEnemy16[[#This Row],[Camp]],tbHeroEliteEnemy16[[#This Row],[Difficulty]],tbHeroEliteEnemy16[[#This Row],[IsBoss]],tbHeroEliteEnemy16[[#This Row],[Hero1]:[Soldier3]])</f>
        <v>1</v>
      </c>
      <c r="P64" s="7">
        <v>1</v>
      </c>
      <c r="Q64" s="18"/>
      <c r="R64" s="18" t="s">
        <v>1368</v>
      </c>
      <c r="S6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三国-超难-[B]盾英+炼英</v>
      </c>
    </row>
    <row r="65" spans="2:19">
      <c r="B65" s="18" t="s">
        <v>1333</v>
      </c>
      <c r="C65" s="38" t="s">
        <v>1335</v>
      </c>
      <c r="D65" s="18">
        <v>1</v>
      </c>
      <c r="E65" s="18">
        <v>5</v>
      </c>
      <c r="F65" s="7" t="s">
        <v>151</v>
      </c>
      <c r="G65" s="16" t="s">
        <v>1339</v>
      </c>
      <c r="H65" s="7"/>
      <c r="I65" s="8"/>
      <c r="L65" s="40" t="s">
        <v>1383</v>
      </c>
      <c r="N65" s="18"/>
      <c r="O65" s="13">
        <f>GET_OK_GROUPS_COUNT(tbHeroEliteEnemy16[[#This Row],[Camp]],tbHeroEliteEnemy16[[#This Row],[Difficulty]],tbHeroEliteEnemy16[[#This Row],[IsBoss]],tbHeroEliteEnemy16[[#This Row],[Hero1]:[Soldier3]])</f>
        <v>4</v>
      </c>
      <c r="P65" s="7">
        <v>1</v>
      </c>
      <c r="Q65" s="18"/>
      <c r="R65" s="18" t="s">
        <v>912</v>
      </c>
      <c r="S6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</v>
      </c>
    </row>
    <row r="66" spans="2:19">
      <c r="B66" s="18" t="s">
        <v>1333</v>
      </c>
      <c r="C66" s="38" t="s">
        <v>1335</v>
      </c>
      <c r="D66" s="18">
        <v>2</v>
      </c>
      <c r="E66" s="18">
        <v>10</v>
      </c>
      <c r="F66" s="7" t="s">
        <v>151</v>
      </c>
      <c r="G66" s="18" t="s">
        <v>1338</v>
      </c>
      <c r="H66" s="18"/>
      <c r="I66" s="18"/>
      <c r="J66" s="18"/>
      <c r="K66" s="18"/>
      <c r="L66" s="40" t="s">
        <v>1381</v>
      </c>
      <c r="M66" s="18"/>
      <c r="N66" s="18"/>
      <c r="O66" s="13">
        <f>GET_OK_GROUPS_COUNT(tbHeroEliteEnemy16[[#This Row],[Camp]],tbHeroEliteEnemy16[[#This Row],[Difficulty]],tbHeroEliteEnemy16[[#This Row],[IsBoss]],tbHeroEliteEnemy16[[#This Row],[Hero1]:[Soldier3]])</f>
        <v>3</v>
      </c>
      <c r="P66" s="7">
        <v>1</v>
      </c>
      <c r="Q66" s="18"/>
      <c r="R66" s="18" t="s">
        <v>912</v>
      </c>
      <c r="S6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三国-普通-法兵</v>
      </c>
    </row>
    <row r="67" spans="2:19">
      <c r="B67" s="18" t="s">
        <v>1333</v>
      </c>
      <c r="C67" s="38" t="s">
        <v>1335</v>
      </c>
      <c r="D67" s="18">
        <v>3</v>
      </c>
      <c r="E67" s="18">
        <v>10</v>
      </c>
      <c r="F67" s="7" t="s">
        <v>151</v>
      </c>
      <c r="G67" s="18" t="s">
        <v>1338</v>
      </c>
      <c r="H67" s="18"/>
      <c r="I67" s="18"/>
      <c r="J67" s="18"/>
      <c r="K67" s="18"/>
      <c r="L67" s="18" t="s">
        <v>25</v>
      </c>
      <c r="M67" s="18" t="s">
        <v>28</v>
      </c>
      <c r="N67" s="18"/>
      <c r="O67" s="13">
        <f>GET_OK_GROUPS_COUNT(tbHeroEliteEnemy16[[#This Row],[Camp]],tbHeroEliteEnemy16[[#This Row],[Difficulty]],tbHeroEliteEnemy16[[#This Row],[IsBoss]],tbHeroEliteEnemy16[[#This Row],[Hero1]:[Soldier3]])</f>
        <v>1</v>
      </c>
      <c r="P67" s="7">
        <v>1</v>
      </c>
      <c r="Q67" s="18"/>
      <c r="R67" s="18" t="s">
        <v>912</v>
      </c>
      <c r="S6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68" spans="2:19">
      <c r="B68" s="18" t="s">
        <v>1333</v>
      </c>
      <c r="C68" s="38" t="s">
        <v>1335</v>
      </c>
      <c r="D68" s="18">
        <v>4</v>
      </c>
      <c r="E68" s="18">
        <v>15</v>
      </c>
      <c r="F68" s="7" t="s">
        <v>151</v>
      </c>
      <c r="G68" s="18" t="s">
        <v>1169</v>
      </c>
      <c r="H68" s="18"/>
      <c r="I68" s="40" t="s">
        <v>1376</v>
      </c>
      <c r="J68" s="18"/>
      <c r="K68" s="18"/>
      <c r="L68" s="18" t="s">
        <v>25</v>
      </c>
      <c r="M68" s="18"/>
      <c r="N68" s="18"/>
      <c r="O68" s="13">
        <f>GET_OK_GROUPS_COUNT(tbHeroEliteEnemy16[[#This Row],[Camp]],tbHeroEliteEnemy16[[#This Row],[Difficulty]],tbHeroEliteEnemy16[[#This Row],[IsBoss]],tbHeroEliteEnemy16[[#This Row],[Hero1]:[Soldier3]])</f>
        <v>1</v>
      </c>
      <c r="P68" s="7">
        <v>1</v>
      </c>
      <c r="Q68" s="18"/>
      <c r="R68" s="18" t="s">
        <v>912</v>
      </c>
      <c r="S6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三国-困难-法英+铁兵</v>
      </c>
    </row>
    <row r="69" spans="2:19">
      <c r="B69" s="18" t="s">
        <v>1333</v>
      </c>
      <c r="C69" s="38" t="s">
        <v>1335</v>
      </c>
      <c r="D69" s="18">
        <v>5</v>
      </c>
      <c r="E69" s="18">
        <v>20</v>
      </c>
      <c r="F69" s="7" t="s">
        <v>151</v>
      </c>
      <c r="G69" s="18" t="s">
        <v>1126</v>
      </c>
      <c r="H69" s="18" t="b">
        <v>1</v>
      </c>
      <c r="I69" s="40" t="s">
        <v>1370</v>
      </c>
      <c r="J69" s="40" t="s">
        <v>1353</v>
      </c>
      <c r="K69" s="18"/>
      <c r="L69" s="18"/>
      <c r="M69" s="18"/>
      <c r="N69" s="18"/>
      <c r="O69" s="13">
        <f>GET_OK_GROUPS_COUNT(tbHeroEliteEnemy16[[#This Row],[Camp]],tbHeroEliteEnemy16[[#This Row],[Difficulty]],tbHeroEliteEnemy16[[#This Row],[IsBoss]],tbHeroEliteEnemy16[[#This Row],[Hero1]:[Soldier3]])</f>
        <v>1</v>
      </c>
      <c r="P69" s="7">
        <v>1</v>
      </c>
      <c r="Q69" s="18"/>
      <c r="R69" s="40" t="s">
        <v>1370</v>
      </c>
      <c r="S6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三国-超难-[B]铁英+法英</v>
      </c>
    </row>
  </sheetData>
  <phoneticPr fontId="28" type="noConversion"/>
  <conditionalFormatting sqref="P5:P69">
    <cfRule type="expression" dxfId="7" priority="2">
      <formula>P5&gt;O5</formula>
    </cfRule>
  </conditionalFormatting>
  <conditionalFormatting sqref="O5:O69">
    <cfRule type="cellIs" dxfId="6" priority="1" operator="equal">
      <formula>0</formula>
    </cfRule>
  </conditionalFormatting>
  <dataValidations count="5">
    <dataValidation type="list" allowBlank="1" showInputMessage="1" showErrorMessage="1" sqref="I5:K69">
      <formula1>UnitNames</formula1>
    </dataValidation>
    <dataValidation type="list" allowBlank="1" showInputMessage="1" showErrorMessage="1" sqref="L5:N69">
      <formula1>SoldierNames</formula1>
    </dataValidation>
    <dataValidation type="list" allowBlank="1" showInputMessage="1" showErrorMessage="1" sqref="F5:F69">
      <formula1>"三国,黄巾"</formula1>
    </dataValidation>
    <dataValidation type="list" allowBlank="1" showInputMessage="1" showErrorMessage="1" sqref="H5:H69">
      <formula1>"TRUE,FALSE"</formula1>
    </dataValidation>
    <dataValidation type="list" allowBlank="1" showInputMessage="1" showErrorMessage="1" sqref="G5:G69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UpdateSeal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ReadSealStageDifficulty">
                <anchor moveWithCells="1">
                  <from>
                    <xdr:col>3</xdr:col>
                    <xdr:colOff>285750</xdr:colOff>
                    <xdr:row>0</xdr:row>
                    <xdr:rowOff>171450</xdr:rowOff>
                  </from>
                  <to>
                    <xdr:col>5</xdr:col>
                    <xdr:colOff>381000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S166"/>
  <sheetViews>
    <sheetView showGridLines="0" zoomScale="90" zoomScaleNormal="90" workbookViewId="0">
      <pane ySplit="4" topLeftCell="A5" activePane="bottomLeft" state="frozen"/>
      <selection activeCell="E1" sqref="E1:E1048576"/>
      <selection pane="bottomLeft" activeCell="L5" sqref="L5"/>
    </sheetView>
  </sheetViews>
  <sheetFormatPr defaultColWidth="9" defaultRowHeight="16.5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9.25" style="7" customWidth="1"/>
    <col min="6" max="6" width="10" style="7" customWidth="1"/>
    <col min="7" max="7" width="9.5" style="7" bestFit="1" customWidth="1"/>
    <col min="8" max="8" width="9.125"/>
    <col min="9" max="11" width="9" style="7"/>
    <col min="12" max="14" width="10.5" style="7" customWidth="1"/>
    <col min="15" max="15" width="14" style="7" customWidth="1"/>
    <col min="16" max="16" width="10.5" style="7" customWidth="1"/>
    <col min="17" max="17" width="11.375" style="7" customWidth="1"/>
    <col min="18" max="18" width="10.125" style="7" customWidth="1"/>
    <col min="19" max="19" width="17.25" style="7" customWidth="1"/>
    <col min="20" max="16384" width="9" style="7"/>
  </cols>
  <sheetData>
    <row r="1" spans="2:19">
      <c r="H1" s="7"/>
    </row>
    <row r="2" spans="2:19">
      <c r="H2" s="7"/>
    </row>
    <row r="3" spans="2:19">
      <c r="H3" s="7"/>
    </row>
    <row r="4" spans="2:19">
      <c r="B4" s="8" t="s">
        <v>492</v>
      </c>
      <c r="C4" s="35" t="s">
        <v>1290</v>
      </c>
      <c r="D4" s="7" t="s">
        <v>482</v>
      </c>
      <c r="E4" s="36" t="s">
        <v>1312</v>
      </c>
      <c r="F4" s="7" t="s">
        <v>480</v>
      </c>
      <c r="G4" s="7" t="s">
        <v>470</v>
      </c>
      <c r="H4" s="7" t="s">
        <v>490</v>
      </c>
      <c r="I4" s="8" t="s">
        <v>473</v>
      </c>
      <c r="J4" s="8" t="s">
        <v>474</v>
      </c>
      <c r="K4" s="8" t="s">
        <v>475</v>
      </c>
      <c r="L4" s="7" t="s">
        <v>476</v>
      </c>
      <c r="M4" s="7" t="s">
        <v>477</v>
      </c>
      <c r="N4" s="7" t="s">
        <v>478</v>
      </c>
      <c r="O4" s="7" t="s">
        <v>487</v>
      </c>
      <c r="P4" s="7" t="s">
        <v>488</v>
      </c>
      <c r="Q4" s="16" t="s">
        <v>948</v>
      </c>
      <c r="R4" s="8" t="s">
        <v>496</v>
      </c>
      <c r="S4" s="7" t="s">
        <v>486</v>
      </c>
    </row>
    <row r="5" spans="2:19">
      <c r="B5" s="7" t="s">
        <v>1128</v>
      </c>
      <c r="C5" s="35" t="s">
        <v>1302</v>
      </c>
      <c r="D5" s="7">
        <v>1</v>
      </c>
      <c r="E5" s="7">
        <v>5</v>
      </c>
      <c r="F5" s="7" t="s">
        <v>151</v>
      </c>
      <c r="G5" s="16" t="s">
        <v>29</v>
      </c>
      <c r="H5" s="7"/>
      <c r="I5" s="8"/>
      <c r="L5" s="7" t="s">
        <v>49</v>
      </c>
      <c r="O5" s="12">
        <f>GET_OK_GROUPS_COUNT(tbHeroEliteEnemy[[#This Row],[Camp]],tbHeroEliteEnemy[[#This Row],[Difficulty]],tbHeroEliteEnemy[[#This Row],[IsBoss]],tbHeroEliteEnemy[[#This Row],[Hero1]:[Soldier3]])</f>
        <v>1</v>
      </c>
      <c r="P5" s="7">
        <v>1</v>
      </c>
      <c r="R5" s="9" t="s">
        <v>912</v>
      </c>
      <c r="S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6" spans="2:19">
      <c r="B6" s="18" t="s">
        <v>1128</v>
      </c>
      <c r="C6" s="35" t="s">
        <v>1302</v>
      </c>
      <c r="D6" s="18">
        <v>2</v>
      </c>
      <c r="E6" s="18">
        <v>15</v>
      </c>
      <c r="F6" s="7" t="s">
        <v>151</v>
      </c>
      <c r="G6" s="18" t="s">
        <v>29</v>
      </c>
      <c r="H6" s="18"/>
      <c r="I6" s="18"/>
      <c r="J6" s="18"/>
      <c r="K6" s="18"/>
      <c r="L6" s="18" t="s">
        <v>34</v>
      </c>
      <c r="M6" s="18"/>
      <c r="N6" s="18"/>
      <c r="O6" s="13">
        <f>GET_OK_GROUPS_COUNT(tbHeroEliteEnemy[[#This Row],[Camp]],tbHeroEliteEnemy[[#This Row],[Difficulty]],tbHeroEliteEnemy[[#This Row],[IsBoss]],tbHeroEliteEnemy[[#This Row],[Hero1]:[Soldier3]])</f>
        <v>4</v>
      </c>
      <c r="P6" s="7">
        <v>2</v>
      </c>
      <c r="Q6" s="18"/>
      <c r="R6" s="18" t="s">
        <v>912</v>
      </c>
      <c r="S6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7" spans="2:19">
      <c r="B7" s="18" t="s">
        <v>1128</v>
      </c>
      <c r="C7" s="35" t="s">
        <v>1302</v>
      </c>
      <c r="D7" s="18">
        <v>3</v>
      </c>
      <c r="E7" s="18">
        <v>15</v>
      </c>
      <c r="F7" s="7" t="s">
        <v>151</v>
      </c>
      <c r="G7" s="18" t="s">
        <v>35</v>
      </c>
      <c r="H7" s="18"/>
      <c r="I7" s="18" t="s">
        <v>382</v>
      </c>
      <c r="J7" s="18"/>
      <c r="K7" s="18"/>
      <c r="L7" s="18"/>
      <c r="M7" s="18"/>
      <c r="N7" s="18"/>
      <c r="O7" s="13">
        <f>GET_OK_GROUPS_COUNT(tbHeroEliteEnemy[[#This Row],[Camp]],tbHeroEliteEnemy[[#This Row],[Difficulty]],tbHeroEliteEnemy[[#This Row],[IsBoss]],tbHeroEliteEnemy[[#This Row],[Hero1]:[Soldier3]])</f>
        <v>4</v>
      </c>
      <c r="P7" s="7">
        <v>2</v>
      </c>
      <c r="Q7" s="18"/>
      <c r="R7" s="18" t="s">
        <v>912</v>
      </c>
      <c r="S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三国-困难-铁英+炼兵</v>
      </c>
    </row>
    <row r="8" spans="2:19">
      <c r="B8" s="18" t="s">
        <v>1128</v>
      </c>
      <c r="C8" s="35" t="s">
        <v>1302</v>
      </c>
      <c r="D8" s="18">
        <v>4</v>
      </c>
      <c r="E8" s="18">
        <v>15</v>
      </c>
      <c r="F8" s="7" t="s">
        <v>151</v>
      </c>
      <c r="G8" s="18" t="s">
        <v>33</v>
      </c>
      <c r="H8" s="18"/>
      <c r="I8" s="18" t="s">
        <v>383</v>
      </c>
      <c r="J8" s="18"/>
      <c r="K8" s="18"/>
      <c r="L8" s="18"/>
      <c r="M8" s="18"/>
      <c r="N8" s="18"/>
      <c r="O8" s="13">
        <f>GET_OK_GROUPS_COUNT(tbHeroEliteEnemy[[#This Row],[Camp]],tbHeroEliteEnemy[[#This Row],[Difficulty]],tbHeroEliteEnemy[[#This Row],[IsBoss]],tbHeroEliteEnemy[[#This Row],[Hero1]:[Soldier3]])</f>
        <v>4</v>
      </c>
      <c r="P8" s="7">
        <v>1</v>
      </c>
      <c r="Q8" s="18"/>
      <c r="R8" s="18" t="s">
        <v>912</v>
      </c>
      <c r="S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</v>
      </c>
    </row>
    <row r="9" spans="2:19">
      <c r="B9" s="18" t="s">
        <v>1128</v>
      </c>
      <c r="C9" s="35" t="s">
        <v>1302</v>
      </c>
      <c r="D9" s="18">
        <v>5</v>
      </c>
      <c r="E9" s="18">
        <v>15</v>
      </c>
      <c r="F9" s="7" t="s">
        <v>151</v>
      </c>
      <c r="G9" s="18" t="s">
        <v>35</v>
      </c>
      <c r="H9" s="18"/>
      <c r="I9" s="18" t="s">
        <v>381</v>
      </c>
      <c r="J9" s="18"/>
      <c r="K9" s="18"/>
      <c r="L9" s="18"/>
      <c r="M9" s="18"/>
      <c r="N9" s="18"/>
      <c r="O9" s="13">
        <f>GET_OK_GROUPS_COUNT(tbHeroEliteEnemy[[#This Row],[Camp]],tbHeroEliteEnemy[[#This Row],[Difficulty]],tbHeroEliteEnemy[[#This Row],[IsBoss]],tbHeroEliteEnemy[[#This Row],[Hero1]:[Soldier3]])</f>
        <v>3</v>
      </c>
      <c r="P9" s="7">
        <v>2</v>
      </c>
      <c r="Q9" s="18"/>
      <c r="R9" s="18" t="s">
        <v>912</v>
      </c>
      <c r="S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三国-困难-强英+盾兵</v>
      </c>
    </row>
    <row r="10" spans="2:19">
      <c r="B10" s="18" t="s">
        <v>1128</v>
      </c>
      <c r="C10" s="35" t="s">
        <v>1302</v>
      </c>
      <c r="D10" s="18">
        <v>6</v>
      </c>
      <c r="E10" s="18">
        <v>15</v>
      </c>
      <c r="F10" s="7" t="s">
        <v>151</v>
      </c>
      <c r="G10" s="18" t="s">
        <v>33</v>
      </c>
      <c r="H10" s="18"/>
      <c r="I10" s="18" t="s">
        <v>384</v>
      </c>
      <c r="J10" s="18"/>
      <c r="K10" s="18"/>
      <c r="L10" s="18"/>
      <c r="M10" s="18"/>
      <c r="N10" s="18"/>
      <c r="O10" s="13">
        <f>GET_OK_GROUPS_COUNT(tbHeroEliteEnemy[[#This Row],[Camp]],tbHeroEliteEnemy[[#This Row],[Difficulty]],tbHeroEliteEnemy[[#This Row],[IsBoss]],tbHeroEliteEnemy[[#This Row],[Hero1]:[Soldier3]])</f>
        <v>4</v>
      </c>
      <c r="P10" s="7">
        <v>2</v>
      </c>
      <c r="Q10" s="18"/>
      <c r="R10" s="18" t="s">
        <v>912</v>
      </c>
      <c r="S1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三国-普通-法英+铁兵</v>
      </c>
    </row>
    <row r="11" spans="2:19">
      <c r="B11" s="18" t="s">
        <v>1128</v>
      </c>
      <c r="C11" s="35" t="s">
        <v>1302</v>
      </c>
      <c r="D11" s="18">
        <v>7</v>
      </c>
      <c r="E11" s="18">
        <v>15</v>
      </c>
      <c r="F11" s="7" t="s">
        <v>151</v>
      </c>
      <c r="G11" s="18" t="s">
        <v>33</v>
      </c>
      <c r="H11" s="18"/>
      <c r="I11" s="18" t="s">
        <v>383</v>
      </c>
      <c r="J11" s="18"/>
      <c r="K11" s="18"/>
      <c r="L11" s="18"/>
      <c r="M11" s="18"/>
      <c r="N11" s="18"/>
      <c r="O11" s="13">
        <f>GET_OK_GROUPS_COUNT(tbHeroEliteEnemy[[#This Row],[Camp]],tbHeroEliteEnemy[[#This Row],[Difficulty]],tbHeroEliteEnemy[[#This Row],[IsBoss]],tbHeroEliteEnemy[[#This Row],[Hero1]:[Soldier3]])</f>
        <v>4</v>
      </c>
      <c r="P11" s="7">
        <v>1</v>
      </c>
      <c r="Q11" s="18"/>
      <c r="R11" s="18" t="s">
        <v>912</v>
      </c>
      <c r="S1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</v>
      </c>
    </row>
    <row r="12" spans="2:19">
      <c r="B12" s="18" t="s">
        <v>1128</v>
      </c>
      <c r="C12" s="35" t="s">
        <v>1302</v>
      </c>
      <c r="D12" s="18">
        <v>8</v>
      </c>
      <c r="E12" s="18">
        <v>15</v>
      </c>
      <c r="F12" s="7" t="s">
        <v>151</v>
      </c>
      <c r="G12" s="18" t="s">
        <v>35</v>
      </c>
      <c r="H12" s="18"/>
      <c r="I12" s="18" t="s">
        <v>380</v>
      </c>
      <c r="J12" s="18"/>
      <c r="K12" s="18"/>
      <c r="L12" s="18"/>
      <c r="M12" s="18"/>
      <c r="N12" s="18"/>
      <c r="O12" s="13">
        <f>GET_OK_GROUPS_COUNT(tbHeroEliteEnemy[[#This Row],[Camp]],tbHeroEliteEnemy[[#This Row],[Difficulty]],tbHeroEliteEnemy[[#This Row],[IsBoss]],tbHeroEliteEnemy[[#This Row],[Hero1]:[Soldier3]])</f>
        <v>4</v>
      </c>
      <c r="P12" s="7">
        <v>1</v>
      </c>
      <c r="Q12" s="18"/>
      <c r="R12" s="18" t="s">
        <v>912</v>
      </c>
      <c r="S1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13" spans="2:19">
      <c r="B13" s="18" t="s">
        <v>1128</v>
      </c>
      <c r="C13" s="35" t="s">
        <v>1302</v>
      </c>
      <c r="D13" s="18">
        <v>9</v>
      </c>
      <c r="E13" s="18">
        <v>15</v>
      </c>
      <c r="F13" s="7" t="s">
        <v>151</v>
      </c>
      <c r="G13" s="18" t="s">
        <v>36</v>
      </c>
      <c r="H13" s="18" t="b">
        <v>1</v>
      </c>
      <c r="I13" s="18" t="s">
        <v>416</v>
      </c>
      <c r="J13" s="18" t="s">
        <v>384</v>
      </c>
      <c r="K13" s="18"/>
      <c r="L13" s="18"/>
      <c r="M13" s="18"/>
      <c r="N13" s="18"/>
      <c r="O13" s="13">
        <f>GET_OK_GROUPS_COUNT(tbHeroEliteEnemy[[#This Row],[Camp]],tbHeroEliteEnemy[[#This Row],[Difficulty]],tbHeroEliteEnemy[[#This Row],[IsBoss]],tbHeroEliteEnemy[[#This Row],[Hero1]:[Soldier3]])</f>
        <v>1</v>
      </c>
      <c r="P13" s="7">
        <v>1</v>
      </c>
      <c r="Q13" s="18"/>
      <c r="R13" s="18" t="s">
        <v>416</v>
      </c>
      <c r="S13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三国-超难-[B]法英+刺英</v>
      </c>
    </row>
    <row r="14" spans="2:19">
      <c r="B14" s="18" t="s">
        <v>1129</v>
      </c>
      <c r="C14" s="35" t="s">
        <v>1302</v>
      </c>
      <c r="D14" s="18">
        <v>1</v>
      </c>
      <c r="E14" s="18">
        <v>5</v>
      </c>
      <c r="F14" s="7" t="s">
        <v>151</v>
      </c>
      <c r="G14" s="16" t="s">
        <v>29</v>
      </c>
      <c r="H14" s="7"/>
      <c r="I14" s="18"/>
      <c r="J14" s="18"/>
      <c r="K14" s="18"/>
      <c r="L14" s="18" t="s">
        <v>25</v>
      </c>
      <c r="M14" s="18"/>
      <c r="N14" s="18"/>
      <c r="O14" s="13">
        <f>GET_OK_GROUPS_COUNT(tbHeroEliteEnemy[[#This Row],[Camp]],tbHeroEliteEnemy[[#This Row],[Difficulty]],tbHeroEliteEnemy[[#This Row],[IsBoss]],tbHeroEliteEnemy[[#This Row],[Hero1]:[Soldier3]])</f>
        <v>4</v>
      </c>
      <c r="P14" s="7">
        <v>3</v>
      </c>
      <c r="Q14" s="18"/>
      <c r="R14" s="18" t="s">
        <v>912</v>
      </c>
      <c r="S1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三国-简单-铁兵+强兵</v>
      </c>
    </row>
    <row r="15" spans="2:19">
      <c r="B15" s="18" t="s">
        <v>1129</v>
      </c>
      <c r="C15" s="35" t="s">
        <v>1302</v>
      </c>
      <c r="D15" s="18">
        <v>2</v>
      </c>
      <c r="E15" s="18">
        <v>15</v>
      </c>
      <c r="F15" s="7" t="s">
        <v>151</v>
      </c>
      <c r="G15" s="18" t="s">
        <v>29</v>
      </c>
      <c r="H15" s="18"/>
      <c r="I15" s="18"/>
      <c r="J15" s="18"/>
      <c r="K15" s="18"/>
      <c r="L15" s="18" t="s">
        <v>28</v>
      </c>
      <c r="M15" s="18"/>
      <c r="N15" s="18"/>
      <c r="O15" s="13">
        <f>GET_OK_GROUPS_COUNT(tbHeroEliteEnemy[[#This Row],[Camp]],tbHeroEliteEnemy[[#This Row],[Difficulty]],tbHeroEliteEnemy[[#This Row],[IsBoss]],tbHeroEliteEnemy[[#This Row],[Hero1]:[Soldier3]])</f>
        <v>3</v>
      </c>
      <c r="P15" s="7">
        <v>3</v>
      </c>
      <c r="Q15" s="18"/>
      <c r="R15" s="18" t="s">
        <v>912</v>
      </c>
      <c r="S1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16" spans="2:19">
      <c r="B16" s="18" t="s">
        <v>1129</v>
      </c>
      <c r="C16" s="35" t="s">
        <v>1302</v>
      </c>
      <c r="D16" s="18">
        <v>3</v>
      </c>
      <c r="E16" s="18">
        <v>15</v>
      </c>
      <c r="F16" s="7" t="s">
        <v>151</v>
      </c>
      <c r="G16" s="18" t="s">
        <v>35</v>
      </c>
      <c r="H16" s="18"/>
      <c r="I16" s="18" t="s">
        <v>380</v>
      </c>
      <c r="J16" s="18"/>
      <c r="K16" s="18"/>
      <c r="L16" s="18"/>
      <c r="M16" s="18"/>
      <c r="N16" s="18"/>
      <c r="O16" s="13">
        <f>GET_OK_GROUPS_COUNT(tbHeroEliteEnemy[[#This Row],[Camp]],tbHeroEliteEnemy[[#This Row],[Difficulty]],tbHeroEliteEnemy[[#This Row],[IsBoss]],tbHeroEliteEnemy[[#This Row],[Hero1]:[Soldier3]])</f>
        <v>4</v>
      </c>
      <c r="P16" s="7">
        <v>4</v>
      </c>
      <c r="Q16" s="18"/>
      <c r="R16" s="18" t="s">
        <v>912</v>
      </c>
      <c r="S1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三国-困难-盾英+刺兵</v>
      </c>
    </row>
    <row r="17" spans="2:19">
      <c r="B17" s="18" t="s">
        <v>1129</v>
      </c>
      <c r="C17" s="35" t="s">
        <v>1302</v>
      </c>
      <c r="D17" s="18">
        <v>4</v>
      </c>
      <c r="E17" s="18">
        <v>15</v>
      </c>
      <c r="F17" s="7" t="s">
        <v>151</v>
      </c>
      <c r="G17" s="18" t="s">
        <v>33</v>
      </c>
      <c r="H17" s="18"/>
      <c r="I17" s="18" t="s">
        <v>385</v>
      </c>
      <c r="J17" s="18"/>
      <c r="K17" s="18"/>
      <c r="L17" s="18"/>
      <c r="M17" s="18"/>
      <c r="N17" s="18"/>
      <c r="O17" s="13">
        <f>GET_OK_GROUPS_COUNT(tbHeroEliteEnemy[[#This Row],[Camp]],tbHeroEliteEnemy[[#This Row],[Difficulty]],tbHeroEliteEnemy[[#This Row],[IsBoss]],tbHeroEliteEnemy[[#This Row],[Hero1]:[Soldier3]])</f>
        <v>4</v>
      </c>
      <c r="P17" s="7">
        <v>3</v>
      </c>
      <c r="Q17" s="18"/>
      <c r="R17" s="18" t="s">
        <v>912</v>
      </c>
      <c r="S1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18" spans="2:19">
      <c r="B18" s="18" t="s">
        <v>1129</v>
      </c>
      <c r="C18" s="35" t="s">
        <v>1302</v>
      </c>
      <c r="D18" s="18">
        <v>5</v>
      </c>
      <c r="E18" s="18">
        <v>15</v>
      </c>
      <c r="F18" s="7" t="s">
        <v>151</v>
      </c>
      <c r="G18" s="18" t="s">
        <v>35</v>
      </c>
      <c r="H18" s="18"/>
      <c r="I18" s="18" t="s">
        <v>384</v>
      </c>
      <c r="J18" s="18"/>
      <c r="K18" s="18"/>
      <c r="L18" s="18"/>
      <c r="M18" s="18"/>
      <c r="N18" s="18"/>
      <c r="O18" s="13">
        <f>GET_OK_GROUPS_COUNT(tbHeroEliteEnemy[[#This Row],[Camp]],tbHeroEliteEnemy[[#This Row],[Difficulty]],tbHeroEliteEnemy[[#This Row],[IsBoss]],tbHeroEliteEnemy[[#This Row],[Hero1]:[Soldier3]])</f>
        <v>3</v>
      </c>
      <c r="P18" s="7">
        <v>1</v>
      </c>
      <c r="Q18" s="18"/>
      <c r="R18" s="18" t="s">
        <v>912</v>
      </c>
      <c r="S1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19" spans="2:19">
      <c r="B19" s="18" t="s">
        <v>1129</v>
      </c>
      <c r="C19" s="35" t="s">
        <v>1302</v>
      </c>
      <c r="D19" s="18">
        <v>6</v>
      </c>
      <c r="E19" s="18">
        <v>15</v>
      </c>
      <c r="F19" s="7" t="s">
        <v>151</v>
      </c>
      <c r="G19" s="18" t="s">
        <v>33</v>
      </c>
      <c r="H19" s="18"/>
      <c r="I19" s="18" t="s">
        <v>384</v>
      </c>
      <c r="J19" s="18"/>
      <c r="K19" s="18"/>
      <c r="L19" s="18"/>
      <c r="M19" s="18"/>
      <c r="N19" s="18"/>
      <c r="O19" s="13">
        <f>GET_OK_GROUPS_COUNT(tbHeroEliteEnemy[[#This Row],[Camp]],tbHeroEliteEnemy[[#This Row],[Difficulty]],tbHeroEliteEnemy[[#This Row],[IsBoss]],tbHeroEliteEnemy[[#This Row],[Hero1]:[Soldier3]])</f>
        <v>4</v>
      </c>
      <c r="P19" s="7">
        <v>3</v>
      </c>
      <c r="Q19" s="18"/>
      <c r="R19" s="18" t="s">
        <v>912</v>
      </c>
      <c r="S1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三国-普通-法英+盾兵</v>
      </c>
    </row>
    <row r="20" spans="2:19">
      <c r="B20" s="18" t="s">
        <v>1129</v>
      </c>
      <c r="C20" s="35" t="s">
        <v>1302</v>
      </c>
      <c r="D20" s="18">
        <v>7</v>
      </c>
      <c r="E20" s="18">
        <v>15</v>
      </c>
      <c r="F20" s="7" t="s">
        <v>151</v>
      </c>
      <c r="G20" s="18" t="s">
        <v>33</v>
      </c>
      <c r="H20" s="18"/>
      <c r="I20" s="18" t="s">
        <v>381</v>
      </c>
      <c r="J20" s="18"/>
      <c r="K20" s="18"/>
      <c r="L20" s="18"/>
      <c r="M20" s="18"/>
      <c r="N20" s="18"/>
      <c r="O20" s="13">
        <f>GET_OK_GROUPS_COUNT(tbHeroEliteEnemy[[#This Row],[Camp]],tbHeroEliteEnemy[[#This Row],[Difficulty]],tbHeroEliteEnemy[[#This Row],[IsBoss]],tbHeroEliteEnemy[[#This Row],[Hero1]:[Soldier3]])</f>
        <v>4</v>
      </c>
      <c r="P20" s="7">
        <v>1</v>
      </c>
      <c r="Q20" s="18"/>
      <c r="R20" s="18" t="s">
        <v>912</v>
      </c>
      <c r="S2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</v>
      </c>
    </row>
    <row r="21" spans="2:19">
      <c r="B21" s="18" t="s">
        <v>1129</v>
      </c>
      <c r="C21" s="35" t="s">
        <v>1302</v>
      </c>
      <c r="D21" s="18">
        <v>8</v>
      </c>
      <c r="E21" s="18">
        <v>15</v>
      </c>
      <c r="F21" s="7" t="s">
        <v>151</v>
      </c>
      <c r="G21" s="18" t="s">
        <v>35</v>
      </c>
      <c r="H21" s="18"/>
      <c r="I21" s="18" t="s">
        <v>385</v>
      </c>
      <c r="J21" s="18"/>
      <c r="K21" s="18"/>
      <c r="L21" s="18"/>
      <c r="M21" s="18"/>
      <c r="N21" s="18"/>
      <c r="O21" s="13">
        <f>GET_OK_GROUPS_COUNT(tbHeroEliteEnemy[[#This Row],[Camp]],tbHeroEliteEnemy[[#This Row],[Difficulty]],tbHeroEliteEnemy[[#This Row],[IsBoss]],tbHeroEliteEnemy[[#This Row],[Hero1]:[Soldier3]])</f>
        <v>3</v>
      </c>
      <c r="P21" s="7">
        <v>3</v>
      </c>
      <c r="Q21" s="18"/>
      <c r="R21" s="18" t="s">
        <v>912</v>
      </c>
      <c r="S2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22" spans="2:19">
      <c r="B22" s="18" t="s">
        <v>1129</v>
      </c>
      <c r="C22" s="35" t="s">
        <v>1302</v>
      </c>
      <c r="D22" s="18">
        <v>9</v>
      </c>
      <c r="E22" s="18">
        <v>15</v>
      </c>
      <c r="F22" s="7" t="s">
        <v>151</v>
      </c>
      <c r="G22" s="18" t="s">
        <v>36</v>
      </c>
      <c r="H22" s="18" t="b">
        <v>1</v>
      </c>
      <c r="I22" s="18" t="s">
        <v>417</v>
      </c>
      <c r="J22" s="18" t="s">
        <v>384</v>
      </c>
      <c r="K22" s="18"/>
      <c r="L22" s="18"/>
      <c r="M22" s="18"/>
      <c r="N22" s="18"/>
      <c r="O22" s="13">
        <f>GET_OK_GROUPS_COUNT(tbHeroEliteEnemy[[#This Row],[Camp]],tbHeroEliteEnemy[[#This Row],[Difficulty]],tbHeroEliteEnemy[[#This Row],[IsBoss]],tbHeroEliteEnemy[[#This Row],[Hero1]:[Soldier3]])</f>
        <v>1</v>
      </c>
      <c r="P22" s="7">
        <v>1</v>
      </c>
      <c r="Q22" s="18"/>
      <c r="R22" s="18" t="s">
        <v>417</v>
      </c>
      <c r="S22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三国-超难-[B]铁英+法英</v>
      </c>
    </row>
    <row r="23" spans="2:19">
      <c r="B23" s="18" t="s">
        <v>1130</v>
      </c>
      <c r="C23" s="35" t="s">
        <v>1302</v>
      </c>
      <c r="D23" s="18">
        <v>1</v>
      </c>
      <c r="E23" s="18">
        <v>5</v>
      </c>
      <c r="F23" s="7" t="s">
        <v>151</v>
      </c>
      <c r="G23" s="16" t="s">
        <v>29</v>
      </c>
      <c r="H23" s="7"/>
      <c r="I23" s="18"/>
      <c r="J23" s="18"/>
      <c r="K23" s="18"/>
      <c r="L23" s="18" t="s">
        <v>447</v>
      </c>
      <c r="M23" s="18"/>
      <c r="N23" s="18"/>
      <c r="O23" s="13">
        <f>GET_OK_GROUPS_COUNT(tbHeroEliteEnemy[[#This Row],[Camp]],tbHeroEliteEnemy[[#This Row],[Difficulty]],tbHeroEliteEnemy[[#This Row],[IsBoss]],tbHeroEliteEnemy[[#This Row],[Hero1]:[Soldier3]])</f>
        <v>3</v>
      </c>
      <c r="P23" s="7">
        <v>3</v>
      </c>
      <c r="Q23" s="18"/>
      <c r="R23" s="18" t="s">
        <v>912</v>
      </c>
      <c r="S2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24" spans="2:19">
      <c r="B24" s="18" t="s">
        <v>1130</v>
      </c>
      <c r="C24" s="35" t="s">
        <v>1302</v>
      </c>
      <c r="D24" s="18">
        <v>2</v>
      </c>
      <c r="E24" s="18">
        <v>15</v>
      </c>
      <c r="F24" s="7" t="s">
        <v>151</v>
      </c>
      <c r="G24" s="18" t="s">
        <v>29</v>
      </c>
      <c r="H24" s="18"/>
      <c r="I24" s="18"/>
      <c r="J24" s="18"/>
      <c r="K24" s="18"/>
      <c r="L24" s="18" t="s">
        <v>34</v>
      </c>
      <c r="M24" s="18"/>
      <c r="N24" s="18"/>
      <c r="O24" s="13">
        <f>GET_OK_GROUPS_COUNT(tbHeroEliteEnemy[[#This Row],[Camp]],tbHeroEliteEnemy[[#This Row],[Difficulty]],tbHeroEliteEnemy[[#This Row],[IsBoss]],tbHeroEliteEnemy[[#This Row],[Hero1]:[Soldier3]])</f>
        <v>4</v>
      </c>
      <c r="P24" s="7">
        <v>2</v>
      </c>
      <c r="Q24" s="18"/>
      <c r="R24" s="18" t="s">
        <v>912</v>
      </c>
      <c r="S2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25" spans="2:19">
      <c r="B25" s="18" t="s">
        <v>1130</v>
      </c>
      <c r="C25" s="35" t="s">
        <v>1302</v>
      </c>
      <c r="D25" s="18">
        <v>3</v>
      </c>
      <c r="E25" s="18">
        <v>15</v>
      </c>
      <c r="F25" s="7" t="s">
        <v>151</v>
      </c>
      <c r="G25" s="18" t="s">
        <v>35</v>
      </c>
      <c r="H25" s="18"/>
      <c r="I25" s="18" t="s">
        <v>384</v>
      </c>
      <c r="J25" s="18"/>
      <c r="K25" s="18"/>
      <c r="L25" s="18"/>
      <c r="M25" s="18"/>
      <c r="N25" s="18"/>
      <c r="O25" s="13">
        <f>GET_OK_GROUPS_COUNT(tbHeroEliteEnemy[[#This Row],[Camp]],tbHeroEliteEnemy[[#This Row],[Difficulty]],tbHeroEliteEnemy[[#This Row],[IsBoss]],tbHeroEliteEnemy[[#This Row],[Hero1]:[Soldier3]])</f>
        <v>3</v>
      </c>
      <c r="P25" s="7">
        <v>1</v>
      </c>
      <c r="Q25" s="18"/>
      <c r="R25" s="18" t="s">
        <v>912</v>
      </c>
      <c r="S2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26" spans="2:19">
      <c r="B26" s="18" t="s">
        <v>1130</v>
      </c>
      <c r="C26" s="35" t="s">
        <v>1302</v>
      </c>
      <c r="D26" s="18">
        <v>4</v>
      </c>
      <c r="E26" s="18">
        <v>15</v>
      </c>
      <c r="F26" s="7" t="s">
        <v>151</v>
      </c>
      <c r="G26" s="18" t="s">
        <v>33</v>
      </c>
      <c r="H26" s="18"/>
      <c r="I26" s="18" t="s">
        <v>383</v>
      </c>
      <c r="J26" s="18"/>
      <c r="K26" s="18"/>
      <c r="L26" s="18"/>
      <c r="M26" s="18"/>
      <c r="N26" s="18"/>
      <c r="O26" s="13">
        <f>GET_OK_GROUPS_COUNT(tbHeroEliteEnemy[[#This Row],[Camp]],tbHeroEliteEnemy[[#This Row],[Difficulty]],tbHeroEliteEnemy[[#This Row],[IsBoss]],tbHeroEliteEnemy[[#This Row],[Hero1]:[Soldier3]])</f>
        <v>4</v>
      </c>
      <c r="P26" s="7">
        <v>4</v>
      </c>
      <c r="Q26" s="18"/>
      <c r="R26" s="18" t="s">
        <v>912</v>
      </c>
      <c r="S2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三国-普通-炼英+教徒</v>
      </c>
    </row>
    <row r="27" spans="2:19">
      <c r="B27" s="18" t="s">
        <v>1130</v>
      </c>
      <c r="C27" s="35" t="s">
        <v>1302</v>
      </c>
      <c r="D27" s="18">
        <v>5</v>
      </c>
      <c r="E27" s="18">
        <v>15</v>
      </c>
      <c r="F27" s="7" t="s">
        <v>151</v>
      </c>
      <c r="G27" s="18" t="s">
        <v>35</v>
      </c>
      <c r="H27" s="18"/>
      <c r="I27" s="18" t="s">
        <v>381</v>
      </c>
      <c r="J27" s="18"/>
      <c r="K27" s="18"/>
      <c r="L27" s="18"/>
      <c r="M27" s="18"/>
      <c r="N27" s="18"/>
      <c r="O27" s="13">
        <f>GET_OK_GROUPS_COUNT(tbHeroEliteEnemy[[#This Row],[Camp]],tbHeroEliteEnemy[[#This Row],[Difficulty]],tbHeroEliteEnemy[[#This Row],[IsBoss]],tbHeroEliteEnemy[[#This Row],[Hero1]:[Soldier3]])</f>
        <v>3</v>
      </c>
      <c r="P27" s="7">
        <v>3</v>
      </c>
      <c r="Q27" s="18"/>
      <c r="R27" s="18" t="s">
        <v>912</v>
      </c>
      <c r="S2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三国-困难-强英+教徒</v>
      </c>
    </row>
    <row r="28" spans="2:19">
      <c r="B28" s="18" t="s">
        <v>1130</v>
      </c>
      <c r="C28" s="35" t="s">
        <v>1302</v>
      </c>
      <c r="D28" s="18">
        <v>6</v>
      </c>
      <c r="E28" s="18">
        <v>15</v>
      </c>
      <c r="F28" s="7" t="s">
        <v>151</v>
      </c>
      <c r="G28" s="18" t="s">
        <v>33</v>
      </c>
      <c r="H28" s="18"/>
      <c r="I28" s="18" t="s">
        <v>382</v>
      </c>
      <c r="J28" s="18"/>
      <c r="K28" s="18"/>
      <c r="L28" s="18"/>
      <c r="M28" s="18"/>
      <c r="N28" s="18"/>
      <c r="O28" s="13">
        <f>GET_OK_GROUPS_COUNT(tbHeroEliteEnemy[[#This Row],[Camp]],tbHeroEliteEnemy[[#This Row],[Difficulty]],tbHeroEliteEnemy[[#This Row],[IsBoss]],tbHeroEliteEnemy[[#This Row],[Hero1]:[Soldier3]])</f>
        <v>5</v>
      </c>
      <c r="P28" s="7">
        <v>3</v>
      </c>
      <c r="Q28" s="18"/>
      <c r="R28" s="18" t="s">
        <v>912</v>
      </c>
      <c r="S2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三国-普通-铁英+炼兵</v>
      </c>
    </row>
    <row r="29" spans="2:19">
      <c r="B29" s="18" t="s">
        <v>1130</v>
      </c>
      <c r="C29" s="35" t="s">
        <v>1302</v>
      </c>
      <c r="D29" s="18">
        <v>7</v>
      </c>
      <c r="E29" s="18">
        <v>15</v>
      </c>
      <c r="F29" s="7" t="s">
        <v>151</v>
      </c>
      <c r="G29" s="18" t="s">
        <v>33</v>
      </c>
      <c r="H29" s="18"/>
      <c r="I29" s="18" t="s">
        <v>382</v>
      </c>
      <c r="J29" s="18"/>
      <c r="K29" s="18"/>
      <c r="L29" s="18"/>
      <c r="M29" s="18"/>
      <c r="N29" s="18"/>
      <c r="O29" s="13">
        <f>GET_OK_GROUPS_COUNT(tbHeroEliteEnemy[[#This Row],[Camp]],tbHeroEliteEnemy[[#This Row],[Difficulty]],tbHeroEliteEnemy[[#This Row],[IsBoss]],tbHeroEliteEnemy[[#This Row],[Hero1]:[Soldier3]])</f>
        <v>5</v>
      </c>
      <c r="P29" s="7">
        <v>3</v>
      </c>
      <c r="Q29" s="18"/>
      <c r="R29" s="18" t="s">
        <v>912</v>
      </c>
      <c r="S2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三国-普通-铁英+炼兵</v>
      </c>
    </row>
    <row r="30" spans="2:19">
      <c r="B30" s="18" t="s">
        <v>1130</v>
      </c>
      <c r="C30" s="35" t="s">
        <v>1302</v>
      </c>
      <c r="D30" s="18">
        <v>8</v>
      </c>
      <c r="E30" s="18">
        <v>15</v>
      </c>
      <c r="F30" s="7" t="s">
        <v>151</v>
      </c>
      <c r="G30" s="18" t="s">
        <v>35</v>
      </c>
      <c r="H30" s="18"/>
      <c r="I30" s="18" t="s">
        <v>380</v>
      </c>
      <c r="J30" s="18"/>
      <c r="K30" s="18"/>
      <c r="L30" s="18"/>
      <c r="M30" s="18"/>
      <c r="N30" s="18"/>
      <c r="O30" s="13">
        <f>GET_OK_GROUPS_COUNT(tbHeroEliteEnemy[[#This Row],[Camp]],tbHeroEliteEnemy[[#This Row],[Difficulty]],tbHeroEliteEnemy[[#This Row],[IsBoss]],tbHeroEliteEnemy[[#This Row],[Hero1]:[Soldier3]])</f>
        <v>4</v>
      </c>
      <c r="P30" s="7">
        <v>2</v>
      </c>
      <c r="Q30" s="18"/>
      <c r="R30" s="18" t="s">
        <v>912</v>
      </c>
      <c r="S3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三国-困难-盾英+炼兵</v>
      </c>
    </row>
    <row r="31" spans="2:19">
      <c r="B31" s="18" t="s">
        <v>1130</v>
      </c>
      <c r="C31" s="35" t="s">
        <v>1302</v>
      </c>
      <c r="D31" s="18">
        <v>9</v>
      </c>
      <c r="E31" s="18">
        <v>15</v>
      </c>
      <c r="F31" s="7" t="s">
        <v>151</v>
      </c>
      <c r="G31" s="18" t="s">
        <v>36</v>
      </c>
      <c r="H31" s="18" t="b">
        <v>1</v>
      </c>
      <c r="I31" s="18" t="s">
        <v>418</v>
      </c>
      <c r="J31" s="18" t="s">
        <v>384</v>
      </c>
      <c r="K31" s="18"/>
      <c r="L31" s="18"/>
      <c r="M31" s="18"/>
      <c r="N31" s="18"/>
      <c r="O31" s="13">
        <f>GET_OK_GROUPS_COUNT(tbHeroEliteEnemy[[#This Row],[Camp]],tbHeroEliteEnemy[[#This Row],[Difficulty]],tbHeroEliteEnemy[[#This Row],[IsBoss]],tbHeroEliteEnemy[[#This Row],[Hero1]:[Soldier3]])</f>
        <v>1</v>
      </c>
      <c r="P31" s="7">
        <v>1</v>
      </c>
      <c r="Q31" s="18"/>
      <c r="R31" s="18" t="s">
        <v>418</v>
      </c>
      <c r="S31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三国-超难-[B]炼英+法英</v>
      </c>
    </row>
    <row r="32" spans="2:19">
      <c r="B32" s="18" t="s">
        <v>1131</v>
      </c>
      <c r="C32" s="35" t="s">
        <v>1302</v>
      </c>
      <c r="D32" s="18">
        <v>1</v>
      </c>
      <c r="E32" s="18">
        <v>5</v>
      </c>
      <c r="F32" s="7" t="s">
        <v>151</v>
      </c>
      <c r="G32" s="16" t="s">
        <v>29</v>
      </c>
      <c r="H32" s="7"/>
      <c r="I32" s="18"/>
      <c r="J32" s="18"/>
      <c r="K32" s="18"/>
      <c r="L32" s="18" t="s">
        <v>26</v>
      </c>
      <c r="M32" s="18"/>
      <c r="N32" s="18"/>
      <c r="O32" s="13">
        <f>GET_OK_GROUPS_COUNT(tbHeroEliteEnemy[[#This Row],[Camp]],tbHeroEliteEnemy[[#This Row],[Difficulty]],tbHeroEliteEnemy[[#This Row],[IsBoss]],tbHeroEliteEnemy[[#This Row],[Hero1]:[Soldier3]])</f>
        <v>3</v>
      </c>
      <c r="P32" s="7">
        <v>1</v>
      </c>
      <c r="Q32" s="18"/>
      <c r="R32" s="18" t="s">
        <v>912</v>
      </c>
      <c r="S3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三国-简单-强兵</v>
      </c>
    </row>
    <row r="33" spans="2:19">
      <c r="B33" s="18" t="s">
        <v>1131</v>
      </c>
      <c r="C33" s="35" t="s">
        <v>1302</v>
      </c>
      <c r="D33" s="18">
        <v>2</v>
      </c>
      <c r="E33" s="18">
        <v>15</v>
      </c>
      <c r="F33" s="7" t="s">
        <v>151</v>
      </c>
      <c r="G33" s="18" t="s">
        <v>29</v>
      </c>
      <c r="H33" s="18"/>
      <c r="I33" s="18"/>
      <c r="J33" s="18"/>
      <c r="K33" s="18"/>
      <c r="L33" s="18" t="s">
        <v>448</v>
      </c>
      <c r="M33" s="18"/>
      <c r="N33" s="18"/>
      <c r="O33" s="13">
        <f>GET_OK_GROUPS_COUNT(tbHeroEliteEnemy[[#This Row],[Camp]],tbHeroEliteEnemy[[#This Row],[Difficulty]],tbHeroEliteEnemy[[#This Row],[IsBoss]],tbHeroEliteEnemy[[#This Row],[Hero1]:[Soldier3]])</f>
        <v>1</v>
      </c>
      <c r="P33" s="7">
        <v>1</v>
      </c>
      <c r="Q33" s="18"/>
      <c r="R33" s="18" t="s">
        <v>912</v>
      </c>
      <c r="S3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34" spans="2:19">
      <c r="B34" s="18" t="s">
        <v>1131</v>
      </c>
      <c r="C34" s="35" t="s">
        <v>1302</v>
      </c>
      <c r="D34" s="18">
        <v>3</v>
      </c>
      <c r="E34" s="18">
        <v>15</v>
      </c>
      <c r="F34" s="7" t="s">
        <v>151</v>
      </c>
      <c r="G34" s="18" t="s">
        <v>35</v>
      </c>
      <c r="H34" s="18"/>
      <c r="I34" s="18" t="s">
        <v>382</v>
      </c>
      <c r="J34" s="18"/>
      <c r="K34" s="18"/>
      <c r="L34" s="18"/>
      <c r="M34" s="18"/>
      <c r="N34" s="18"/>
      <c r="O34" s="13">
        <f>GET_OK_GROUPS_COUNT(tbHeroEliteEnemy[[#This Row],[Camp]],tbHeroEliteEnemy[[#This Row],[Difficulty]],tbHeroEliteEnemy[[#This Row],[IsBoss]],tbHeroEliteEnemy[[#This Row],[Hero1]:[Soldier3]])</f>
        <v>4</v>
      </c>
      <c r="P34" s="7">
        <v>1</v>
      </c>
      <c r="Q34" s="18"/>
      <c r="R34" s="18" t="s">
        <v>912</v>
      </c>
      <c r="S3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35" spans="2:19">
      <c r="B35" s="18" t="s">
        <v>1131</v>
      </c>
      <c r="C35" s="35" t="s">
        <v>1302</v>
      </c>
      <c r="D35" s="18">
        <v>4</v>
      </c>
      <c r="E35" s="18">
        <v>15</v>
      </c>
      <c r="F35" s="7" t="s">
        <v>151</v>
      </c>
      <c r="G35" s="18" t="s">
        <v>33</v>
      </c>
      <c r="H35" s="18"/>
      <c r="I35" s="18" t="s">
        <v>382</v>
      </c>
      <c r="J35" s="18"/>
      <c r="K35" s="18"/>
      <c r="L35" s="18"/>
      <c r="M35" s="18"/>
      <c r="N35" s="18"/>
      <c r="O35" s="13">
        <f>GET_OK_GROUPS_COUNT(tbHeroEliteEnemy[[#This Row],[Camp]],tbHeroEliteEnemy[[#This Row],[Difficulty]],tbHeroEliteEnemy[[#This Row],[IsBoss]],tbHeroEliteEnemy[[#This Row],[Hero1]:[Soldier3]])</f>
        <v>5</v>
      </c>
      <c r="P35" s="7">
        <v>1</v>
      </c>
      <c r="Q35" s="18"/>
      <c r="R35" s="18" t="s">
        <v>912</v>
      </c>
      <c r="S3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36" spans="2:19">
      <c r="B36" s="18" t="s">
        <v>1131</v>
      </c>
      <c r="C36" s="35" t="s">
        <v>1302</v>
      </c>
      <c r="D36" s="18">
        <v>5</v>
      </c>
      <c r="E36" s="18">
        <v>15</v>
      </c>
      <c r="F36" s="7" t="s">
        <v>151</v>
      </c>
      <c r="G36" s="18" t="s">
        <v>35</v>
      </c>
      <c r="H36" s="18"/>
      <c r="I36" s="18" t="s">
        <v>385</v>
      </c>
      <c r="J36" s="18"/>
      <c r="K36" s="18"/>
      <c r="L36" s="18"/>
      <c r="M36" s="18"/>
      <c r="N36" s="18"/>
      <c r="O36" s="13">
        <f>GET_OK_GROUPS_COUNT(tbHeroEliteEnemy[[#This Row],[Camp]],tbHeroEliteEnemy[[#This Row],[Difficulty]],tbHeroEliteEnemy[[#This Row],[IsBoss]],tbHeroEliteEnemy[[#This Row],[Hero1]:[Soldier3]])</f>
        <v>3</v>
      </c>
      <c r="P36" s="7">
        <v>2</v>
      </c>
      <c r="Q36" s="18"/>
      <c r="R36" s="18" t="s">
        <v>912</v>
      </c>
      <c r="S3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三国-困难-刺英+盾兵</v>
      </c>
    </row>
    <row r="37" spans="2:19">
      <c r="B37" s="18" t="s">
        <v>1131</v>
      </c>
      <c r="C37" s="35" t="s">
        <v>1302</v>
      </c>
      <c r="D37" s="18">
        <v>6</v>
      </c>
      <c r="E37" s="18">
        <v>15</v>
      </c>
      <c r="F37" s="7" t="s">
        <v>151</v>
      </c>
      <c r="G37" s="18" t="s">
        <v>33</v>
      </c>
      <c r="H37" s="18"/>
      <c r="I37" s="18" t="s">
        <v>380</v>
      </c>
      <c r="J37" s="18"/>
      <c r="K37" s="18"/>
      <c r="L37" s="18"/>
      <c r="M37" s="18"/>
      <c r="N37" s="18"/>
      <c r="O37" s="13">
        <f>GET_OK_GROUPS_COUNT(tbHeroEliteEnemy[[#This Row],[Camp]],tbHeroEliteEnemy[[#This Row],[Difficulty]],tbHeroEliteEnemy[[#This Row],[IsBoss]],tbHeroEliteEnemy[[#This Row],[Hero1]:[Soldier3]])</f>
        <v>5</v>
      </c>
      <c r="P37" s="7">
        <v>2</v>
      </c>
      <c r="Q37" s="18"/>
      <c r="R37" s="18" t="s">
        <v>912</v>
      </c>
      <c r="S3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三国-普通-盾英+强兵</v>
      </c>
    </row>
    <row r="38" spans="2:19">
      <c r="B38" s="18" t="s">
        <v>1131</v>
      </c>
      <c r="C38" s="35" t="s">
        <v>1302</v>
      </c>
      <c r="D38" s="18">
        <v>7</v>
      </c>
      <c r="E38" s="18">
        <v>15</v>
      </c>
      <c r="F38" s="7" t="s">
        <v>151</v>
      </c>
      <c r="G38" s="18" t="s">
        <v>33</v>
      </c>
      <c r="H38" s="18"/>
      <c r="I38" s="18" t="s">
        <v>382</v>
      </c>
      <c r="J38" s="18"/>
      <c r="K38" s="18"/>
      <c r="L38" s="18"/>
      <c r="M38" s="18"/>
      <c r="N38" s="18"/>
      <c r="O38" s="13">
        <f>GET_OK_GROUPS_COUNT(tbHeroEliteEnemy[[#This Row],[Camp]],tbHeroEliteEnemy[[#This Row],[Difficulty]],tbHeroEliteEnemy[[#This Row],[IsBoss]],tbHeroEliteEnemy[[#This Row],[Hero1]:[Soldier3]])</f>
        <v>5</v>
      </c>
      <c r="P38" s="7">
        <v>1</v>
      </c>
      <c r="Q38" s="18"/>
      <c r="R38" s="18" t="s">
        <v>912</v>
      </c>
      <c r="S3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39" spans="2:19">
      <c r="B39" s="18" t="s">
        <v>1131</v>
      </c>
      <c r="C39" s="35" t="s">
        <v>1302</v>
      </c>
      <c r="D39" s="18">
        <v>8</v>
      </c>
      <c r="E39" s="18">
        <v>15</v>
      </c>
      <c r="F39" s="7" t="s">
        <v>151</v>
      </c>
      <c r="G39" s="18" t="s">
        <v>35</v>
      </c>
      <c r="H39" s="18"/>
      <c r="I39" s="18" t="s">
        <v>382</v>
      </c>
      <c r="J39" s="18"/>
      <c r="K39" s="18"/>
      <c r="L39" s="18"/>
      <c r="M39" s="18"/>
      <c r="N39" s="18"/>
      <c r="O39" s="13">
        <f>GET_OK_GROUPS_COUNT(tbHeroEliteEnemy[[#This Row],[Camp]],tbHeroEliteEnemy[[#This Row],[Difficulty]],tbHeroEliteEnemy[[#This Row],[IsBoss]],tbHeroEliteEnemy[[#This Row],[Hero1]:[Soldier3]])</f>
        <v>4</v>
      </c>
      <c r="P39" s="7">
        <v>2</v>
      </c>
      <c r="Q39" s="18"/>
      <c r="R39" s="18" t="s">
        <v>912</v>
      </c>
      <c r="S3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三国-困难-铁英+炼兵</v>
      </c>
    </row>
    <row r="40" spans="2:19">
      <c r="B40" s="18" t="s">
        <v>1131</v>
      </c>
      <c r="C40" s="35" t="s">
        <v>1302</v>
      </c>
      <c r="D40" s="18">
        <v>9</v>
      </c>
      <c r="E40" s="18">
        <v>15</v>
      </c>
      <c r="F40" s="7" t="s">
        <v>151</v>
      </c>
      <c r="G40" s="18" t="s">
        <v>36</v>
      </c>
      <c r="H40" s="18" t="b">
        <v>1</v>
      </c>
      <c r="I40" s="18" t="s">
        <v>419</v>
      </c>
      <c r="J40" s="18" t="s">
        <v>381</v>
      </c>
      <c r="K40" s="18"/>
      <c r="L40" s="18"/>
      <c r="M40" s="18"/>
      <c r="N40" s="18"/>
      <c r="O40" s="13">
        <f>GET_OK_GROUPS_COUNT(tbHeroEliteEnemy[[#This Row],[Camp]],tbHeroEliteEnemy[[#This Row],[Difficulty]],tbHeroEliteEnemy[[#This Row],[IsBoss]],tbHeroEliteEnemy[[#This Row],[Hero1]:[Soldier3]])</f>
        <v>1</v>
      </c>
      <c r="P40" s="7">
        <v>1</v>
      </c>
      <c r="Q40" s="18"/>
      <c r="R40" s="18" t="s">
        <v>419</v>
      </c>
      <c r="S40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三国-超难-[B]强英+强英</v>
      </c>
    </row>
    <row r="41" spans="2:19">
      <c r="B41" s="18" t="s">
        <v>1132</v>
      </c>
      <c r="C41" s="35" t="s">
        <v>1302</v>
      </c>
      <c r="D41" s="18">
        <v>1</v>
      </c>
      <c r="E41" s="18">
        <v>5</v>
      </c>
      <c r="F41" s="7" t="s">
        <v>151</v>
      </c>
      <c r="G41" s="16" t="s">
        <v>29</v>
      </c>
      <c r="H41" s="7"/>
      <c r="I41" s="18"/>
      <c r="J41" s="18"/>
      <c r="K41" s="18"/>
      <c r="L41" s="18" t="s">
        <v>28</v>
      </c>
      <c r="M41" s="18"/>
      <c r="N41" s="18"/>
      <c r="O41" s="13">
        <f>GET_OK_GROUPS_COUNT(tbHeroEliteEnemy[[#This Row],[Camp]],tbHeroEliteEnemy[[#This Row],[Difficulty]],tbHeroEliteEnemy[[#This Row],[IsBoss]],tbHeroEliteEnemy[[#This Row],[Hero1]:[Soldier3]])</f>
        <v>3</v>
      </c>
      <c r="P41" s="7">
        <v>2</v>
      </c>
      <c r="Q41" s="18"/>
      <c r="R41" s="18" t="s">
        <v>912</v>
      </c>
      <c r="S4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42" spans="2:19">
      <c r="B42" s="18" t="s">
        <v>1132</v>
      </c>
      <c r="C42" s="35" t="s">
        <v>1302</v>
      </c>
      <c r="D42" s="18">
        <v>2</v>
      </c>
      <c r="E42" s="18">
        <v>15</v>
      </c>
      <c r="F42" s="7" t="s">
        <v>151</v>
      </c>
      <c r="G42" s="18" t="s">
        <v>29</v>
      </c>
      <c r="H42" s="18"/>
      <c r="I42" s="18"/>
      <c r="J42" s="18"/>
      <c r="K42" s="18"/>
      <c r="L42" s="18" t="s">
        <v>28</v>
      </c>
      <c r="M42" s="18"/>
      <c r="N42" s="18"/>
      <c r="O42" s="13">
        <f>GET_OK_GROUPS_COUNT(tbHeroEliteEnemy[[#This Row],[Camp]],tbHeroEliteEnemy[[#This Row],[Difficulty]],tbHeroEliteEnemy[[#This Row],[IsBoss]],tbHeroEliteEnemy[[#This Row],[Hero1]:[Soldier3]])</f>
        <v>3</v>
      </c>
      <c r="P42" s="7">
        <v>1</v>
      </c>
      <c r="Q42" s="18"/>
      <c r="R42" s="18" t="s">
        <v>912</v>
      </c>
      <c r="S4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三国-简单-法兵</v>
      </c>
    </row>
    <row r="43" spans="2:19">
      <c r="B43" s="18" t="s">
        <v>1132</v>
      </c>
      <c r="C43" s="35" t="s">
        <v>1302</v>
      </c>
      <c r="D43" s="18">
        <v>3</v>
      </c>
      <c r="E43" s="18">
        <v>15</v>
      </c>
      <c r="F43" s="7" t="s">
        <v>151</v>
      </c>
      <c r="G43" s="18" t="s">
        <v>35</v>
      </c>
      <c r="H43" s="18"/>
      <c r="I43" s="18" t="s">
        <v>382</v>
      </c>
      <c r="J43" s="18"/>
      <c r="K43" s="18"/>
      <c r="L43" s="18"/>
      <c r="M43" s="18"/>
      <c r="N43" s="18"/>
      <c r="O43" s="13">
        <f>GET_OK_GROUPS_COUNT(tbHeroEliteEnemy[[#This Row],[Camp]],tbHeroEliteEnemy[[#This Row],[Difficulty]],tbHeroEliteEnemy[[#This Row],[IsBoss]],tbHeroEliteEnemy[[#This Row],[Hero1]:[Soldier3]])</f>
        <v>4</v>
      </c>
      <c r="P43" s="7">
        <v>2</v>
      </c>
      <c r="Q43" s="18"/>
      <c r="R43" s="18" t="s">
        <v>912</v>
      </c>
      <c r="S4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三国-困难-铁英+炼兵</v>
      </c>
    </row>
    <row r="44" spans="2:19">
      <c r="B44" s="18" t="s">
        <v>1132</v>
      </c>
      <c r="C44" s="35" t="s">
        <v>1302</v>
      </c>
      <c r="D44" s="18">
        <v>4</v>
      </c>
      <c r="E44" s="18">
        <v>15</v>
      </c>
      <c r="F44" s="7" t="s">
        <v>151</v>
      </c>
      <c r="G44" s="18" t="s">
        <v>33</v>
      </c>
      <c r="H44" s="18"/>
      <c r="I44" s="18" t="s">
        <v>380</v>
      </c>
      <c r="J44" s="18"/>
      <c r="K44" s="18"/>
      <c r="L44" s="18"/>
      <c r="M44" s="18"/>
      <c r="N44" s="18"/>
      <c r="O44" s="13">
        <f>GET_OK_GROUPS_COUNT(tbHeroEliteEnemy[[#This Row],[Camp]],tbHeroEliteEnemy[[#This Row],[Difficulty]],tbHeroEliteEnemy[[#This Row],[IsBoss]],tbHeroEliteEnemy[[#This Row],[Hero1]:[Soldier3]])</f>
        <v>5</v>
      </c>
      <c r="P44" s="7">
        <v>5</v>
      </c>
      <c r="Q44" s="18"/>
      <c r="R44" s="18" t="s">
        <v>912</v>
      </c>
      <c r="S4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45" spans="2:19">
      <c r="B45" s="18" t="s">
        <v>1132</v>
      </c>
      <c r="C45" s="35" t="s">
        <v>1302</v>
      </c>
      <c r="D45" s="18">
        <v>5</v>
      </c>
      <c r="E45" s="18">
        <v>15</v>
      </c>
      <c r="F45" s="7" t="s">
        <v>151</v>
      </c>
      <c r="G45" s="18" t="s">
        <v>35</v>
      </c>
      <c r="H45" s="18"/>
      <c r="I45" s="18" t="s">
        <v>383</v>
      </c>
      <c r="J45" s="18"/>
      <c r="K45" s="18"/>
      <c r="L45" s="18"/>
      <c r="M45" s="18"/>
      <c r="N45" s="18"/>
      <c r="O45" s="13">
        <f>GET_OK_GROUPS_COUNT(tbHeroEliteEnemy[[#This Row],[Camp]],tbHeroEliteEnemy[[#This Row],[Difficulty]],tbHeroEliteEnemy[[#This Row],[IsBoss]],tbHeroEliteEnemy[[#This Row],[Hero1]:[Soldier3]])</f>
        <v>3</v>
      </c>
      <c r="P45" s="7">
        <v>1</v>
      </c>
      <c r="Q45" s="18"/>
      <c r="R45" s="18" t="s">
        <v>912</v>
      </c>
      <c r="S4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46" spans="2:19">
      <c r="B46" s="18" t="s">
        <v>1132</v>
      </c>
      <c r="C46" s="35" t="s">
        <v>1302</v>
      </c>
      <c r="D46" s="18">
        <v>6</v>
      </c>
      <c r="E46" s="18">
        <v>15</v>
      </c>
      <c r="F46" s="7" t="s">
        <v>151</v>
      </c>
      <c r="G46" s="18" t="s">
        <v>33</v>
      </c>
      <c r="H46" s="18"/>
      <c r="I46" s="18" t="s">
        <v>383</v>
      </c>
      <c r="J46" s="18"/>
      <c r="K46" s="18"/>
      <c r="L46" s="18"/>
      <c r="M46" s="18"/>
      <c r="N46" s="18"/>
      <c r="O46" s="13">
        <f>GET_OK_GROUPS_COUNT(tbHeroEliteEnemy[[#This Row],[Camp]],tbHeroEliteEnemy[[#This Row],[Difficulty]],tbHeroEliteEnemy[[#This Row],[IsBoss]],tbHeroEliteEnemy[[#This Row],[Hero1]:[Soldier3]])</f>
        <v>4</v>
      </c>
      <c r="P46" s="7">
        <v>1</v>
      </c>
      <c r="Q46" s="18"/>
      <c r="R46" s="18" t="s">
        <v>912</v>
      </c>
      <c r="S4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</v>
      </c>
    </row>
    <row r="47" spans="2:19">
      <c r="B47" s="18" t="s">
        <v>1132</v>
      </c>
      <c r="C47" s="35" t="s">
        <v>1302</v>
      </c>
      <c r="D47" s="18">
        <v>7</v>
      </c>
      <c r="E47" s="18">
        <v>15</v>
      </c>
      <c r="F47" s="7" t="s">
        <v>151</v>
      </c>
      <c r="G47" s="18" t="s">
        <v>33</v>
      </c>
      <c r="H47" s="18"/>
      <c r="I47" s="18" t="s">
        <v>383</v>
      </c>
      <c r="J47" s="18"/>
      <c r="K47" s="18"/>
      <c r="L47" s="18"/>
      <c r="M47" s="18"/>
      <c r="N47" s="18"/>
      <c r="O47" s="13">
        <f>GET_OK_GROUPS_COUNT(tbHeroEliteEnemy[[#This Row],[Camp]],tbHeroEliteEnemy[[#This Row],[Difficulty]],tbHeroEliteEnemy[[#This Row],[IsBoss]],tbHeroEliteEnemy[[#This Row],[Hero1]:[Soldier3]])</f>
        <v>4</v>
      </c>
      <c r="P47" s="7">
        <v>2</v>
      </c>
      <c r="Q47" s="18"/>
      <c r="R47" s="18" t="s">
        <v>912</v>
      </c>
      <c r="S4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三国-普通-炼英+铁兵</v>
      </c>
    </row>
    <row r="48" spans="2:19">
      <c r="B48" s="18" t="s">
        <v>1132</v>
      </c>
      <c r="C48" s="35" t="s">
        <v>1302</v>
      </c>
      <c r="D48" s="18">
        <v>8</v>
      </c>
      <c r="E48" s="18">
        <v>15</v>
      </c>
      <c r="F48" s="7" t="s">
        <v>151</v>
      </c>
      <c r="G48" s="18" t="s">
        <v>35</v>
      </c>
      <c r="H48" s="18"/>
      <c r="I48" s="18" t="s">
        <v>383</v>
      </c>
      <c r="J48" s="18"/>
      <c r="K48" s="18"/>
      <c r="L48" s="18"/>
      <c r="M48" s="18"/>
      <c r="N48" s="18"/>
      <c r="O48" s="13">
        <f>GET_OK_GROUPS_COUNT(tbHeroEliteEnemy[[#This Row],[Camp]],tbHeroEliteEnemy[[#This Row],[Difficulty]],tbHeroEliteEnemy[[#This Row],[IsBoss]],tbHeroEliteEnemy[[#This Row],[Hero1]:[Soldier3]])</f>
        <v>3</v>
      </c>
      <c r="P48" s="7">
        <v>2</v>
      </c>
      <c r="Q48" s="18"/>
      <c r="R48" s="18" t="s">
        <v>912</v>
      </c>
      <c r="S4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三国-困难-炼英+盾兵</v>
      </c>
    </row>
    <row r="49" spans="2:19">
      <c r="B49" s="18" t="s">
        <v>1132</v>
      </c>
      <c r="C49" s="35" t="s">
        <v>1302</v>
      </c>
      <c r="D49" s="18">
        <v>9</v>
      </c>
      <c r="E49" s="18">
        <v>15</v>
      </c>
      <c r="F49" s="7" t="s">
        <v>151</v>
      </c>
      <c r="G49" s="18" t="s">
        <v>36</v>
      </c>
      <c r="H49" s="18" t="b">
        <v>1</v>
      </c>
      <c r="I49" s="18" t="s">
        <v>420</v>
      </c>
      <c r="J49" s="18" t="s">
        <v>383</v>
      </c>
      <c r="K49" s="18"/>
      <c r="L49" s="18"/>
      <c r="M49" s="18"/>
      <c r="N49" s="18"/>
      <c r="O49" s="13">
        <f>GET_OK_GROUPS_COUNT(tbHeroEliteEnemy[[#This Row],[Camp]],tbHeroEliteEnemy[[#This Row],[Difficulty]],tbHeroEliteEnemy[[#This Row],[IsBoss]],tbHeroEliteEnemy[[#This Row],[Hero1]:[Soldier3]])</f>
        <v>1</v>
      </c>
      <c r="P49" s="7">
        <v>1</v>
      </c>
      <c r="Q49" s="18"/>
      <c r="R49" s="18" t="s">
        <v>420</v>
      </c>
      <c r="S49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三国-超难-[B]炼英+法英</v>
      </c>
    </row>
    <row r="50" spans="2:19">
      <c r="B50" s="18" t="s">
        <v>1133</v>
      </c>
      <c r="C50" s="35" t="s">
        <v>1302</v>
      </c>
      <c r="D50" s="18">
        <v>1</v>
      </c>
      <c r="E50" s="18">
        <v>5</v>
      </c>
      <c r="F50" s="7" t="s">
        <v>151</v>
      </c>
      <c r="G50" s="16" t="s">
        <v>29</v>
      </c>
      <c r="H50" s="7"/>
      <c r="I50" s="18"/>
      <c r="J50" s="18"/>
      <c r="K50" s="18"/>
      <c r="L50" s="18" t="s">
        <v>25</v>
      </c>
      <c r="M50" s="18"/>
      <c r="N50" s="18"/>
      <c r="O50" s="13">
        <f>GET_OK_GROUPS_COUNT(tbHeroEliteEnemy[[#This Row],[Camp]],tbHeroEliteEnemy[[#This Row],[Difficulty]],tbHeroEliteEnemy[[#This Row],[IsBoss]],tbHeroEliteEnemy[[#This Row],[Hero1]:[Soldier3]])</f>
        <v>4</v>
      </c>
      <c r="P50" s="7">
        <v>4</v>
      </c>
      <c r="Q50" s="18"/>
      <c r="R50" s="18" t="s">
        <v>912</v>
      </c>
      <c r="S5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51" spans="2:19">
      <c r="B51" s="18" t="s">
        <v>1133</v>
      </c>
      <c r="C51" s="35" t="s">
        <v>1302</v>
      </c>
      <c r="D51" s="18">
        <v>2</v>
      </c>
      <c r="E51" s="18">
        <v>15</v>
      </c>
      <c r="F51" s="7" t="s">
        <v>151</v>
      </c>
      <c r="G51" s="18" t="s">
        <v>29</v>
      </c>
      <c r="H51" s="18"/>
      <c r="I51" s="18"/>
      <c r="J51" s="18"/>
      <c r="K51" s="18"/>
      <c r="L51" s="18" t="s">
        <v>448</v>
      </c>
      <c r="M51" s="18"/>
      <c r="N51" s="18"/>
      <c r="O51" s="13">
        <f>GET_OK_GROUPS_COUNT(tbHeroEliteEnemy[[#This Row],[Camp]],tbHeroEliteEnemy[[#This Row],[Difficulty]],tbHeroEliteEnemy[[#This Row],[IsBoss]],tbHeroEliteEnemy[[#This Row],[Hero1]:[Soldier3]])</f>
        <v>1</v>
      </c>
      <c r="P51" s="7">
        <v>1</v>
      </c>
      <c r="Q51" s="18"/>
      <c r="R51" s="18" t="s">
        <v>912</v>
      </c>
      <c r="S5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52" spans="2:19">
      <c r="B52" s="18" t="s">
        <v>1133</v>
      </c>
      <c r="C52" s="35" t="s">
        <v>1302</v>
      </c>
      <c r="D52" s="18">
        <v>3</v>
      </c>
      <c r="E52" s="18">
        <v>15</v>
      </c>
      <c r="F52" s="7" t="s">
        <v>151</v>
      </c>
      <c r="G52" s="18" t="s">
        <v>35</v>
      </c>
      <c r="H52" s="18"/>
      <c r="I52" s="18" t="s">
        <v>382</v>
      </c>
      <c r="J52" s="18"/>
      <c r="K52" s="18"/>
      <c r="L52" s="18"/>
      <c r="M52" s="18"/>
      <c r="N52" s="18"/>
      <c r="O52" s="13">
        <f>GET_OK_GROUPS_COUNT(tbHeroEliteEnemy[[#This Row],[Camp]],tbHeroEliteEnemy[[#This Row],[Difficulty]],tbHeroEliteEnemy[[#This Row],[IsBoss]],tbHeroEliteEnemy[[#This Row],[Hero1]:[Soldier3]])</f>
        <v>4</v>
      </c>
      <c r="P52" s="7">
        <v>4</v>
      </c>
      <c r="Q52" s="18"/>
      <c r="R52" s="18" t="s">
        <v>912</v>
      </c>
      <c r="S5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三国-困难-铁英+刺兵</v>
      </c>
    </row>
    <row r="53" spans="2:19">
      <c r="B53" s="18" t="s">
        <v>1133</v>
      </c>
      <c r="C53" s="35" t="s">
        <v>1302</v>
      </c>
      <c r="D53" s="18">
        <v>4</v>
      </c>
      <c r="E53" s="18">
        <v>15</v>
      </c>
      <c r="F53" s="7" t="s">
        <v>151</v>
      </c>
      <c r="G53" s="18" t="s">
        <v>33</v>
      </c>
      <c r="H53" s="18"/>
      <c r="I53" s="18" t="s">
        <v>383</v>
      </c>
      <c r="J53" s="18"/>
      <c r="K53" s="18"/>
      <c r="L53" s="18"/>
      <c r="M53" s="18"/>
      <c r="N53" s="18"/>
      <c r="O53" s="13">
        <f>GET_OK_GROUPS_COUNT(tbHeroEliteEnemy[[#This Row],[Camp]],tbHeroEliteEnemy[[#This Row],[Difficulty]],tbHeroEliteEnemy[[#This Row],[IsBoss]],tbHeroEliteEnemy[[#This Row],[Hero1]:[Soldier3]])</f>
        <v>4</v>
      </c>
      <c r="P53" s="7">
        <v>3</v>
      </c>
      <c r="Q53" s="18"/>
      <c r="R53" s="18" t="s">
        <v>912</v>
      </c>
      <c r="S5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三国-普通-炼英+盾兵</v>
      </c>
    </row>
    <row r="54" spans="2:19">
      <c r="B54" s="18" t="s">
        <v>1133</v>
      </c>
      <c r="C54" s="35" t="s">
        <v>1302</v>
      </c>
      <c r="D54" s="18">
        <v>5</v>
      </c>
      <c r="E54" s="18">
        <v>15</v>
      </c>
      <c r="F54" s="7" t="s">
        <v>151</v>
      </c>
      <c r="G54" s="18" t="s">
        <v>35</v>
      </c>
      <c r="H54" s="18"/>
      <c r="I54" s="18" t="s">
        <v>380</v>
      </c>
      <c r="J54" s="18"/>
      <c r="K54" s="18"/>
      <c r="L54" s="18"/>
      <c r="M54" s="18"/>
      <c r="N54" s="18"/>
      <c r="O54" s="13">
        <f>GET_OK_GROUPS_COUNT(tbHeroEliteEnemy[[#This Row],[Camp]],tbHeroEliteEnemy[[#This Row],[Difficulty]],tbHeroEliteEnemy[[#This Row],[IsBoss]],tbHeroEliteEnemy[[#This Row],[Hero1]:[Soldier3]])</f>
        <v>4</v>
      </c>
      <c r="P54" s="7">
        <v>1</v>
      </c>
      <c r="Q54" s="18"/>
      <c r="R54" s="18" t="s">
        <v>912</v>
      </c>
      <c r="S5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55" spans="2:19">
      <c r="B55" s="18" t="s">
        <v>1133</v>
      </c>
      <c r="C55" s="35" t="s">
        <v>1302</v>
      </c>
      <c r="D55" s="18">
        <v>6</v>
      </c>
      <c r="E55" s="18">
        <v>15</v>
      </c>
      <c r="F55" s="7" t="s">
        <v>151</v>
      </c>
      <c r="G55" s="18" t="s">
        <v>33</v>
      </c>
      <c r="H55" s="18"/>
      <c r="I55" s="18" t="s">
        <v>380</v>
      </c>
      <c r="J55" s="18"/>
      <c r="K55" s="18"/>
      <c r="L55" s="18"/>
      <c r="M55" s="18"/>
      <c r="N55" s="18"/>
      <c r="O55" s="13">
        <f>GET_OK_GROUPS_COUNT(tbHeroEliteEnemy[[#This Row],[Camp]],tbHeroEliteEnemy[[#This Row],[Difficulty]],tbHeroEliteEnemy[[#This Row],[IsBoss]],tbHeroEliteEnemy[[#This Row],[Hero1]:[Soldier3]])</f>
        <v>5</v>
      </c>
      <c r="P55" s="7">
        <v>1</v>
      </c>
      <c r="Q55" s="18"/>
      <c r="R55" s="18" t="s">
        <v>912</v>
      </c>
      <c r="S5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56" spans="2:19">
      <c r="B56" s="18" t="s">
        <v>1133</v>
      </c>
      <c r="C56" s="35" t="s">
        <v>1302</v>
      </c>
      <c r="D56" s="18">
        <v>7</v>
      </c>
      <c r="E56" s="18">
        <v>15</v>
      </c>
      <c r="F56" s="7" t="s">
        <v>151</v>
      </c>
      <c r="G56" s="18" t="s">
        <v>33</v>
      </c>
      <c r="H56" s="18"/>
      <c r="I56" s="18" t="s">
        <v>382</v>
      </c>
      <c r="J56" s="18"/>
      <c r="K56" s="18"/>
      <c r="L56" s="18"/>
      <c r="M56" s="18"/>
      <c r="N56" s="18"/>
      <c r="O56" s="13">
        <f>GET_OK_GROUPS_COUNT(tbHeroEliteEnemy[[#This Row],[Camp]],tbHeroEliteEnemy[[#This Row],[Difficulty]],tbHeroEliteEnemy[[#This Row],[IsBoss]],tbHeroEliteEnemy[[#This Row],[Hero1]:[Soldier3]])</f>
        <v>5</v>
      </c>
      <c r="P56" s="7">
        <v>5</v>
      </c>
      <c r="Q56" s="18"/>
      <c r="R56" s="18" t="s">
        <v>912</v>
      </c>
      <c r="S5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三国-普通-铁英+刺兵</v>
      </c>
    </row>
    <row r="57" spans="2:19">
      <c r="B57" s="18" t="s">
        <v>1133</v>
      </c>
      <c r="C57" s="35" t="s">
        <v>1302</v>
      </c>
      <c r="D57" s="18">
        <v>8</v>
      </c>
      <c r="E57" s="18">
        <v>15</v>
      </c>
      <c r="F57" s="7" t="s">
        <v>151</v>
      </c>
      <c r="G57" s="18" t="s">
        <v>35</v>
      </c>
      <c r="H57" s="18"/>
      <c r="I57" s="18" t="s">
        <v>383</v>
      </c>
      <c r="J57" s="18"/>
      <c r="K57" s="18"/>
      <c r="L57" s="18"/>
      <c r="M57" s="18"/>
      <c r="N57" s="18"/>
      <c r="O57" s="13">
        <f>GET_OK_GROUPS_COUNT(tbHeroEliteEnemy[[#This Row],[Camp]],tbHeroEliteEnemy[[#This Row],[Difficulty]],tbHeroEliteEnemy[[#This Row],[IsBoss]],tbHeroEliteEnemy[[#This Row],[Hero1]:[Soldier3]])</f>
        <v>3</v>
      </c>
      <c r="P57" s="7">
        <v>1</v>
      </c>
      <c r="Q57" s="18"/>
      <c r="R57" s="18" t="s">
        <v>912</v>
      </c>
      <c r="S5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58" spans="2:19">
      <c r="B58" s="18" t="s">
        <v>1133</v>
      </c>
      <c r="C58" s="35" t="s">
        <v>1302</v>
      </c>
      <c r="D58" s="18">
        <v>9</v>
      </c>
      <c r="E58" s="18">
        <v>15</v>
      </c>
      <c r="F58" s="7" t="s">
        <v>151</v>
      </c>
      <c r="G58" s="18" t="s">
        <v>36</v>
      </c>
      <c r="H58" s="18" t="b">
        <v>1</v>
      </c>
      <c r="I58" s="18" t="s">
        <v>421</v>
      </c>
      <c r="J58" s="18" t="s">
        <v>384</v>
      </c>
      <c r="K58" s="18"/>
      <c r="L58" s="18"/>
      <c r="M58" s="18"/>
      <c r="N58" s="18"/>
      <c r="O58" s="13">
        <f>GET_OK_GROUPS_COUNT(tbHeroEliteEnemy[[#This Row],[Camp]],tbHeroEliteEnemy[[#This Row],[Difficulty]],tbHeroEliteEnemy[[#This Row],[IsBoss]],tbHeroEliteEnemy[[#This Row],[Hero1]:[Soldier3]])</f>
        <v>1</v>
      </c>
      <c r="P58" s="7">
        <v>1</v>
      </c>
      <c r="Q58" s="18"/>
      <c r="R58" s="18" t="s">
        <v>421</v>
      </c>
      <c r="S58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三国-超难-[B]法英+刺英</v>
      </c>
    </row>
    <row r="59" spans="2:19">
      <c r="B59" s="18" t="s">
        <v>1134</v>
      </c>
      <c r="C59" s="35" t="s">
        <v>1302</v>
      </c>
      <c r="D59" s="18">
        <v>1</v>
      </c>
      <c r="E59" s="18">
        <v>5</v>
      </c>
      <c r="F59" s="7" t="s">
        <v>151</v>
      </c>
      <c r="G59" s="16" t="s">
        <v>29</v>
      </c>
      <c r="H59" s="7"/>
      <c r="I59" s="18"/>
      <c r="J59" s="18"/>
      <c r="K59" s="18"/>
      <c r="L59" s="18" t="s">
        <v>447</v>
      </c>
      <c r="M59" s="18"/>
      <c r="N59" s="18"/>
      <c r="O59" s="13">
        <f>GET_OK_GROUPS_COUNT(tbHeroEliteEnemy[[#This Row],[Camp]],tbHeroEliteEnemy[[#This Row],[Difficulty]],tbHeroEliteEnemy[[#This Row],[IsBoss]],tbHeroEliteEnemy[[#This Row],[Hero1]:[Soldier3]])</f>
        <v>3</v>
      </c>
      <c r="P59" s="7">
        <v>2</v>
      </c>
      <c r="Q59" s="18"/>
      <c r="R59" s="18" t="s">
        <v>912</v>
      </c>
      <c r="S5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三国-简单-铁兵+炼兵</v>
      </c>
    </row>
    <row r="60" spans="2:19">
      <c r="B60" s="18" t="s">
        <v>1134</v>
      </c>
      <c r="C60" s="35" t="s">
        <v>1302</v>
      </c>
      <c r="D60" s="18">
        <v>2</v>
      </c>
      <c r="E60" s="18">
        <v>15</v>
      </c>
      <c r="F60" s="7" t="s">
        <v>151</v>
      </c>
      <c r="G60" s="18" t="s">
        <v>29</v>
      </c>
      <c r="H60" s="18"/>
      <c r="I60" s="18"/>
      <c r="J60" s="18"/>
      <c r="K60" s="18"/>
      <c r="L60" s="18" t="s">
        <v>34</v>
      </c>
      <c r="M60" s="18"/>
      <c r="N60" s="18"/>
      <c r="O60" s="13">
        <f>GET_OK_GROUPS_COUNT(tbHeroEliteEnemy[[#This Row],[Camp]],tbHeroEliteEnemy[[#This Row],[Difficulty]],tbHeroEliteEnemy[[#This Row],[IsBoss]],tbHeroEliteEnemy[[#This Row],[Hero1]:[Soldier3]])</f>
        <v>4</v>
      </c>
      <c r="P60" s="7">
        <v>3</v>
      </c>
      <c r="Q60" s="18"/>
      <c r="R60" s="18" t="s">
        <v>912</v>
      </c>
      <c r="S6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三国-简单-盾兵+强兵</v>
      </c>
    </row>
    <row r="61" spans="2:19">
      <c r="B61" s="18" t="s">
        <v>1134</v>
      </c>
      <c r="C61" s="35" t="s">
        <v>1302</v>
      </c>
      <c r="D61" s="18">
        <v>3</v>
      </c>
      <c r="E61" s="18">
        <v>15</v>
      </c>
      <c r="F61" s="7" t="s">
        <v>151</v>
      </c>
      <c r="G61" s="18" t="s">
        <v>35</v>
      </c>
      <c r="H61" s="18"/>
      <c r="I61" s="18" t="s">
        <v>384</v>
      </c>
      <c r="J61" s="18"/>
      <c r="K61" s="18"/>
      <c r="L61" s="18"/>
      <c r="M61" s="18"/>
      <c r="N61" s="18"/>
      <c r="O61" s="13">
        <f>GET_OK_GROUPS_COUNT(tbHeroEliteEnemy[[#This Row],[Camp]],tbHeroEliteEnemy[[#This Row],[Difficulty]],tbHeroEliteEnemy[[#This Row],[IsBoss]],tbHeroEliteEnemy[[#This Row],[Hero1]:[Soldier3]])</f>
        <v>3</v>
      </c>
      <c r="P61" s="7">
        <v>3</v>
      </c>
      <c r="Q61" s="18"/>
      <c r="R61" s="18" t="s">
        <v>912</v>
      </c>
      <c r="S6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62" spans="2:19">
      <c r="B62" s="18" t="s">
        <v>1134</v>
      </c>
      <c r="C62" s="35" t="s">
        <v>1302</v>
      </c>
      <c r="D62" s="18">
        <v>4</v>
      </c>
      <c r="E62" s="18">
        <v>15</v>
      </c>
      <c r="F62" s="7" t="s">
        <v>151</v>
      </c>
      <c r="G62" s="18" t="s">
        <v>33</v>
      </c>
      <c r="H62" s="18"/>
      <c r="I62" s="18" t="s">
        <v>384</v>
      </c>
      <c r="J62" s="18"/>
      <c r="K62" s="18"/>
      <c r="L62" s="18"/>
      <c r="M62" s="18"/>
      <c r="N62" s="18"/>
      <c r="O62" s="13">
        <f>GET_OK_GROUPS_COUNT(tbHeroEliteEnemy[[#This Row],[Camp]],tbHeroEliteEnemy[[#This Row],[Difficulty]],tbHeroEliteEnemy[[#This Row],[IsBoss]],tbHeroEliteEnemy[[#This Row],[Hero1]:[Soldier3]])</f>
        <v>4</v>
      </c>
      <c r="P62" s="7">
        <v>1</v>
      </c>
      <c r="Q62" s="18"/>
      <c r="R62" s="18" t="s">
        <v>912</v>
      </c>
      <c r="S6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</v>
      </c>
    </row>
    <row r="63" spans="2:19">
      <c r="B63" s="18" t="s">
        <v>1134</v>
      </c>
      <c r="C63" s="35" t="s">
        <v>1302</v>
      </c>
      <c r="D63" s="18">
        <v>5</v>
      </c>
      <c r="E63" s="18">
        <v>15</v>
      </c>
      <c r="F63" s="7" t="s">
        <v>151</v>
      </c>
      <c r="G63" s="18" t="s">
        <v>35</v>
      </c>
      <c r="H63" s="18"/>
      <c r="I63" s="18" t="s">
        <v>383</v>
      </c>
      <c r="J63" s="18"/>
      <c r="K63" s="18"/>
      <c r="L63" s="18"/>
      <c r="M63" s="18"/>
      <c r="N63" s="18"/>
      <c r="O63" s="13">
        <f>GET_OK_GROUPS_COUNT(tbHeroEliteEnemy[[#This Row],[Camp]],tbHeroEliteEnemy[[#This Row],[Difficulty]],tbHeroEliteEnemy[[#This Row],[IsBoss]],tbHeroEliteEnemy[[#This Row],[Hero1]:[Soldier3]])</f>
        <v>3</v>
      </c>
      <c r="P63" s="7">
        <v>3</v>
      </c>
      <c r="Q63" s="18"/>
      <c r="R63" s="18" t="s">
        <v>912</v>
      </c>
      <c r="S6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三国-困难-炼英+教徒</v>
      </c>
    </row>
    <row r="64" spans="2:19">
      <c r="B64" s="18" t="s">
        <v>1134</v>
      </c>
      <c r="C64" s="35" t="s">
        <v>1302</v>
      </c>
      <c r="D64" s="18">
        <v>6</v>
      </c>
      <c r="E64" s="18">
        <v>15</v>
      </c>
      <c r="F64" s="7" t="s">
        <v>151</v>
      </c>
      <c r="G64" s="18" t="s">
        <v>33</v>
      </c>
      <c r="H64" s="18"/>
      <c r="I64" s="18" t="s">
        <v>381</v>
      </c>
      <c r="J64" s="18"/>
      <c r="K64" s="18"/>
      <c r="L64" s="18"/>
      <c r="M64" s="18"/>
      <c r="N64" s="18"/>
      <c r="O64" s="13">
        <f>GET_OK_GROUPS_COUNT(tbHeroEliteEnemy[[#This Row],[Camp]],tbHeroEliteEnemy[[#This Row],[Difficulty]],tbHeroEliteEnemy[[#This Row],[IsBoss]],tbHeroEliteEnemy[[#This Row],[Hero1]:[Soldier3]])</f>
        <v>4</v>
      </c>
      <c r="P64" s="7">
        <v>3</v>
      </c>
      <c r="Q64" s="18"/>
      <c r="R64" s="18" t="s">
        <v>912</v>
      </c>
      <c r="S6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65" spans="2:19">
      <c r="B65" s="18" t="s">
        <v>1134</v>
      </c>
      <c r="C65" s="35" t="s">
        <v>1302</v>
      </c>
      <c r="D65" s="18">
        <v>7</v>
      </c>
      <c r="E65" s="18">
        <v>15</v>
      </c>
      <c r="F65" s="7" t="s">
        <v>151</v>
      </c>
      <c r="G65" s="18" t="s">
        <v>33</v>
      </c>
      <c r="H65" s="18"/>
      <c r="I65" s="18" t="s">
        <v>385</v>
      </c>
      <c r="J65" s="18"/>
      <c r="K65" s="18"/>
      <c r="L65" s="18"/>
      <c r="M65" s="18"/>
      <c r="N65" s="18"/>
      <c r="O65" s="13">
        <f>GET_OK_GROUPS_COUNT(tbHeroEliteEnemy[[#This Row],[Camp]],tbHeroEliteEnemy[[#This Row],[Difficulty]],tbHeroEliteEnemy[[#This Row],[IsBoss]],tbHeroEliteEnemy[[#This Row],[Hero1]:[Soldier3]])</f>
        <v>4</v>
      </c>
      <c r="P65" s="7">
        <v>4</v>
      </c>
      <c r="Q65" s="18"/>
      <c r="R65" s="18" t="s">
        <v>912</v>
      </c>
      <c r="S6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三国-普通-刺英+教徒</v>
      </c>
    </row>
    <row r="66" spans="2:19">
      <c r="B66" s="18" t="s">
        <v>1134</v>
      </c>
      <c r="C66" s="35" t="s">
        <v>1302</v>
      </c>
      <c r="D66" s="18">
        <v>8</v>
      </c>
      <c r="E66" s="18">
        <v>15</v>
      </c>
      <c r="F66" s="7" t="s">
        <v>151</v>
      </c>
      <c r="G66" s="18" t="s">
        <v>35</v>
      </c>
      <c r="H66" s="18"/>
      <c r="I66" s="18" t="s">
        <v>384</v>
      </c>
      <c r="J66" s="18"/>
      <c r="K66" s="18"/>
      <c r="L66" s="18"/>
      <c r="M66" s="18"/>
      <c r="N66" s="18"/>
      <c r="O66" s="13">
        <f>GET_OK_GROUPS_COUNT(tbHeroEliteEnemy[[#This Row],[Camp]],tbHeroEliteEnemy[[#This Row],[Difficulty]],tbHeroEliteEnemy[[#This Row],[IsBoss]],tbHeroEliteEnemy[[#This Row],[Hero1]:[Soldier3]])</f>
        <v>3</v>
      </c>
      <c r="P66" s="7">
        <v>1</v>
      </c>
      <c r="Q66" s="18"/>
      <c r="R66" s="18" t="s">
        <v>912</v>
      </c>
      <c r="S6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67" spans="2:19">
      <c r="B67" s="18" t="s">
        <v>1134</v>
      </c>
      <c r="C67" s="35" t="s">
        <v>1302</v>
      </c>
      <c r="D67" s="18">
        <v>9</v>
      </c>
      <c r="E67" s="18">
        <v>15</v>
      </c>
      <c r="F67" s="7" t="s">
        <v>151</v>
      </c>
      <c r="G67" s="18" t="s">
        <v>36</v>
      </c>
      <c r="H67" s="18" t="b">
        <v>1</v>
      </c>
      <c r="I67" s="18" t="s">
        <v>422</v>
      </c>
      <c r="J67" s="18" t="s">
        <v>384</v>
      </c>
      <c r="K67" s="18"/>
      <c r="L67" s="18"/>
      <c r="M67" s="18"/>
      <c r="N67" s="18"/>
      <c r="O67" s="13">
        <f>GET_OK_GROUPS_COUNT(tbHeroEliteEnemy[[#This Row],[Camp]],tbHeroEliteEnemy[[#This Row],[Difficulty]],tbHeroEliteEnemy[[#This Row],[IsBoss]],tbHeroEliteEnemy[[#This Row],[Hero1]:[Soldier3]])</f>
        <v>1</v>
      </c>
      <c r="P67" s="7">
        <v>1</v>
      </c>
      <c r="Q67" s="18"/>
      <c r="R67" s="18" t="s">
        <v>422</v>
      </c>
      <c r="S67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三国-超难-[B]盾英+法英</v>
      </c>
    </row>
    <row r="68" spans="2:19">
      <c r="B68" s="18" t="s">
        <v>1135</v>
      </c>
      <c r="C68" s="35" t="s">
        <v>1302</v>
      </c>
      <c r="D68" s="18">
        <v>1</v>
      </c>
      <c r="E68" s="18">
        <v>5</v>
      </c>
      <c r="F68" s="7" t="s">
        <v>151</v>
      </c>
      <c r="G68" s="16" t="s">
        <v>29</v>
      </c>
      <c r="H68" s="7"/>
      <c r="I68" s="18"/>
      <c r="J68" s="18"/>
      <c r="K68" s="18"/>
      <c r="L68" s="18" t="s">
        <v>26</v>
      </c>
      <c r="M68" s="18"/>
      <c r="N68" s="18"/>
      <c r="O68" s="13">
        <f>GET_OK_GROUPS_COUNT(tbHeroEliteEnemy[[#This Row],[Camp]],tbHeroEliteEnemy[[#This Row],[Difficulty]],tbHeroEliteEnemy[[#This Row],[IsBoss]],tbHeroEliteEnemy[[#This Row],[Hero1]:[Soldier3]])</f>
        <v>3</v>
      </c>
      <c r="P68" s="7">
        <v>3</v>
      </c>
      <c r="Q68" s="18"/>
      <c r="R68" s="18" t="s">
        <v>912</v>
      </c>
      <c r="S68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三国-简单-盾兵+强兵</v>
      </c>
    </row>
    <row r="69" spans="2:19">
      <c r="B69" s="18" t="s">
        <v>1135</v>
      </c>
      <c r="C69" s="35" t="s">
        <v>1302</v>
      </c>
      <c r="D69" s="18">
        <v>2</v>
      </c>
      <c r="E69" s="18">
        <v>15</v>
      </c>
      <c r="F69" s="7" t="s">
        <v>151</v>
      </c>
      <c r="G69" s="18" t="s">
        <v>29</v>
      </c>
      <c r="H69" s="18"/>
      <c r="I69" s="18"/>
      <c r="J69" s="18"/>
      <c r="K69" s="18"/>
      <c r="L69" s="18" t="s">
        <v>49</v>
      </c>
      <c r="M69" s="18"/>
      <c r="N69" s="18"/>
      <c r="O69" s="13">
        <f>GET_OK_GROUPS_COUNT(tbHeroEliteEnemy[[#This Row],[Camp]],tbHeroEliteEnemy[[#This Row],[Difficulty]],tbHeroEliteEnemy[[#This Row],[IsBoss]],tbHeroEliteEnemy[[#This Row],[Hero1]:[Soldier3]])</f>
        <v>1</v>
      </c>
      <c r="P69" s="7">
        <v>1</v>
      </c>
      <c r="Q69" s="18"/>
      <c r="R69" s="18" t="s">
        <v>912</v>
      </c>
      <c r="S6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70" spans="2:19">
      <c r="B70" s="18" t="s">
        <v>1135</v>
      </c>
      <c r="C70" s="35" t="s">
        <v>1302</v>
      </c>
      <c r="D70" s="18">
        <v>3</v>
      </c>
      <c r="E70" s="18">
        <v>15</v>
      </c>
      <c r="F70" s="7" t="s">
        <v>151</v>
      </c>
      <c r="G70" s="18" t="s">
        <v>35</v>
      </c>
      <c r="H70" s="18"/>
      <c r="I70" s="18" t="s">
        <v>385</v>
      </c>
      <c r="J70" s="18"/>
      <c r="K70" s="18"/>
      <c r="L70" s="18"/>
      <c r="M70" s="18"/>
      <c r="N70" s="18"/>
      <c r="O70" s="13">
        <f>GET_OK_GROUPS_COUNT(tbHeroEliteEnemy[[#This Row],[Camp]],tbHeroEliteEnemy[[#This Row],[Difficulty]],tbHeroEliteEnemy[[#This Row],[IsBoss]],tbHeroEliteEnemy[[#This Row],[Hero1]:[Soldier3]])</f>
        <v>3</v>
      </c>
      <c r="P70" s="7">
        <v>1</v>
      </c>
      <c r="Q70" s="18"/>
      <c r="R70" s="18" t="s">
        <v>912</v>
      </c>
      <c r="S7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三国-困难-刺英+铁兵</v>
      </c>
    </row>
    <row r="71" spans="2:19">
      <c r="B71" s="18" t="s">
        <v>1135</v>
      </c>
      <c r="C71" s="35" t="s">
        <v>1302</v>
      </c>
      <c r="D71" s="18">
        <v>4</v>
      </c>
      <c r="E71" s="18">
        <v>15</v>
      </c>
      <c r="F71" s="7" t="s">
        <v>151</v>
      </c>
      <c r="G71" s="18" t="s">
        <v>33</v>
      </c>
      <c r="H71" s="18"/>
      <c r="I71" s="18" t="s">
        <v>385</v>
      </c>
      <c r="J71" s="18"/>
      <c r="K71" s="18"/>
      <c r="L71" s="18"/>
      <c r="M71" s="18"/>
      <c r="N71" s="18"/>
      <c r="O71" s="13">
        <f>GET_OK_GROUPS_COUNT(tbHeroEliteEnemy[[#This Row],[Camp]],tbHeroEliteEnemy[[#This Row],[Difficulty]],tbHeroEliteEnemy[[#This Row],[IsBoss]],tbHeroEliteEnemy[[#This Row],[Hero1]:[Soldier3]])</f>
        <v>4</v>
      </c>
      <c r="P71" s="7">
        <v>3</v>
      </c>
      <c r="Q71" s="18"/>
      <c r="R71" s="18" t="s">
        <v>912</v>
      </c>
      <c r="S7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72" spans="2:19">
      <c r="B72" s="18" t="s">
        <v>1135</v>
      </c>
      <c r="C72" s="35" t="s">
        <v>1302</v>
      </c>
      <c r="D72" s="18">
        <v>5</v>
      </c>
      <c r="E72" s="18">
        <v>15</v>
      </c>
      <c r="F72" s="7" t="s">
        <v>151</v>
      </c>
      <c r="G72" s="18" t="s">
        <v>35</v>
      </c>
      <c r="H72" s="18"/>
      <c r="I72" s="18" t="s">
        <v>383</v>
      </c>
      <c r="J72" s="18"/>
      <c r="K72" s="18"/>
      <c r="L72" s="18"/>
      <c r="M72" s="18"/>
      <c r="N72" s="18"/>
      <c r="O72" s="13">
        <f>GET_OK_GROUPS_COUNT(tbHeroEliteEnemy[[#This Row],[Camp]],tbHeroEliteEnemy[[#This Row],[Difficulty]],tbHeroEliteEnemy[[#This Row],[IsBoss]],tbHeroEliteEnemy[[#This Row],[Hero1]:[Soldier3]])</f>
        <v>3</v>
      </c>
      <c r="P72" s="7">
        <v>2</v>
      </c>
      <c r="Q72" s="18"/>
      <c r="R72" s="18" t="s">
        <v>912</v>
      </c>
      <c r="S7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三国-困难-炼英+盾兵</v>
      </c>
    </row>
    <row r="73" spans="2:19">
      <c r="B73" s="18" t="s">
        <v>1135</v>
      </c>
      <c r="C73" s="35" t="s">
        <v>1302</v>
      </c>
      <c r="D73" s="18">
        <v>6</v>
      </c>
      <c r="E73" s="18">
        <v>15</v>
      </c>
      <c r="F73" s="7" t="s">
        <v>151</v>
      </c>
      <c r="G73" s="18" t="s">
        <v>33</v>
      </c>
      <c r="H73" s="18"/>
      <c r="I73" s="18" t="s">
        <v>382</v>
      </c>
      <c r="J73" s="18"/>
      <c r="K73" s="18"/>
      <c r="L73" s="18"/>
      <c r="M73" s="18"/>
      <c r="N73" s="18"/>
      <c r="O73" s="13">
        <f>GET_OK_GROUPS_COUNT(tbHeroEliteEnemy[[#This Row],[Camp]],tbHeroEliteEnemy[[#This Row],[Difficulty]],tbHeroEliteEnemy[[#This Row],[IsBoss]],tbHeroEliteEnemy[[#This Row],[Hero1]:[Soldier3]])</f>
        <v>5</v>
      </c>
      <c r="P73" s="7">
        <v>2</v>
      </c>
      <c r="Q73" s="18"/>
      <c r="R73" s="18" t="s">
        <v>912</v>
      </c>
      <c r="S7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三国-普通-铁英+强兵</v>
      </c>
    </row>
    <row r="74" spans="2:19">
      <c r="B74" s="18" t="s">
        <v>1135</v>
      </c>
      <c r="C74" s="35" t="s">
        <v>1302</v>
      </c>
      <c r="D74" s="18">
        <v>7</v>
      </c>
      <c r="E74" s="18">
        <v>15</v>
      </c>
      <c r="F74" s="7" t="s">
        <v>151</v>
      </c>
      <c r="G74" s="18" t="s">
        <v>33</v>
      </c>
      <c r="H74" s="18"/>
      <c r="I74" s="18" t="s">
        <v>380</v>
      </c>
      <c r="J74" s="18"/>
      <c r="K74" s="18"/>
      <c r="L74" s="18"/>
      <c r="M74" s="18"/>
      <c r="N74" s="18"/>
      <c r="O74" s="13">
        <f>GET_OK_GROUPS_COUNT(tbHeroEliteEnemy[[#This Row],[Camp]],tbHeroEliteEnemy[[#This Row],[Difficulty]],tbHeroEliteEnemy[[#This Row],[IsBoss]],tbHeroEliteEnemy[[#This Row],[Hero1]:[Soldier3]])</f>
        <v>5</v>
      </c>
      <c r="P74" s="7">
        <v>1</v>
      </c>
      <c r="Q74" s="18"/>
      <c r="R74" s="18" t="s">
        <v>912</v>
      </c>
      <c r="S7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75" spans="2:19">
      <c r="B75" s="18" t="s">
        <v>1135</v>
      </c>
      <c r="C75" s="35" t="s">
        <v>1302</v>
      </c>
      <c r="D75" s="18">
        <v>8</v>
      </c>
      <c r="E75" s="18">
        <v>15</v>
      </c>
      <c r="F75" s="7" t="s">
        <v>151</v>
      </c>
      <c r="G75" s="18" t="s">
        <v>35</v>
      </c>
      <c r="H75" s="18"/>
      <c r="I75" s="18" t="s">
        <v>381</v>
      </c>
      <c r="J75" s="18"/>
      <c r="K75" s="18"/>
      <c r="L75" s="18"/>
      <c r="M75" s="18"/>
      <c r="N75" s="18"/>
      <c r="O75" s="13">
        <f>GET_OK_GROUPS_COUNT(tbHeroEliteEnemy[[#This Row],[Camp]],tbHeroEliteEnemy[[#This Row],[Difficulty]],tbHeroEliteEnemy[[#This Row],[IsBoss]],tbHeroEliteEnemy[[#This Row],[Hero1]:[Soldier3]])</f>
        <v>3</v>
      </c>
      <c r="P75" s="7">
        <v>1</v>
      </c>
      <c r="Q75" s="18"/>
      <c r="R75" s="18" t="s">
        <v>912</v>
      </c>
      <c r="S7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三国-困难-强英+铁兵</v>
      </c>
    </row>
    <row r="76" spans="2:19">
      <c r="B76" s="18" t="s">
        <v>1135</v>
      </c>
      <c r="C76" s="35" t="s">
        <v>1302</v>
      </c>
      <c r="D76" s="18">
        <v>9</v>
      </c>
      <c r="E76" s="18">
        <v>15</v>
      </c>
      <c r="F76" s="7" t="s">
        <v>151</v>
      </c>
      <c r="G76" s="18" t="s">
        <v>36</v>
      </c>
      <c r="H76" s="18" t="b">
        <v>1</v>
      </c>
      <c r="I76" s="18" t="s">
        <v>423</v>
      </c>
      <c r="J76" s="18" t="s">
        <v>385</v>
      </c>
      <c r="K76" s="18"/>
      <c r="L76" s="18"/>
      <c r="M76" s="18"/>
      <c r="N76" s="18"/>
      <c r="O76" s="13">
        <f>GET_OK_GROUPS_COUNT(tbHeroEliteEnemy[[#This Row],[Camp]],tbHeroEliteEnemy[[#This Row],[Difficulty]],tbHeroEliteEnemy[[#This Row],[IsBoss]],tbHeroEliteEnemy[[#This Row],[Hero1]:[Soldier3]])</f>
        <v>1</v>
      </c>
      <c r="P76" s="7">
        <v>1</v>
      </c>
      <c r="Q76" s="18"/>
      <c r="R76" s="18" t="s">
        <v>423</v>
      </c>
      <c r="S76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三国-超难-[B]铁英+刺英</v>
      </c>
    </row>
    <row r="77" spans="2:19">
      <c r="B77" s="18" t="s">
        <v>1136</v>
      </c>
      <c r="C77" s="35" t="s">
        <v>1302</v>
      </c>
      <c r="D77" s="18">
        <v>1</v>
      </c>
      <c r="E77" s="18">
        <v>5</v>
      </c>
      <c r="F77" s="7" t="s">
        <v>151</v>
      </c>
      <c r="G77" s="16" t="s">
        <v>29</v>
      </c>
      <c r="H77" s="7"/>
      <c r="I77" s="18"/>
      <c r="J77" s="18"/>
      <c r="K77" s="18"/>
      <c r="L77" s="18" t="s">
        <v>49</v>
      </c>
      <c r="M77" s="18"/>
      <c r="N77" s="18"/>
      <c r="O77" s="13">
        <f>GET_OK_GROUPS_COUNT(tbHeroEliteEnemy[[#This Row],[Camp]],tbHeroEliteEnemy[[#This Row],[Difficulty]],tbHeroEliteEnemy[[#This Row],[IsBoss]],tbHeroEliteEnemy[[#This Row],[Hero1]:[Soldier3]])</f>
        <v>1</v>
      </c>
      <c r="P77" s="7">
        <v>1</v>
      </c>
      <c r="Q77" s="18"/>
      <c r="R77" s="18" t="s">
        <v>912</v>
      </c>
      <c r="S77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78" spans="2:19">
      <c r="B78" s="18" t="s">
        <v>1136</v>
      </c>
      <c r="C78" s="35" t="s">
        <v>1302</v>
      </c>
      <c r="D78" s="18">
        <v>2</v>
      </c>
      <c r="E78" s="18">
        <v>15</v>
      </c>
      <c r="F78" s="7" t="s">
        <v>151</v>
      </c>
      <c r="G78" s="18" t="s">
        <v>29</v>
      </c>
      <c r="H78" s="18"/>
      <c r="I78" s="18"/>
      <c r="J78" s="18"/>
      <c r="K78" s="18"/>
      <c r="L78" s="18" t="s">
        <v>26</v>
      </c>
      <c r="M78" s="18"/>
      <c r="N78" s="18"/>
      <c r="O78" s="13">
        <f>GET_OK_GROUPS_COUNT(tbHeroEliteEnemy[[#This Row],[Camp]],tbHeroEliteEnemy[[#This Row],[Difficulty]],tbHeroEliteEnemy[[#This Row],[IsBoss]],tbHeroEliteEnemy[[#This Row],[Hero1]:[Soldier3]])</f>
        <v>3</v>
      </c>
      <c r="P78" s="7">
        <v>3</v>
      </c>
      <c r="Q78" s="18"/>
      <c r="R78" s="18" t="s">
        <v>912</v>
      </c>
      <c r="S78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三国-简单-盾兵+强兵</v>
      </c>
    </row>
    <row r="79" spans="2:19">
      <c r="B79" s="18" t="s">
        <v>1136</v>
      </c>
      <c r="C79" s="35" t="s">
        <v>1302</v>
      </c>
      <c r="D79" s="18">
        <v>3</v>
      </c>
      <c r="E79" s="18">
        <v>15</v>
      </c>
      <c r="F79" s="7" t="s">
        <v>151</v>
      </c>
      <c r="G79" s="18" t="s">
        <v>35</v>
      </c>
      <c r="H79" s="18"/>
      <c r="I79" s="18" t="s">
        <v>385</v>
      </c>
      <c r="J79" s="18"/>
      <c r="K79" s="18"/>
      <c r="L79" s="18"/>
      <c r="M79" s="18"/>
      <c r="N79" s="18"/>
      <c r="O79" s="13">
        <f>GET_OK_GROUPS_COUNT(tbHeroEliteEnemy[[#This Row],[Camp]],tbHeroEliteEnemy[[#This Row],[Difficulty]],tbHeroEliteEnemy[[#This Row],[IsBoss]],tbHeroEliteEnemy[[#This Row],[Hero1]:[Soldier3]])</f>
        <v>3</v>
      </c>
      <c r="P79" s="7">
        <v>3</v>
      </c>
      <c r="Q79" s="18"/>
      <c r="R79" s="18" t="s">
        <v>912</v>
      </c>
      <c r="S7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80" spans="2:19">
      <c r="B80" s="18" t="s">
        <v>1136</v>
      </c>
      <c r="C80" s="35" t="s">
        <v>1302</v>
      </c>
      <c r="D80" s="18">
        <v>4</v>
      </c>
      <c r="E80" s="18">
        <v>15</v>
      </c>
      <c r="F80" s="7" t="s">
        <v>151</v>
      </c>
      <c r="G80" s="18" t="s">
        <v>33</v>
      </c>
      <c r="H80" s="18"/>
      <c r="I80" s="18" t="s">
        <v>381</v>
      </c>
      <c r="J80" s="18"/>
      <c r="K80" s="18"/>
      <c r="L80" s="18"/>
      <c r="M80" s="18"/>
      <c r="N80" s="18"/>
      <c r="O80" s="13">
        <f>GET_OK_GROUPS_COUNT(tbHeroEliteEnemy[[#This Row],[Camp]],tbHeroEliteEnemy[[#This Row],[Difficulty]],tbHeroEliteEnemy[[#This Row],[IsBoss]],tbHeroEliteEnemy[[#This Row],[Hero1]:[Soldier3]])</f>
        <v>4</v>
      </c>
      <c r="P80" s="7">
        <v>2</v>
      </c>
      <c r="Q80" s="18"/>
      <c r="R80" s="18" t="s">
        <v>912</v>
      </c>
      <c r="S8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三国-普通-强英+铁兵</v>
      </c>
    </row>
    <row r="81" spans="2:19">
      <c r="B81" s="18" t="s">
        <v>1136</v>
      </c>
      <c r="C81" s="35" t="s">
        <v>1302</v>
      </c>
      <c r="D81" s="18">
        <v>5</v>
      </c>
      <c r="E81" s="18">
        <v>15</v>
      </c>
      <c r="F81" s="7" t="s">
        <v>151</v>
      </c>
      <c r="G81" s="18" t="s">
        <v>35</v>
      </c>
      <c r="H81" s="18"/>
      <c r="I81" s="18" t="s">
        <v>384</v>
      </c>
      <c r="J81" s="18"/>
      <c r="K81" s="18"/>
      <c r="L81" s="18"/>
      <c r="M81" s="18"/>
      <c r="N81" s="18"/>
      <c r="O81" s="13">
        <f>GET_OK_GROUPS_COUNT(tbHeroEliteEnemy[[#This Row],[Camp]],tbHeroEliteEnemy[[#This Row],[Difficulty]],tbHeroEliteEnemy[[#This Row],[IsBoss]],tbHeroEliteEnemy[[#This Row],[Hero1]:[Soldier3]])</f>
        <v>3</v>
      </c>
      <c r="P81" s="7">
        <v>1</v>
      </c>
      <c r="Q81" s="18"/>
      <c r="R81" s="18" t="s">
        <v>912</v>
      </c>
      <c r="S8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82" spans="2:19">
      <c r="B82" s="18" t="s">
        <v>1136</v>
      </c>
      <c r="C82" s="35" t="s">
        <v>1302</v>
      </c>
      <c r="D82" s="18">
        <v>6</v>
      </c>
      <c r="E82" s="18">
        <v>15</v>
      </c>
      <c r="F82" s="7" t="s">
        <v>151</v>
      </c>
      <c r="G82" s="18" t="s">
        <v>33</v>
      </c>
      <c r="H82" s="18"/>
      <c r="I82" s="18" t="s">
        <v>385</v>
      </c>
      <c r="J82" s="18"/>
      <c r="K82" s="18"/>
      <c r="L82" s="18"/>
      <c r="M82" s="18"/>
      <c r="N82" s="18"/>
      <c r="O82" s="13">
        <f>GET_OK_GROUPS_COUNT(tbHeroEliteEnemy[[#This Row],[Camp]],tbHeroEliteEnemy[[#This Row],[Difficulty]],tbHeroEliteEnemy[[#This Row],[IsBoss]],tbHeroEliteEnemy[[#This Row],[Hero1]:[Soldier3]])</f>
        <v>4</v>
      </c>
      <c r="P82" s="7">
        <v>3</v>
      </c>
      <c r="Q82" s="18"/>
      <c r="R82" s="18" t="s">
        <v>912</v>
      </c>
      <c r="S8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83" spans="2:19">
      <c r="B83" s="18" t="s">
        <v>1136</v>
      </c>
      <c r="C83" s="35" t="s">
        <v>1302</v>
      </c>
      <c r="D83" s="18">
        <v>7</v>
      </c>
      <c r="E83" s="18">
        <v>15</v>
      </c>
      <c r="F83" s="7" t="s">
        <v>151</v>
      </c>
      <c r="G83" s="18" t="s">
        <v>33</v>
      </c>
      <c r="H83" s="18"/>
      <c r="I83" s="18" t="s">
        <v>385</v>
      </c>
      <c r="J83" s="18"/>
      <c r="K83" s="18"/>
      <c r="L83" s="18"/>
      <c r="M83" s="18"/>
      <c r="N83" s="18"/>
      <c r="O83" s="13">
        <f>GET_OK_GROUPS_COUNT(tbHeroEliteEnemy[[#This Row],[Camp]],tbHeroEliteEnemy[[#This Row],[Difficulty]],tbHeroEliteEnemy[[#This Row],[IsBoss]],tbHeroEliteEnemy[[#This Row],[Hero1]:[Soldier3]])</f>
        <v>4</v>
      </c>
      <c r="P83" s="7">
        <v>2</v>
      </c>
      <c r="Q83" s="18"/>
      <c r="R83" s="18" t="s">
        <v>912</v>
      </c>
      <c r="S8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三国-普通-刺英+铁兵</v>
      </c>
    </row>
    <row r="84" spans="2:19">
      <c r="B84" s="18" t="s">
        <v>1136</v>
      </c>
      <c r="C84" s="35" t="s">
        <v>1302</v>
      </c>
      <c r="D84" s="18">
        <v>8</v>
      </c>
      <c r="E84" s="18">
        <v>15</v>
      </c>
      <c r="F84" s="7" t="s">
        <v>151</v>
      </c>
      <c r="G84" s="18" t="s">
        <v>35</v>
      </c>
      <c r="H84" s="18"/>
      <c r="I84" s="18" t="s">
        <v>385</v>
      </c>
      <c r="J84" s="18"/>
      <c r="K84" s="18"/>
      <c r="L84" s="18"/>
      <c r="M84" s="18"/>
      <c r="N84" s="18"/>
      <c r="O84" s="13">
        <f>GET_OK_GROUPS_COUNT(tbHeroEliteEnemy[[#This Row],[Camp]],tbHeroEliteEnemy[[#This Row],[Difficulty]],tbHeroEliteEnemy[[#This Row],[IsBoss]],tbHeroEliteEnemy[[#This Row],[Hero1]:[Soldier3]])</f>
        <v>3</v>
      </c>
      <c r="P84" s="7">
        <v>2</v>
      </c>
      <c r="Q84" s="18"/>
      <c r="R84" s="18" t="s">
        <v>912</v>
      </c>
      <c r="S8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三国-困难-刺英+盾兵</v>
      </c>
    </row>
    <row r="85" spans="2:19">
      <c r="B85" s="18" t="s">
        <v>1136</v>
      </c>
      <c r="C85" s="35" t="s">
        <v>1302</v>
      </c>
      <c r="D85" s="18">
        <v>9</v>
      </c>
      <c r="E85" s="18">
        <v>15</v>
      </c>
      <c r="F85" s="7" t="s">
        <v>151</v>
      </c>
      <c r="G85" s="18" t="s">
        <v>36</v>
      </c>
      <c r="H85" s="18" t="b">
        <v>1</v>
      </c>
      <c r="I85" s="18" t="s">
        <v>424</v>
      </c>
      <c r="J85" s="18" t="s">
        <v>383</v>
      </c>
      <c r="K85" s="18"/>
      <c r="L85" s="18"/>
      <c r="M85" s="18"/>
      <c r="N85" s="18"/>
      <c r="O85" s="13">
        <f>GET_OK_GROUPS_COUNT(tbHeroEliteEnemy[[#This Row],[Camp]],tbHeroEliteEnemy[[#This Row],[Difficulty]],tbHeroEliteEnemy[[#This Row],[IsBoss]],tbHeroEliteEnemy[[#This Row],[Hero1]:[Soldier3]])</f>
        <v>1</v>
      </c>
      <c r="P85" s="7">
        <v>1</v>
      </c>
      <c r="Q85" s="18"/>
      <c r="R85" s="18" t="s">
        <v>424</v>
      </c>
      <c r="S85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三国-超难-[B]强英+炼英</v>
      </c>
    </row>
    <row r="86" spans="2:19">
      <c r="B86" s="31" t="s">
        <v>1271</v>
      </c>
      <c r="C86" s="35" t="s">
        <v>1302</v>
      </c>
      <c r="D86" s="18">
        <v>1</v>
      </c>
      <c r="E86" s="18">
        <v>5</v>
      </c>
      <c r="F86" s="7" t="s">
        <v>151</v>
      </c>
      <c r="G86" s="16" t="s">
        <v>29</v>
      </c>
      <c r="H86" s="7"/>
      <c r="I86" s="18"/>
      <c r="J86" s="18"/>
      <c r="K86" s="18"/>
      <c r="L86" s="18" t="s">
        <v>25</v>
      </c>
      <c r="M86" s="18"/>
      <c r="N86" s="18"/>
      <c r="O86" s="13">
        <f>GET_OK_GROUPS_COUNT(tbHeroEliteEnemy[[#This Row],[Camp]],tbHeroEliteEnemy[[#This Row],[Difficulty]],tbHeroEliteEnemy[[#This Row],[IsBoss]],tbHeroEliteEnemy[[#This Row],[Hero1]:[Soldier3]])</f>
        <v>4</v>
      </c>
      <c r="P86" s="7">
        <v>4</v>
      </c>
      <c r="Q86" s="18"/>
      <c r="R86" s="18" t="s">
        <v>912</v>
      </c>
      <c r="S86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87" spans="2:19">
      <c r="B87" s="31" t="s">
        <v>1271</v>
      </c>
      <c r="C87" s="35" t="s">
        <v>1302</v>
      </c>
      <c r="D87" s="18">
        <v>2</v>
      </c>
      <c r="E87" s="18">
        <v>15</v>
      </c>
      <c r="F87" s="7" t="s">
        <v>151</v>
      </c>
      <c r="G87" s="18" t="s">
        <v>29</v>
      </c>
      <c r="H87" s="18"/>
      <c r="I87" s="18"/>
      <c r="J87" s="18"/>
      <c r="K87" s="18"/>
      <c r="L87" s="18" t="s">
        <v>25</v>
      </c>
      <c r="M87" s="18"/>
      <c r="N87" s="18"/>
      <c r="O87" s="13">
        <f>GET_OK_GROUPS_COUNT(tbHeroEliteEnemy[[#This Row],[Camp]],tbHeroEliteEnemy[[#This Row],[Difficulty]],tbHeroEliteEnemy[[#This Row],[IsBoss]],tbHeroEliteEnemy[[#This Row],[Hero1]:[Soldier3]])</f>
        <v>4</v>
      </c>
      <c r="P87" s="7">
        <v>4</v>
      </c>
      <c r="Q87" s="18"/>
      <c r="R87" s="18" t="s">
        <v>912</v>
      </c>
      <c r="S87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88" spans="2:19">
      <c r="B88" s="31" t="s">
        <v>1271</v>
      </c>
      <c r="C88" s="35" t="s">
        <v>1302</v>
      </c>
      <c r="D88" s="18">
        <v>3</v>
      </c>
      <c r="E88" s="18">
        <v>15</v>
      </c>
      <c r="F88" s="7" t="s">
        <v>151</v>
      </c>
      <c r="G88" s="18" t="s">
        <v>35</v>
      </c>
      <c r="H88" s="18"/>
      <c r="I88" s="18" t="s">
        <v>383</v>
      </c>
      <c r="J88" s="18"/>
      <c r="K88" s="18"/>
      <c r="L88" s="18"/>
      <c r="M88" s="18"/>
      <c r="N88" s="18"/>
      <c r="O88" s="13">
        <f>GET_OK_GROUPS_COUNT(tbHeroEliteEnemy[[#This Row],[Camp]],tbHeroEliteEnemy[[#This Row],[Difficulty]],tbHeroEliteEnemy[[#This Row],[IsBoss]],tbHeroEliteEnemy[[#This Row],[Hero1]:[Soldier3]])</f>
        <v>3</v>
      </c>
      <c r="P88" s="7">
        <v>2</v>
      </c>
      <c r="Q88" s="18"/>
      <c r="R88" s="18" t="s">
        <v>912</v>
      </c>
      <c r="S8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三国-困难-炼英+盾兵</v>
      </c>
    </row>
    <row r="89" spans="2:19">
      <c r="B89" s="31" t="s">
        <v>1271</v>
      </c>
      <c r="C89" s="35" t="s">
        <v>1302</v>
      </c>
      <c r="D89" s="18">
        <v>4</v>
      </c>
      <c r="E89" s="18">
        <v>15</v>
      </c>
      <c r="F89" s="7" t="s">
        <v>151</v>
      </c>
      <c r="G89" s="18" t="s">
        <v>33</v>
      </c>
      <c r="H89" s="18"/>
      <c r="I89" s="18" t="s">
        <v>380</v>
      </c>
      <c r="J89" s="18"/>
      <c r="K89" s="18"/>
      <c r="L89" s="18"/>
      <c r="M89" s="18"/>
      <c r="N89" s="18"/>
      <c r="O89" s="13">
        <f>GET_OK_GROUPS_COUNT(tbHeroEliteEnemy[[#This Row],[Camp]],tbHeroEliteEnemy[[#This Row],[Difficulty]],tbHeroEliteEnemy[[#This Row],[IsBoss]],tbHeroEliteEnemy[[#This Row],[Hero1]:[Soldier3]])</f>
        <v>5</v>
      </c>
      <c r="P89" s="7">
        <v>1</v>
      </c>
      <c r="Q89" s="18"/>
      <c r="R89" s="18" t="s">
        <v>912</v>
      </c>
      <c r="S8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90" spans="2:19">
      <c r="B90" s="31" t="s">
        <v>1271</v>
      </c>
      <c r="C90" s="35" t="s">
        <v>1302</v>
      </c>
      <c r="D90" s="18">
        <v>5</v>
      </c>
      <c r="E90" s="18">
        <v>15</v>
      </c>
      <c r="F90" s="7" t="s">
        <v>151</v>
      </c>
      <c r="G90" s="18" t="s">
        <v>35</v>
      </c>
      <c r="H90" s="18"/>
      <c r="I90" s="18" t="s">
        <v>381</v>
      </c>
      <c r="J90" s="18"/>
      <c r="K90" s="18"/>
      <c r="L90" s="18"/>
      <c r="M90" s="18"/>
      <c r="N90" s="18"/>
      <c r="O90" s="13">
        <f>GET_OK_GROUPS_COUNT(tbHeroEliteEnemy[[#This Row],[Camp]],tbHeroEliteEnemy[[#This Row],[Difficulty]],tbHeroEliteEnemy[[#This Row],[IsBoss]],tbHeroEliteEnemy[[#This Row],[Hero1]:[Soldier3]])</f>
        <v>3</v>
      </c>
      <c r="P90" s="7">
        <v>1</v>
      </c>
      <c r="Q90" s="18"/>
      <c r="R90" s="18" t="s">
        <v>912</v>
      </c>
      <c r="S9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三国-困难-强英+铁兵</v>
      </c>
    </row>
    <row r="91" spans="2:19">
      <c r="B91" s="31" t="s">
        <v>1271</v>
      </c>
      <c r="C91" s="35" t="s">
        <v>1302</v>
      </c>
      <c r="D91" s="18">
        <v>6</v>
      </c>
      <c r="E91" s="18">
        <v>15</v>
      </c>
      <c r="F91" s="7" t="s">
        <v>151</v>
      </c>
      <c r="G91" s="18" t="s">
        <v>33</v>
      </c>
      <c r="H91" s="18"/>
      <c r="I91" s="18" t="s">
        <v>381</v>
      </c>
      <c r="J91" s="18"/>
      <c r="K91" s="18"/>
      <c r="L91" s="18"/>
      <c r="M91" s="18"/>
      <c r="N91" s="18"/>
      <c r="O91" s="13">
        <f>GET_OK_GROUPS_COUNT(tbHeroEliteEnemy[[#This Row],[Camp]],tbHeroEliteEnemy[[#This Row],[Difficulty]],tbHeroEliteEnemy[[#This Row],[IsBoss]],tbHeroEliteEnemy[[#This Row],[Hero1]:[Soldier3]])</f>
        <v>4</v>
      </c>
      <c r="P91" s="7">
        <v>3</v>
      </c>
      <c r="Q91" s="18"/>
      <c r="R91" s="18" t="s">
        <v>912</v>
      </c>
      <c r="S9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92" spans="2:19">
      <c r="B92" s="31" t="s">
        <v>1271</v>
      </c>
      <c r="C92" s="35" t="s">
        <v>1302</v>
      </c>
      <c r="D92" s="18">
        <v>7</v>
      </c>
      <c r="E92" s="18">
        <v>15</v>
      </c>
      <c r="F92" s="7" t="s">
        <v>151</v>
      </c>
      <c r="G92" s="18" t="s">
        <v>33</v>
      </c>
      <c r="H92" s="18"/>
      <c r="I92" s="18" t="s">
        <v>385</v>
      </c>
      <c r="J92" s="18"/>
      <c r="K92" s="18"/>
      <c r="L92" s="18"/>
      <c r="M92" s="18"/>
      <c r="N92" s="18"/>
      <c r="O92" s="13">
        <f>GET_OK_GROUPS_COUNT(tbHeroEliteEnemy[[#This Row],[Camp]],tbHeroEliteEnemy[[#This Row],[Difficulty]],tbHeroEliteEnemy[[#This Row],[IsBoss]],tbHeroEliteEnemy[[#This Row],[Hero1]:[Soldier3]])</f>
        <v>4</v>
      </c>
      <c r="P92" s="7">
        <v>3</v>
      </c>
      <c r="Q92" s="18"/>
      <c r="R92" s="18" t="s">
        <v>912</v>
      </c>
      <c r="S9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93" spans="2:19">
      <c r="B93" s="31" t="s">
        <v>1271</v>
      </c>
      <c r="C93" s="35" t="s">
        <v>1302</v>
      </c>
      <c r="D93" s="18">
        <v>8</v>
      </c>
      <c r="E93" s="18">
        <v>15</v>
      </c>
      <c r="F93" s="7" t="s">
        <v>151</v>
      </c>
      <c r="G93" s="18" t="s">
        <v>35</v>
      </c>
      <c r="H93" s="18"/>
      <c r="I93" s="18" t="s">
        <v>382</v>
      </c>
      <c r="J93" s="18"/>
      <c r="K93" s="18"/>
      <c r="L93" s="18"/>
      <c r="M93" s="18"/>
      <c r="N93" s="18"/>
      <c r="O93" s="13">
        <f>GET_OK_GROUPS_COUNT(tbHeroEliteEnemy[[#This Row],[Camp]],tbHeroEliteEnemy[[#This Row],[Difficulty]],tbHeroEliteEnemy[[#This Row],[IsBoss]],tbHeroEliteEnemy[[#This Row],[Hero1]:[Soldier3]])</f>
        <v>4</v>
      </c>
      <c r="P93" s="7">
        <v>1</v>
      </c>
      <c r="Q93" s="18"/>
      <c r="R93" s="18" t="s">
        <v>912</v>
      </c>
      <c r="S9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94" spans="2:19">
      <c r="B94" s="31" t="s">
        <v>1271</v>
      </c>
      <c r="C94" s="35" t="s">
        <v>1302</v>
      </c>
      <c r="D94" s="18">
        <v>9</v>
      </c>
      <c r="E94" s="18">
        <v>15</v>
      </c>
      <c r="F94" s="7" t="s">
        <v>151</v>
      </c>
      <c r="G94" s="18" t="s">
        <v>36</v>
      </c>
      <c r="H94" s="18" t="b">
        <v>1</v>
      </c>
      <c r="I94" s="18" t="s">
        <v>425</v>
      </c>
      <c r="J94" s="18" t="s">
        <v>382</v>
      </c>
      <c r="K94" s="18"/>
      <c r="L94" s="18"/>
      <c r="M94" s="18"/>
      <c r="N94" s="18"/>
      <c r="O94" s="13">
        <f>GET_OK_GROUPS_COUNT(tbHeroEliteEnemy[[#This Row],[Camp]],tbHeroEliteEnemy[[#This Row],[Difficulty]],tbHeroEliteEnemy[[#This Row],[IsBoss]],tbHeroEliteEnemy[[#This Row],[Hero1]:[Soldier3]])</f>
        <v>1</v>
      </c>
      <c r="P94" s="7">
        <v>1</v>
      </c>
      <c r="Q94" s="18"/>
      <c r="R94" s="18" t="s">
        <v>425</v>
      </c>
      <c r="S94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三国-超难-[B]铁英+法英</v>
      </c>
    </row>
    <row r="95" spans="2:19">
      <c r="B95" s="18" t="s">
        <v>1137</v>
      </c>
      <c r="C95" s="35" t="s">
        <v>1302</v>
      </c>
      <c r="D95" s="18">
        <v>1</v>
      </c>
      <c r="E95" s="18">
        <v>5</v>
      </c>
      <c r="F95" s="7" t="s">
        <v>151</v>
      </c>
      <c r="G95" s="16" t="s">
        <v>29</v>
      </c>
      <c r="H95" s="7"/>
      <c r="I95" s="18"/>
      <c r="J95" s="18"/>
      <c r="K95" s="18"/>
      <c r="L95" s="18" t="s">
        <v>448</v>
      </c>
      <c r="M95" s="18"/>
      <c r="N95" s="18"/>
      <c r="O95" s="13">
        <f>GET_OK_GROUPS_COUNT(tbHeroEliteEnemy[[#This Row],[Camp]],tbHeroEliteEnemy[[#This Row],[Difficulty]],tbHeroEliteEnemy[[#This Row],[IsBoss]],tbHeroEliteEnemy[[#This Row],[Hero1]:[Soldier3]])</f>
        <v>1</v>
      </c>
      <c r="P95" s="7">
        <v>1</v>
      </c>
      <c r="Q95" s="18"/>
      <c r="R95" s="18" t="s">
        <v>912</v>
      </c>
      <c r="S9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96" spans="2:19">
      <c r="B96" s="18" t="s">
        <v>1137</v>
      </c>
      <c r="C96" s="35" t="s">
        <v>1302</v>
      </c>
      <c r="D96" s="18">
        <v>2</v>
      </c>
      <c r="E96" s="18">
        <v>15</v>
      </c>
      <c r="F96" s="7" t="s">
        <v>151</v>
      </c>
      <c r="G96" s="18" t="s">
        <v>29</v>
      </c>
      <c r="H96" s="18"/>
      <c r="I96" s="18"/>
      <c r="J96" s="18"/>
      <c r="K96" s="18"/>
      <c r="L96" s="18" t="s">
        <v>34</v>
      </c>
      <c r="M96" s="18"/>
      <c r="N96" s="18"/>
      <c r="O96" s="13">
        <f>GET_OK_GROUPS_COUNT(tbHeroEliteEnemy[[#This Row],[Camp]],tbHeroEliteEnemy[[#This Row],[Difficulty]],tbHeroEliteEnemy[[#This Row],[IsBoss]],tbHeroEliteEnemy[[#This Row],[Hero1]:[Soldier3]])</f>
        <v>4</v>
      </c>
      <c r="P96" s="7">
        <v>1</v>
      </c>
      <c r="Q96" s="18"/>
      <c r="R96" s="18" t="s">
        <v>912</v>
      </c>
      <c r="S96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</v>
      </c>
    </row>
    <row r="97" spans="2:19">
      <c r="B97" s="18" t="s">
        <v>1137</v>
      </c>
      <c r="C97" s="35" t="s">
        <v>1302</v>
      </c>
      <c r="D97" s="18">
        <v>3</v>
      </c>
      <c r="E97" s="18">
        <v>15</v>
      </c>
      <c r="F97" s="7" t="s">
        <v>151</v>
      </c>
      <c r="G97" s="18" t="s">
        <v>35</v>
      </c>
      <c r="H97" s="18"/>
      <c r="I97" s="18" t="s">
        <v>380</v>
      </c>
      <c r="J97" s="18"/>
      <c r="K97" s="18"/>
      <c r="L97" s="18"/>
      <c r="M97" s="18"/>
      <c r="N97" s="18"/>
      <c r="O97" s="13">
        <f>GET_OK_GROUPS_COUNT(tbHeroEliteEnemy[[#This Row],[Camp]],tbHeroEliteEnemy[[#This Row],[Difficulty]],tbHeroEliteEnemy[[#This Row],[IsBoss]],tbHeroEliteEnemy[[#This Row],[Hero1]:[Soldier3]])</f>
        <v>4</v>
      </c>
      <c r="P97" s="7">
        <v>1</v>
      </c>
      <c r="Q97" s="18"/>
      <c r="R97" s="18" t="s">
        <v>912</v>
      </c>
      <c r="S9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98" spans="2:19">
      <c r="B98" s="18" t="s">
        <v>1137</v>
      </c>
      <c r="C98" s="35" t="s">
        <v>1302</v>
      </c>
      <c r="D98" s="18">
        <v>4</v>
      </c>
      <c r="E98" s="18">
        <v>15</v>
      </c>
      <c r="F98" s="7" t="s">
        <v>151</v>
      </c>
      <c r="G98" s="18" t="s">
        <v>33</v>
      </c>
      <c r="H98" s="18"/>
      <c r="I98" s="18" t="s">
        <v>382</v>
      </c>
      <c r="J98" s="18"/>
      <c r="K98" s="18"/>
      <c r="L98" s="18"/>
      <c r="M98" s="18"/>
      <c r="N98" s="18"/>
      <c r="O98" s="13">
        <f>GET_OK_GROUPS_COUNT(tbHeroEliteEnemy[[#This Row],[Camp]],tbHeroEliteEnemy[[#This Row],[Difficulty]],tbHeroEliteEnemy[[#This Row],[IsBoss]],tbHeroEliteEnemy[[#This Row],[Hero1]:[Soldier3]])</f>
        <v>5</v>
      </c>
      <c r="P98" s="7">
        <v>1</v>
      </c>
      <c r="Q98" s="18"/>
      <c r="R98" s="18" t="s">
        <v>912</v>
      </c>
      <c r="S9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99" spans="2:19">
      <c r="B99" s="18" t="s">
        <v>1137</v>
      </c>
      <c r="C99" s="35" t="s">
        <v>1302</v>
      </c>
      <c r="D99" s="18">
        <v>5</v>
      </c>
      <c r="E99" s="18">
        <v>15</v>
      </c>
      <c r="F99" s="7" t="s">
        <v>151</v>
      </c>
      <c r="G99" s="18" t="s">
        <v>35</v>
      </c>
      <c r="H99" s="18"/>
      <c r="I99" s="18" t="s">
        <v>384</v>
      </c>
      <c r="J99" s="18"/>
      <c r="K99" s="18"/>
      <c r="L99" s="18"/>
      <c r="M99" s="18"/>
      <c r="N99" s="18"/>
      <c r="O99" s="13">
        <f>GET_OK_GROUPS_COUNT(tbHeroEliteEnemy[[#This Row],[Camp]],tbHeroEliteEnemy[[#This Row],[Difficulty]],tbHeroEliteEnemy[[#This Row],[IsBoss]],tbHeroEliteEnemy[[#This Row],[Hero1]:[Soldier3]])</f>
        <v>3</v>
      </c>
      <c r="P99" s="7">
        <v>2</v>
      </c>
      <c r="Q99" s="18"/>
      <c r="R99" s="18" t="s">
        <v>912</v>
      </c>
      <c r="S9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三国-困难-法英+盾兵</v>
      </c>
    </row>
    <row r="100" spans="2:19">
      <c r="B100" s="18" t="s">
        <v>1137</v>
      </c>
      <c r="C100" s="35" t="s">
        <v>1302</v>
      </c>
      <c r="D100" s="18">
        <v>6</v>
      </c>
      <c r="E100" s="18">
        <v>15</v>
      </c>
      <c r="F100" s="7" t="s">
        <v>151</v>
      </c>
      <c r="G100" s="18" t="s">
        <v>33</v>
      </c>
      <c r="H100" s="18"/>
      <c r="I100" s="18" t="s">
        <v>382</v>
      </c>
      <c r="J100" s="18"/>
      <c r="K100" s="18"/>
      <c r="L100" s="18"/>
      <c r="M100" s="18"/>
      <c r="N100" s="18"/>
      <c r="O100" s="13">
        <f>GET_OK_GROUPS_COUNT(tbHeroEliteEnemy[[#This Row],[Camp]],tbHeroEliteEnemy[[#This Row],[Difficulty]],tbHeroEliteEnemy[[#This Row],[IsBoss]],tbHeroEliteEnemy[[#This Row],[Hero1]:[Soldier3]])</f>
        <v>5</v>
      </c>
      <c r="P100" s="7">
        <v>5</v>
      </c>
      <c r="Q100" s="18"/>
      <c r="R100" s="18" t="s">
        <v>912</v>
      </c>
      <c r="S10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三国-普通-铁英+刺兵</v>
      </c>
    </row>
    <row r="101" spans="2:19">
      <c r="B101" s="18" t="s">
        <v>1137</v>
      </c>
      <c r="C101" s="35" t="s">
        <v>1302</v>
      </c>
      <c r="D101" s="18">
        <v>7</v>
      </c>
      <c r="E101" s="18">
        <v>15</v>
      </c>
      <c r="F101" s="7" t="s">
        <v>151</v>
      </c>
      <c r="G101" s="18" t="s">
        <v>33</v>
      </c>
      <c r="H101" s="18"/>
      <c r="I101" s="18" t="s">
        <v>382</v>
      </c>
      <c r="J101" s="18"/>
      <c r="K101" s="18"/>
      <c r="L101" s="18"/>
      <c r="M101" s="18"/>
      <c r="N101" s="18"/>
      <c r="O101" s="13">
        <f>GET_OK_GROUPS_COUNT(tbHeroEliteEnemy[[#This Row],[Camp]],tbHeroEliteEnemy[[#This Row],[Difficulty]],tbHeroEliteEnemy[[#This Row],[IsBoss]],tbHeroEliteEnemy[[#This Row],[Hero1]:[Soldier3]])</f>
        <v>5</v>
      </c>
      <c r="P101" s="7">
        <v>4</v>
      </c>
      <c r="Q101" s="18"/>
      <c r="R101" s="18" t="s">
        <v>912</v>
      </c>
      <c r="S10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三国-普通-铁英+法兵</v>
      </c>
    </row>
    <row r="102" spans="2:19">
      <c r="B102" s="18" t="s">
        <v>1137</v>
      </c>
      <c r="C102" s="35" t="s">
        <v>1302</v>
      </c>
      <c r="D102" s="18">
        <v>8</v>
      </c>
      <c r="E102" s="18">
        <v>15</v>
      </c>
      <c r="F102" s="7" t="s">
        <v>151</v>
      </c>
      <c r="G102" s="18" t="s">
        <v>35</v>
      </c>
      <c r="H102" s="18"/>
      <c r="I102" s="18" t="s">
        <v>385</v>
      </c>
      <c r="J102" s="18"/>
      <c r="K102" s="18"/>
      <c r="L102" s="18"/>
      <c r="M102" s="18"/>
      <c r="N102" s="18"/>
      <c r="O102" s="13">
        <f>GET_OK_GROUPS_COUNT(tbHeroEliteEnemy[[#This Row],[Camp]],tbHeroEliteEnemy[[#This Row],[Difficulty]],tbHeroEliteEnemy[[#This Row],[IsBoss]],tbHeroEliteEnemy[[#This Row],[Hero1]:[Soldier3]])</f>
        <v>3</v>
      </c>
      <c r="P102" s="7">
        <v>2</v>
      </c>
      <c r="Q102" s="18"/>
      <c r="R102" s="18" t="s">
        <v>912</v>
      </c>
      <c r="S10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三国-困难-刺英+盾兵</v>
      </c>
    </row>
    <row r="103" spans="2:19">
      <c r="B103" s="18" t="s">
        <v>1137</v>
      </c>
      <c r="C103" s="35" t="s">
        <v>1302</v>
      </c>
      <c r="D103" s="18">
        <v>9</v>
      </c>
      <c r="E103" s="18">
        <v>15</v>
      </c>
      <c r="F103" s="7" t="s">
        <v>151</v>
      </c>
      <c r="G103" s="18" t="s">
        <v>36</v>
      </c>
      <c r="H103" s="18" t="b">
        <v>1</v>
      </c>
      <c r="I103" s="18" t="s">
        <v>426</v>
      </c>
      <c r="J103" s="18" t="s">
        <v>382</v>
      </c>
      <c r="K103" s="18"/>
      <c r="L103" s="18"/>
      <c r="M103" s="18"/>
      <c r="N103" s="18"/>
      <c r="O103" s="13">
        <f>GET_OK_GROUPS_COUNT(tbHeroEliteEnemy[[#This Row],[Camp]],tbHeroEliteEnemy[[#This Row],[Difficulty]],tbHeroEliteEnemy[[#This Row],[IsBoss]],tbHeroEliteEnemy[[#This Row],[Hero1]:[Soldier3]])</f>
        <v>1</v>
      </c>
      <c r="P103" s="7">
        <v>1</v>
      </c>
      <c r="Q103" s="18"/>
      <c r="R103" s="18" t="s">
        <v>426</v>
      </c>
      <c r="S103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三国-超难-[B]铁英+铁英</v>
      </c>
    </row>
    <row r="104" spans="2:19">
      <c r="B104" s="18" t="s">
        <v>1138</v>
      </c>
      <c r="C104" s="35" t="s">
        <v>1302</v>
      </c>
      <c r="D104" s="18">
        <v>1</v>
      </c>
      <c r="E104" s="18">
        <v>5</v>
      </c>
      <c r="F104" s="7" t="s">
        <v>151</v>
      </c>
      <c r="G104" s="16" t="s">
        <v>29</v>
      </c>
      <c r="H104" s="7"/>
      <c r="I104" s="18"/>
      <c r="J104" s="18"/>
      <c r="K104" s="18"/>
      <c r="L104" s="18" t="s">
        <v>49</v>
      </c>
      <c r="M104" s="18"/>
      <c r="N104" s="18"/>
      <c r="O104" s="13">
        <f>GET_OK_GROUPS_COUNT(tbHeroEliteEnemy[[#This Row],[Camp]],tbHeroEliteEnemy[[#This Row],[Difficulty]],tbHeroEliteEnemy[[#This Row],[IsBoss]],tbHeroEliteEnemy[[#This Row],[Hero1]:[Soldier3]])</f>
        <v>1</v>
      </c>
      <c r="P104" s="7">
        <v>1</v>
      </c>
      <c r="Q104" s="18"/>
      <c r="R104" s="18" t="s">
        <v>912</v>
      </c>
      <c r="S10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05" spans="2:19">
      <c r="B105" s="18" t="s">
        <v>1138</v>
      </c>
      <c r="C105" s="35" t="s">
        <v>1302</v>
      </c>
      <c r="D105" s="18">
        <v>2</v>
      </c>
      <c r="E105" s="18">
        <v>15</v>
      </c>
      <c r="F105" s="7" t="s">
        <v>151</v>
      </c>
      <c r="G105" s="18" t="s">
        <v>29</v>
      </c>
      <c r="H105" s="18"/>
      <c r="I105" s="18"/>
      <c r="J105" s="18"/>
      <c r="K105" s="18"/>
      <c r="L105" s="18" t="s">
        <v>49</v>
      </c>
      <c r="M105" s="18"/>
      <c r="N105" s="18"/>
      <c r="O105" s="13">
        <f>GET_OK_GROUPS_COUNT(tbHeroEliteEnemy[[#This Row],[Camp]],tbHeroEliteEnemy[[#This Row],[Difficulty]],tbHeroEliteEnemy[[#This Row],[IsBoss]],tbHeroEliteEnemy[[#This Row],[Hero1]:[Soldier3]])</f>
        <v>1</v>
      </c>
      <c r="P105" s="7">
        <v>1</v>
      </c>
      <c r="Q105" s="18"/>
      <c r="R105" s="18" t="s">
        <v>912</v>
      </c>
      <c r="S10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06" spans="2:19">
      <c r="B106" s="18" t="s">
        <v>1138</v>
      </c>
      <c r="C106" s="35" t="s">
        <v>1302</v>
      </c>
      <c r="D106" s="18">
        <v>3</v>
      </c>
      <c r="E106" s="18">
        <v>15</v>
      </c>
      <c r="F106" s="7" t="s">
        <v>151</v>
      </c>
      <c r="G106" s="18" t="s">
        <v>35</v>
      </c>
      <c r="H106" s="18"/>
      <c r="I106" s="18" t="s">
        <v>381</v>
      </c>
      <c r="J106" s="18"/>
      <c r="K106" s="18"/>
      <c r="L106" s="18"/>
      <c r="M106" s="18"/>
      <c r="N106" s="18"/>
      <c r="O106" s="13">
        <f>GET_OK_GROUPS_COUNT(tbHeroEliteEnemy[[#This Row],[Camp]],tbHeroEliteEnemy[[#This Row],[Difficulty]],tbHeroEliteEnemy[[#This Row],[IsBoss]],tbHeroEliteEnemy[[#This Row],[Hero1]:[Soldier3]])</f>
        <v>3</v>
      </c>
      <c r="P106" s="7">
        <v>3</v>
      </c>
      <c r="Q106" s="18"/>
      <c r="R106" s="18" t="s">
        <v>912</v>
      </c>
      <c r="S10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三国-困难-强英+教徒</v>
      </c>
    </row>
    <row r="107" spans="2:19">
      <c r="B107" s="18" t="s">
        <v>1138</v>
      </c>
      <c r="C107" s="35" t="s">
        <v>1302</v>
      </c>
      <c r="D107" s="18">
        <v>4</v>
      </c>
      <c r="E107" s="18">
        <v>15</v>
      </c>
      <c r="F107" s="7" t="s">
        <v>151</v>
      </c>
      <c r="G107" s="18" t="s">
        <v>33</v>
      </c>
      <c r="H107" s="18"/>
      <c r="I107" s="18" t="s">
        <v>381</v>
      </c>
      <c r="J107" s="18"/>
      <c r="K107" s="18"/>
      <c r="L107" s="18"/>
      <c r="M107" s="18"/>
      <c r="N107" s="18"/>
      <c r="O107" s="13">
        <f>GET_OK_GROUPS_COUNT(tbHeroEliteEnemy[[#This Row],[Camp]],tbHeroEliteEnemy[[#This Row],[Difficulty]],tbHeroEliteEnemy[[#This Row],[IsBoss]],tbHeroEliteEnemy[[#This Row],[Hero1]:[Soldier3]])</f>
        <v>4</v>
      </c>
      <c r="P107" s="7">
        <v>4</v>
      </c>
      <c r="Q107" s="18"/>
      <c r="R107" s="18" t="s">
        <v>912</v>
      </c>
      <c r="S10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三国-普通-强英+教徒</v>
      </c>
    </row>
    <row r="108" spans="2:19">
      <c r="B108" s="18" t="s">
        <v>1138</v>
      </c>
      <c r="C108" s="35" t="s">
        <v>1302</v>
      </c>
      <c r="D108" s="18">
        <v>5</v>
      </c>
      <c r="E108" s="18">
        <v>15</v>
      </c>
      <c r="F108" s="7" t="s">
        <v>151</v>
      </c>
      <c r="G108" s="18" t="s">
        <v>35</v>
      </c>
      <c r="H108" s="18"/>
      <c r="I108" s="18" t="s">
        <v>383</v>
      </c>
      <c r="J108" s="18"/>
      <c r="K108" s="18"/>
      <c r="L108" s="18"/>
      <c r="M108" s="18"/>
      <c r="N108" s="18"/>
      <c r="O108" s="13">
        <f>GET_OK_GROUPS_COUNT(tbHeroEliteEnemy[[#This Row],[Camp]],tbHeroEliteEnemy[[#This Row],[Difficulty]],tbHeroEliteEnemy[[#This Row],[IsBoss]],tbHeroEliteEnemy[[#This Row],[Hero1]:[Soldier3]])</f>
        <v>3</v>
      </c>
      <c r="P108" s="7">
        <v>3</v>
      </c>
      <c r="Q108" s="18"/>
      <c r="R108" s="18" t="s">
        <v>912</v>
      </c>
      <c r="S10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三国-困难-炼英+教徒</v>
      </c>
    </row>
    <row r="109" spans="2:19">
      <c r="B109" s="18" t="s">
        <v>1138</v>
      </c>
      <c r="C109" s="35" t="s">
        <v>1302</v>
      </c>
      <c r="D109" s="18">
        <v>6</v>
      </c>
      <c r="E109" s="18">
        <v>15</v>
      </c>
      <c r="F109" s="7" t="s">
        <v>151</v>
      </c>
      <c r="G109" s="18" t="s">
        <v>33</v>
      </c>
      <c r="H109" s="18"/>
      <c r="I109" s="18" t="s">
        <v>384</v>
      </c>
      <c r="J109" s="18"/>
      <c r="K109" s="18"/>
      <c r="L109" s="18"/>
      <c r="M109" s="18"/>
      <c r="N109" s="18"/>
      <c r="O109" s="13">
        <f>GET_OK_GROUPS_COUNT(tbHeroEliteEnemy[[#This Row],[Camp]],tbHeroEliteEnemy[[#This Row],[Difficulty]],tbHeroEliteEnemy[[#This Row],[IsBoss]],tbHeroEliteEnemy[[#This Row],[Hero1]:[Soldier3]])</f>
        <v>4</v>
      </c>
      <c r="P109" s="7">
        <v>4</v>
      </c>
      <c r="Q109" s="18"/>
      <c r="R109" s="18" t="s">
        <v>912</v>
      </c>
      <c r="S10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三国-普通-法英+教徒</v>
      </c>
    </row>
    <row r="110" spans="2:19">
      <c r="B110" s="18" t="s">
        <v>1138</v>
      </c>
      <c r="C110" s="35" t="s">
        <v>1302</v>
      </c>
      <c r="D110" s="18">
        <v>7</v>
      </c>
      <c r="E110" s="18">
        <v>15</v>
      </c>
      <c r="F110" s="7" t="s">
        <v>151</v>
      </c>
      <c r="G110" s="18" t="s">
        <v>33</v>
      </c>
      <c r="H110" s="18"/>
      <c r="I110" s="18" t="s">
        <v>385</v>
      </c>
      <c r="J110" s="18"/>
      <c r="K110" s="18"/>
      <c r="L110" s="18"/>
      <c r="M110" s="18"/>
      <c r="N110" s="18"/>
      <c r="O110" s="13">
        <f>GET_OK_GROUPS_COUNT(tbHeroEliteEnemy[[#This Row],[Camp]],tbHeroEliteEnemy[[#This Row],[Difficulty]],tbHeroEliteEnemy[[#This Row],[IsBoss]],tbHeroEliteEnemy[[#This Row],[Hero1]:[Soldier3]])</f>
        <v>4</v>
      </c>
      <c r="P110" s="7">
        <v>3</v>
      </c>
      <c r="Q110" s="18"/>
      <c r="R110" s="18" t="s">
        <v>912</v>
      </c>
      <c r="S11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111" spans="2:19">
      <c r="B111" s="18" t="s">
        <v>1138</v>
      </c>
      <c r="C111" s="35" t="s">
        <v>1302</v>
      </c>
      <c r="D111" s="18">
        <v>8</v>
      </c>
      <c r="E111" s="18">
        <v>15</v>
      </c>
      <c r="F111" s="7" t="s">
        <v>151</v>
      </c>
      <c r="G111" s="18" t="s">
        <v>35</v>
      </c>
      <c r="H111" s="18"/>
      <c r="I111" s="18" t="s">
        <v>384</v>
      </c>
      <c r="J111" s="18"/>
      <c r="K111" s="18"/>
      <c r="L111" s="18"/>
      <c r="M111" s="18"/>
      <c r="N111" s="18"/>
      <c r="O111" s="13">
        <f>GET_OK_GROUPS_COUNT(tbHeroEliteEnemy[[#This Row],[Camp]],tbHeroEliteEnemy[[#This Row],[Difficulty]],tbHeroEliteEnemy[[#This Row],[IsBoss]],tbHeroEliteEnemy[[#This Row],[Hero1]:[Soldier3]])</f>
        <v>3</v>
      </c>
      <c r="P111" s="7">
        <v>3</v>
      </c>
      <c r="Q111" s="18"/>
      <c r="R111" s="18" t="s">
        <v>912</v>
      </c>
      <c r="S11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12" spans="2:19">
      <c r="B112" s="18" t="s">
        <v>1138</v>
      </c>
      <c r="C112" s="35" t="s">
        <v>1302</v>
      </c>
      <c r="D112" s="18">
        <v>9</v>
      </c>
      <c r="E112" s="18">
        <v>15</v>
      </c>
      <c r="F112" s="7" t="s">
        <v>151</v>
      </c>
      <c r="G112" s="18" t="s">
        <v>36</v>
      </c>
      <c r="H112" s="18" t="b">
        <v>1</v>
      </c>
      <c r="I112" s="18" t="s">
        <v>427</v>
      </c>
      <c r="J112" s="18" t="s">
        <v>385</v>
      </c>
      <c r="K112" s="18"/>
      <c r="L112" s="18"/>
      <c r="M112" s="18"/>
      <c r="N112" s="18"/>
      <c r="O112" s="13">
        <f>GET_OK_GROUPS_COUNT(tbHeroEliteEnemy[[#This Row],[Camp]],tbHeroEliteEnemy[[#This Row],[Difficulty]],tbHeroEliteEnemy[[#This Row],[IsBoss]],tbHeroEliteEnemy[[#This Row],[Hero1]:[Soldier3]])</f>
        <v>1</v>
      </c>
      <c r="P112" s="7">
        <v>1</v>
      </c>
      <c r="Q112" s="18"/>
      <c r="R112" s="18" t="s">
        <v>427</v>
      </c>
      <c r="S112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三国-超难-[B]炼英+刺英</v>
      </c>
    </row>
    <row r="113" spans="2:19">
      <c r="B113" s="18" t="s">
        <v>1139</v>
      </c>
      <c r="C113" s="35" t="s">
        <v>1302</v>
      </c>
      <c r="D113" s="18">
        <v>1</v>
      </c>
      <c r="E113" s="18">
        <v>5</v>
      </c>
      <c r="F113" s="7" t="s">
        <v>151</v>
      </c>
      <c r="G113" s="16" t="s">
        <v>29</v>
      </c>
      <c r="H113" s="7"/>
      <c r="I113" s="18"/>
      <c r="J113" s="18"/>
      <c r="K113" s="18"/>
      <c r="L113" s="18" t="s">
        <v>49</v>
      </c>
      <c r="M113" s="18"/>
      <c r="N113" s="18"/>
      <c r="O113" s="13">
        <f>GET_OK_GROUPS_COUNT(tbHeroEliteEnemy[[#This Row],[Camp]],tbHeroEliteEnemy[[#This Row],[Difficulty]],tbHeroEliteEnemy[[#This Row],[IsBoss]],tbHeroEliteEnemy[[#This Row],[Hero1]:[Soldier3]])</f>
        <v>1</v>
      </c>
      <c r="P113" s="7">
        <v>1</v>
      </c>
      <c r="Q113" s="18"/>
      <c r="R113" s="18" t="s">
        <v>912</v>
      </c>
      <c r="S11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14" spans="2:19">
      <c r="B114" s="18" t="s">
        <v>1139</v>
      </c>
      <c r="C114" s="35" t="s">
        <v>1302</v>
      </c>
      <c r="D114" s="18">
        <v>2</v>
      </c>
      <c r="E114" s="18">
        <v>15</v>
      </c>
      <c r="F114" s="7" t="s">
        <v>151</v>
      </c>
      <c r="G114" s="18" t="s">
        <v>29</v>
      </c>
      <c r="H114" s="18"/>
      <c r="I114" s="18"/>
      <c r="J114" s="18"/>
      <c r="K114" s="18"/>
      <c r="L114" s="18" t="s">
        <v>26</v>
      </c>
      <c r="M114" s="18"/>
      <c r="N114" s="18"/>
      <c r="O114" s="13">
        <f>GET_OK_GROUPS_COUNT(tbHeroEliteEnemy[[#This Row],[Camp]],tbHeroEliteEnemy[[#This Row],[Difficulty]],tbHeroEliteEnemy[[#This Row],[IsBoss]],tbHeroEliteEnemy[[#This Row],[Hero1]:[Soldier3]])</f>
        <v>3</v>
      </c>
      <c r="P114" s="7">
        <v>2</v>
      </c>
      <c r="Q114" s="18"/>
      <c r="R114" s="18" t="s">
        <v>912</v>
      </c>
      <c r="S11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三国-简单-铁兵+强兵</v>
      </c>
    </row>
    <row r="115" spans="2:19">
      <c r="B115" s="18" t="s">
        <v>1139</v>
      </c>
      <c r="C115" s="35" t="s">
        <v>1302</v>
      </c>
      <c r="D115" s="18">
        <v>3</v>
      </c>
      <c r="E115" s="18">
        <v>15</v>
      </c>
      <c r="F115" s="7" t="s">
        <v>151</v>
      </c>
      <c r="G115" s="18" t="s">
        <v>35</v>
      </c>
      <c r="H115" s="18"/>
      <c r="I115" s="18" t="s">
        <v>380</v>
      </c>
      <c r="J115" s="18"/>
      <c r="K115" s="18"/>
      <c r="L115" s="18"/>
      <c r="M115" s="18"/>
      <c r="N115" s="18"/>
      <c r="O115" s="13">
        <f>GET_OK_GROUPS_COUNT(tbHeroEliteEnemy[[#This Row],[Camp]],tbHeroEliteEnemy[[#This Row],[Difficulty]],tbHeroEliteEnemy[[#This Row],[IsBoss]],tbHeroEliteEnemy[[#This Row],[Hero1]:[Soldier3]])</f>
        <v>4</v>
      </c>
      <c r="P115" s="7">
        <v>2</v>
      </c>
      <c r="Q115" s="18"/>
      <c r="R115" s="18" t="s">
        <v>912</v>
      </c>
      <c r="S11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三国-困难-盾英+炼兵</v>
      </c>
    </row>
    <row r="116" spans="2:19">
      <c r="B116" s="18" t="s">
        <v>1139</v>
      </c>
      <c r="C116" s="35" t="s">
        <v>1302</v>
      </c>
      <c r="D116" s="18">
        <v>4</v>
      </c>
      <c r="E116" s="18">
        <v>15</v>
      </c>
      <c r="F116" s="7" t="s">
        <v>151</v>
      </c>
      <c r="G116" s="18" t="s">
        <v>33</v>
      </c>
      <c r="H116" s="18"/>
      <c r="I116" s="18" t="s">
        <v>381</v>
      </c>
      <c r="J116" s="18"/>
      <c r="K116" s="18"/>
      <c r="L116" s="18"/>
      <c r="M116" s="18"/>
      <c r="N116" s="18"/>
      <c r="O116" s="13">
        <f>GET_OK_GROUPS_COUNT(tbHeroEliteEnemy[[#This Row],[Camp]],tbHeroEliteEnemy[[#This Row],[Difficulty]],tbHeroEliteEnemy[[#This Row],[IsBoss]],tbHeroEliteEnemy[[#This Row],[Hero1]:[Soldier3]])</f>
        <v>4</v>
      </c>
      <c r="P116" s="7">
        <v>4</v>
      </c>
      <c r="Q116" s="18"/>
      <c r="R116" s="18" t="s">
        <v>912</v>
      </c>
      <c r="S11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三国-普通-强英+教徒</v>
      </c>
    </row>
    <row r="117" spans="2:19">
      <c r="B117" s="18" t="s">
        <v>1139</v>
      </c>
      <c r="C117" s="35" t="s">
        <v>1302</v>
      </c>
      <c r="D117" s="18">
        <v>5</v>
      </c>
      <c r="E117" s="18">
        <v>15</v>
      </c>
      <c r="F117" s="7" t="s">
        <v>151</v>
      </c>
      <c r="G117" s="18" t="s">
        <v>35</v>
      </c>
      <c r="H117" s="18"/>
      <c r="I117" s="18" t="s">
        <v>384</v>
      </c>
      <c r="J117" s="18"/>
      <c r="K117" s="18"/>
      <c r="L117" s="18"/>
      <c r="M117" s="18"/>
      <c r="N117" s="18"/>
      <c r="O117" s="13">
        <f>GET_OK_GROUPS_COUNT(tbHeroEliteEnemy[[#This Row],[Camp]],tbHeroEliteEnemy[[#This Row],[Difficulty]],tbHeroEliteEnemy[[#This Row],[IsBoss]],tbHeroEliteEnemy[[#This Row],[Hero1]:[Soldier3]])</f>
        <v>3</v>
      </c>
      <c r="P117" s="7">
        <v>2</v>
      </c>
      <c r="Q117" s="18"/>
      <c r="R117" s="18" t="s">
        <v>912</v>
      </c>
      <c r="S11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三国-困难-法英+盾兵</v>
      </c>
    </row>
    <row r="118" spans="2:19">
      <c r="B118" s="18" t="s">
        <v>1139</v>
      </c>
      <c r="C118" s="35" t="s">
        <v>1302</v>
      </c>
      <c r="D118" s="18">
        <v>6</v>
      </c>
      <c r="E118" s="18">
        <v>15</v>
      </c>
      <c r="F118" s="7" t="s">
        <v>151</v>
      </c>
      <c r="G118" s="18" t="s">
        <v>33</v>
      </c>
      <c r="H118" s="18"/>
      <c r="I118" s="18" t="s">
        <v>380</v>
      </c>
      <c r="J118" s="18"/>
      <c r="K118" s="18"/>
      <c r="L118" s="18"/>
      <c r="M118" s="18"/>
      <c r="N118" s="18"/>
      <c r="O118" s="13">
        <f>GET_OK_GROUPS_COUNT(tbHeroEliteEnemy[[#This Row],[Camp]],tbHeroEliteEnemy[[#This Row],[Difficulty]],tbHeroEliteEnemy[[#This Row],[IsBoss]],tbHeroEliteEnemy[[#This Row],[Hero1]:[Soldier3]])</f>
        <v>5</v>
      </c>
      <c r="P118" s="7">
        <v>4</v>
      </c>
      <c r="Q118" s="18"/>
      <c r="R118" s="18" t="s">
        <v>912</v>
      </c>
      <c r="S11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三国-普通-盾英+法兵</v>
      </c>
    </row>
    <row r="119" spans="2:19">
      <c r="B119" s="18" t="s">
        <v>1139</v>
      </c>
      <c r="C119" s="35" t="s">
        <v>1302</v>
      </c>
      <c r="D119" s="18">
        <v>7</v>
      </c>
      <c r="E119" s="18">
        <v>15</v>
      </c>
      <c r="F119" s="7" t="s">
        <v>151</v>
      </c>
      <c r="G119" s="18" t="s">
        <v>33</v>
      </c>
      <c r="H119" s="18"/>
      <c r="I119" s="18" t="s">
        <v>380</v>
      </c>
      <c r="J119" s="18"/>
      <c r="K119" s="18"/>
      <c r="L119" s="18"/>
      <c r="M119" s="18"/>
      <c r="N119" s="18"/>
      <c r="O119" s="13">
        <f>GET_OK_GROUPS_COUNT(tbHeroEliteEnemy[[#This Row],[Camp]],tbHeroEliteEnemy[[#This Row],[Difficulty]],tbHeroEliteEnemy[[#This Row],[IsBoss]],tbHeroEliteEnemy[[#This Row],[Hero1]:[Soldier3]])</f>
        <v>5</v>
      </c>
      <c r="P119" s="7">
        <v>5</v>
      </c>
      <c r="Q119" s="18"/>
      <c r="R119" s="18" t="s">
        <v>912</v>
      </c>
      <c r="S11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120" spans="2:19">
      <c r="B120" s="18" t="s">
        <v>1139</v>
      </c>
      <c r="C120" s="35" t="s">
        <v>1302</v>
      </c>
      <c r="D120" s="18">
        <v>8</v>
      </c>
      <c r="E120" s="18">
        <v>15</v>
      </c>
      <c r="F120" s="7" t="s">
        <v>151</v>
      </c>
      <c r="G120" s="18" t="s">
        <v>35</v>
      </c>
      <c r="H120" s="18"/>
      <c r="I120" s="18" t="s">
        <v>385</v>
      </c>
      <c r="J120" s="18"/>
      <c r="K120" s="18"/>
      <c r="L120" s="18"/>
      <c r="M120" s="18"/>
      <c r="N120" s="18"/>
      <c r="O120" s="13">
        <f>GET_OK_GROUPS_COUNT(tbHeroEliteEnemy[[#This Row],[Camp]],tbHeroEliteEnemy[[#This Row],[Difficulty]],tbHeroEliteEnemy[[#This Row],[IsBoss]],tbHeroEliteEnemy[[#This Row],[Hero1]:[Soldier3]])</f>
        <v>3</v>
      </c>
      <c r="P120" s="7">
        <v>3</v>
      </c>
      <c r="Q120" s="18"/>
      <c r="R120" s="18" t="s">
        <v>912</v>
      </c>
      <c r="S12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121" spans="2:19">
      <c r="B121" s="18" t="s">
        <v>1139</v>
      </c>
      <c r="C121" s="35" t="s">
        <v>1302</v>
      </c>
      <c r="D121" s="18">
        <v>9</v>
      </c>
      <c r="E121" s="18">
        <v>15</v>
      </c>
      <c r="F121" s="7" t="s">
        <v>151</v>
      </c>
      <c r="G121" s="18" t="s">
        <v>36</v>
      </c>
      <c r="H121" s="18" t="b">
        <v>1</v>
      </c>
      <c r="I121" s="18" t="s">
        <v>428</v>
      </c>
      <c r="J121" s="18" t="s">
        <v>380</v>
      </c>
      <c r="K121" s="18"/>
      <c r="L121" s="18"/>
      <c r="M121" s="18"/>
      <c r="N121" s="18"/>
      <c r="O121" s="13">
        <f>GET_OK_GROUPS_COUNT(tbHeroEliteEnemy[[#This Row],[Camp]],tbHeroEliteEnemy[[#This Row],[Difficulty]],tbHeroEliteEnemy[[#This Row],[IsBoss]],tbHeroEliteEnemy[[#This Row],[Hero1]:[Soldier3]])</f>
        <v>1</v>
      </c>
      <c r="P121" s="7">
        <v>1</v>
      </c>
      <c r="Q121" s="18"/>
      <c r="R121" s="18" t="s">
        <v>428</v>
      </c>
      <c r="S121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三国-超难-[B]盾英+盾英</v>
      </c>
    </row>
    <row r="122" spans="2:19">
      <c r="B122" s="18" t="s">
        <v>1140</v>
      </c>
      <c r="C122" s="35" t="s">
        <v>1302</v>
      </c>
      <c r="D122" s="18">
        <v>1</v>
      </c>
      <c r="E122" s="18">
        <v>5</v>
      </c>
      <c r="F122" s="7" t="s">
        <v>151</v>
      </c>
      <c r="G122" s="16" t="s">
        <v>29</v>
      </c>
      <c r="H122" s="7"/>
      <c r="I122" s="18"/>
      <c r="J122" s="18"/>
      <c r="K122" s="18"/>
      <c r="L122" s="18" t="s">
        <v>34</v>
      </c>
      <c r="M122" s="18"/>
      <c r="N122" s="18"/>
      <c r="O122" s="13">
        <f>GET_OK_GROUPS_COUNT(tbHeroEliteEnemy[[#This Row],[Camp]],tbHeroEliteEnemy[[#This Row],[Difficulty]],tbHeroEliteEnemy[[#This Row],[IsBoss]],tbHeroEliteEnemy[[#This Row],[Hero1]:[Soldier3]])</f>
        <v>4</v>
      </c>
      <c r="P122" s="7">
        <v>4</v>
      </c>
      <c r="Q122" s="18"/>
      <c r="R122" s="18" t="s">
        <v>912</v>
      </c>
      <c r="S12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123" spans="2:19">
      <c r="B123" s="18" t="s">
        <v>1140</v>
      </c>
      <c r="C123" s="35" t="s">
        <v>1302</v>
      </c>
      <c r="D123" s="18">
        <v>2</v>
      </c>
      <c r="E123" s="18">
        <v>15</v>
      </c>
      <c r="F123" s="7" t="s">
        <v>151</v>
      </c>
      <c r="G123" s="18" t="s">
        <v>29</v>
      </c>
      <c r="H123" s="18"/>
      <c r="I123" s="18"/>
      <c r="J123" s="18"/>
      <c r="K123" s="18"/>
      <c r="L123" s="18" t="s">
        <v>34</v>
      </c>
      <c r="M123" s="18"/>
      <c r="N123" s="18"/>
      <c r="O123" s="13">
        <f>GET_OK_GROUPS_COUNT(tbHeroEliteEnemy[[#This Row],[Camp]],tbHeroEliteEnemy[[#This Row],[Difficulty]],tbHeroEliteEnemy[[#This Row],[IsBoss]],tbHeroEliteEnemy[[#This Row],[Hero1]:[Soldier3]])</f>
        <v>4</v>
      </c>
      <c r="P123" s="7">
        <v>2</v>
      </c>
      <c r="Q123" s="18"/>
      <c r="R123" s="18" t="s">
        <v>912</v>
      </c>
      <c r="S12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124" spans="2:19">
      <c r="B124" s="18" t="s">
        <v>1140</v>
      </c>
      <c r="C124" s="35" t="s">
        <v>1302</v>
      </c>
      <c r="D124" s="18">
        <v>3</v>
      </c>
      <c r="E124" s="18">
        <v>15</v>
      </c>
      <c r="F124" s="7" t="s">
        <v>151</v>
      </c>
      <c r="G124" s="18" t="s">
        <v>35</v>
      </c>
      <c r="H124" s="18"/>
      <c r="I124" s="18" t="s">
        <v>384</v>
      </c>
      <c r="J124" s="18"/>
      <c r="K124" s="18"/>
      <c r="L124" s="18"/>
      <c r="M124" s="18"/>
      <c r="N124" s="18"/>
      <c r="O124" s="13">
        <f>GET_OK_GROUPS_COUNT(tbHeroEliteEnemy[[#This Row],[Camp]],tbHeroEliteEnemy[[#This Row],[Difficulty]],tbHeroEliteEnemy[[#This Row],[IsBoss]],tbHeroEliteEnemy[[#This Row],[Hero1]:[Soldier3]])</f>
        <v>3</v>
      </c>
      <c r="P124" s="7">
        <v>3</v>
      </c>
      <c r="Q124" s="18"/>
      <c r="R124" s="18" t="s">
        <v>912</v>
      </c>
      <c r="S12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25" spans="2:19">
      <c r="B125" s="18" t="s">
        <v>1140</v>
      </c>
      <c r="C125" s="35" t="s">
        <v>1302</v>
      </c>
      <c r="D125" s="18">
        <v>4</v>
      </c>
      <c r="E125" s="18">
        <v>15</v>
      </c>
      <c r="F125" s="7" t="s">
        <v>151</v>
      </c>
      <c r="G125" s="18" t="s">
        <v>33</v>
      </c>
      <c r="H125" s="18"/>
      <c r="I125" s="18" t="s">
        <v>382</v>
      </c>
      <c r="J125" s="18"/>
      <c r="K125" s="18"/>
      <c r="L125" s="18"/>
      <c r="M125" s="18"/>
      <c r="N125" s="18"/>
      <c r="O125" s="13">
        <f>GET_OK_GROUPS_COUNT(tbHeroEliteEnemy[[#This Row],[Camp]],tbHeroEliteEnemy[[#This Row],[Difficulty]],tbHeroEliteEnemy[[#This Row],[IsBoss]],tbHeroEliteEnemy[[#This Row],[Hero1]:[Soldier3]])</f>
        <v>5</v>
      </c>
      <c r="P125" s="7">
        <v>2</v>
      </c>
      <c r="Q125" s="18"/>
      <c r="R125" s="18" t="s">
        <v>912</v>
      </c>
      <c r="S12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三国-普通-铁英+强兵</v>
      </c>
    </row>
    <row r="126" spans="2:19">
      <c r="B126" s="18" t="s">
        <v>1140</v>
      </c>
      <c r="C126" s="35" t="s">
        <v>1302</v>
      </c>
      <c r="D126" s="18">
        <v>5</v>
      </c>
      <c r="E126" s="18">
        <v>15</v>
      </c>
      <c r="F126" s="7" t="s">
        <v>151</v>
      </c>
      <c r="G126" s="18" t="s">
        <v>35</v>
      </c>
      <c r="H126" s="18"/>
      <c r="I126" s="18" t="s">
        <v>383</v>
      </c>
      <c r="J126" s="18"/>
      <c r="K126" s="18"/>
      <c r="L126" s="18"/>
      <c r="M126" s="18"/>
      <c r="N126" s="18"/>
      <c r="O126" s="13">
        <f>GET_OK_GROUPS_COUNT(tbHeroEliteEnemy[[#This Row],[Camp]],tbHeroEliteEnemy[[#This Row],[Difficulty]],tbHeroEliteEnemy[[#This Row],[IsBoss]],tbHeroEliteEnemy[[#This Row],[Hero1]:[Soldier3]])</f>
        <v>3</v>
      </c>
      <c r="P126" s="7">
        <v>1</v>
      </c>
      <c r="Q126" s="18"/>
      <c r="R126" s="18" t="s">
        <v>912</v>
      </c>
      <c r="S12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27" spans="2:19">
      <c r="B127" s="18" t="s">
        <v>1140</v>
      </c>
      <c r="C127" s="35" t="s">
        <v>1302</v>
      </c>
      <c r="D127" s="18">
        <v>6</v>
      </c>
      <c r="E127" s="18">
        <v>15</v>
      </c>
      <c r="F127" s="7" t="s">
        <v>151</v>
      </c>
      <c r="G127" s="18" t="s">
        <v>33</v>
      </c>
      <c r="H127" s="18"/>
      <c r="I127" s="18" t="s">
        <v>380</v>
      </c>
      <c r="J127" s="18"/>
      <c r="K127" s="18"/>
      <c r="L127" s="18"/>
      <c r="M127" s="18"/>
      <c r="N127" s="18"/>
      <c r="O127" s="13">
        <f>GET_OK_GROUPS_COUNT(tbHeroEliteEnemy[[#This Row],[Camp]],tbHeroEliteEnemy[[#This Row],[Difficulty]],tbHeroEliteEnemy[[#This Row],[IsBoss]],tbHeroEliteEnemy[[#This Row],[Hero1]:[Soldier3]])</f>
        <v>5</v>
      </c>
      <c r="P127" s="7">
        <v>2</v>
      </c>
      <c r="Q127" s="18"/>
      <c r="R127" s="18" t="s">
        <v>912</v>
      </c>
      <c r="S12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三国-普通-盾英+强兵</v>
      </c>
    </row>
    <row r="128" spans="2:19">
      <c r="B128" s="18" t="s">
        <v>1140</v>
      </c>
      <c r="C128" s="35" t="s">
        <v>1302</v>
      </c>
      <c r="D128" s="18">
        <v>7</v>
      </c>
      <c r="E128" s="18">
        <v>15</v>
      </c>
      <c r="F128" s="7" t="s">
        <v>151</v>
      </c>
      <c r="G128" s="18" t="s">
        <v>33</v>
      </c>
      <c r="H128" s="18"/>
      <c r="I128" s="18" t="s">
        <v>384</v>
      </c>
      <c r="J128" s="18"/>
      <c r="K128" s="18"/>
      <c r="L128" s="18"/>
      <c r="M128" s="18"/>
      <c r="N128" s="18"/>
      <c r="O128" s="13">
        <f>GET_OK_GROUPS_COUNT(tbHeroEliteEnemy[[#This Row],[Camp]],tbHeroEliteEnemy[[#This Row],[Difficulty]],tbHeroEliteEnemy[[#This Row],[IsBoss]],tbHeroEliteEnemy[[#This Row],[Hero1]:[Soldier3]])</f>
        <v>4</v>
      </c>
      <c r="P128" s="7">
        <v>3</v>
      </c>
      <c r="Q128" s="18"/>
      <c r="R128" s="18" t="s">
        <v>912</v>
      </c>
      <c r="S12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三国-普通-法英+盾兵</v>
      </c>
    </row>
    <row r="129" spans="2:19">
      <c r="B129" s="18" t="s">
        <v>1140</v>
      </c>
      <c r="C129" s="35" t="s">
        <v>1302</v>
      </c>
      <c r="D129" s="18">
        <v>8</v>
      </c>
      <c r="E129" s="18">
        <v>15</v>
      </c>
      <c r="F129" s="7" t="s">
        <v>151</v>
      </c>
      <c r="G129" s="18" t="s">
        <v>35</v>
      </c>
      <c r="H129" s="18"/>
      <c r="I129" s="18" t="s">
        <v>383</v>
      </c>
      <c r="J129" s="18"/>
      <c r="K129" s="18"/>
      <c r="L129" s="18"/>
      <c r="M129" s="18"/>
      <c r="N129" s="18"/>
      <c r="O129" s="13">
        <f>GET_OK_GROUPS_COUNT(tbHeroEliteEnemy[[#This Row],[Camp]],tbHeroEliteEnemy[[#This Row],[Difficulty]],tbHeroEliteEnemy[[#This Row],[IsBoss]],tbHeroEliteEnemy[[#This Row],[Hero1]:[Soldier3]])</f>
        <v>3</v>
      </c>
      <c r="P129" s="7">
        <v>1</v>
      </c>
      <c r="Q129" s="18"/>
      <c r="R129" s="18" t="s">
        <v>912</v>
      </c>
      <c r="S12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30" spans="2:19">
      <c r="B130" s="18" t="s">
        <v>1140</v>
      </c>
      <c r="C130" s="35" t="s">
        <v>1302</v>
      </c>
      <c r="D130" s="18">
        <v>9</v>
      </c>
      <c r="E130" s="18">
        <v>15</v>
      </c>
      <c r="F130" s="7" t="s">
        <v>151</v>
      </c>
      <c r="G130" s="18" t="s">
        <v>36</v>
      </c>
      <c r="H130" s="18" t="b">
        <v>1</v>
      </c>
      <c r="I130" s="18" t="s">
        <v>429</v>
      </c>
      <c r="J130" s="18" t="s">
        <v>381</v>
      </c>
      <c r="K130" s="18"/>
      <c r="L130" s="18"/>
      <c r="M130" s="18"/>
      <c r="N130" s="18"/>
      <c r="O130" s="13">
        <f>GET_OK_GROUPS_COUNT(tbHeroEliteEnemy[[#This Row],[Camp]],tbHeroEliteEnemy[[#This Row],[Difficulty]],tbHeroEliteEnemy[[#This Row],[IsBoss]],tbHeroEliteEnemy[[#This Row],[Hero1]:[Soldier3]])</f>
        <v>1</v>
      </c>
      <c r="P130" s="7">
        <v>1</v>
      </c>
      <c r="Q130" s="18"/>
      <c r="R130" s="18" t="s">
        <v>429</v>
      </c>
      <c r="S130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三国-超难-[B]强英+强英</v>
      </c>
    </row>
    <row r="131" spans="2:19">
      <c r="B131" s="18" t="s">
        <v>1141</v>
      </c>
      <c r="C131" s="35" t="s">
        <v>1302</v>
      </c>
      <c r="D131" s="18">
        <v>1</v>
      </c>
      <c r="E131" s="18">
        <v>5</v>
      </c>
      <c r="F131" s="7" t="s">
        <v>151</v>
      </c>
      <c r="G131" s="16" t="s">
        <v>29</v>
      </c>
      <c r="H131" s="7"/>
      <c r="I131" s="18"/>
      <c r="J131" s="18"/>
      <c r="K131" s="18"/>
      <c r="L131" s="18" t="s">
        <v>447</v>
      </c>
      <c r="M131" s="18"/>
      <c r="N131" s="18"/>
      <c r="O131" s="13">
        <f>GET_OK_GROUPS_COUNT(tbHeroEliteEnemy[[#This Row],[Camp]],tbHeroEliteEnemy[[#This Row],[Difficulty]],tbHeroEliteEnemy[[#This Row],[IsBoss]],tbHeroEliteEnemy[[#This Row],[Hero1]:[Soldier3]])</f>
        <v>3</v>
      </c>
      <c r="P131" s="7">
        <v>1</v>
      </c>
      <c r="Q131" s="18"/>
      <c r="R131" s="18" t="s">
        <v>912</v>
      </c>
      <c r="S13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132" spans="2:19">
      <c r="B132" s="18" t="s">
        <v>1141</v>
      </c>
      <c r="C132" s="35" t="s">
        <v>1302</v>
      </c>
      <c r="D132" s="18">
        <v>2</v>
      </c>
      <c r="E132" s="18">
        <v>15</v>
      </c>
      <c r="F132" s="7" t="s">
        <v>151</v>
      </c>
      <c r="G132" s="18" t="s">
        <v>29</v>
      </c>
      <c r="H132" s="18"/>
      <c r="I132" s="18"/>
      <c r="J132" s="18"/>
      <c r="K132" s="18"/>
      <c r="L132" s="18" t="s">
        <v>447</v>
      </c>
      <c r="M132" s="18"/>
      <c r="N132" s="18"/>
      <c r="O132" s="13">
        <f>GET_OK_GROUPS_COUNT(tbHeroEliteEnemy[[#This Row],[Camp]],tbHeroEliteEnemy[[#This Row],[Difficulty]],tbHeroEliteEnemy[[#This Row],[IsBoss]],tbHeroEliteEnemy[[#This Row],[Hero1]:[Soldier3]])</f>
        <v>3</v>
      </c>
      <c r="P132" s="7">
        <v>1</v>
      </c>
      <c r="Q132" s="18"/>
      <c r="R132" s="18" t="s">
        <v>912</v>
      </c>
      <c r="S13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133" spans="2:19">
      <c r="B133" s="18" t="s">
        <v>1141</v>
      </c>
      <c r="C133" s="35" t="s">
        <v>1302</v>
      </c>
      <c r="D133" s="18">
        <v>3</v>
      </c>
      <c r="E133" s="18">
        <v>15</v>
      </c>
      <c r="F133" s="7" t="s">
        <v>151</v>
      </c>
      <c r="G133" s="18" t="s">
        <v>35</v>
      </c>
      <c r="H133" s="18"/>
      <c r="I133" s="18" t="s">
        <v>383</v>
      </c>
      <c r="J133" s="18"/>
      <c r="K133" s="18"/>
      <c r="L133" s="18"/>
      <c r="M133" s="18"/>
      <c r="N133" s="18"/>
      <c r="O133" s="13">
        <f>GET_OK_GROUPS_COUNT(tbHeroEliteEnemy[[#This Row],[Camp]],tbHeroEliteEnemy[[#This Row],[Difficulty]],tbHeroEliteEnemy[[#This Row],[IsBoss]],tbHeroEliteEnemy[[#This Row],[Hero1]:[Soldier3]])</f>
        <v>3</v>
      </c>
      <c r="P133" s="7">
        <v>1</v>
      </c>
      <c r="Q133" s="18"/>
      <c r="R133" s="18" t="s">
        <v>912</v>
      </c>
      <c r="S13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34" spans="2:19">
      <c r="B134" s="18" t="s">
        <v>1141</v>
      </c>
      <c r="C134" s="35" t="s">
        <v>1302</v>
      </c>
      <c r="D134" s="18">
        <v>4</v>
      </c>
      <c r="E134" s="18">
        <v>15</v>
      </c>
      <c r="F134" s="7" t="s">
        <v>151</v>
      </c>
      <c r="G134" s="18" t="s">
        <v>33</v>
      </c>
      <c r="H134" s="18"/>
      <c r="I134" s="18" t="s">
        <v>380</v>
      </c>
      <c r="J134" s="18"/>
      <c r="K134" s="18"/>
      <c r="L134" s="18"/>
      <c r="M134" s="18"/>
      <c r="N134" s="18"/>
      <c r="O134" s="13">
        <f>GET_OK_GROUPS_COUNT(tbHeroEliteEnemy[[#This Row],[Camp]],tbHeroEliteEnemy[[#This Row],[Difficulty]],tbHeroEliteEnemy[[#This Row],[IsBoss]],tbHeroEliteEnemy[[#This Row],[Hero1]:[Soldier3]])</f>
        <v>5</v>
      </c>
      <c r="P134" s="7">
        <v>5</v>
      </c>
      <c r="Q134" s="18"/>
      <c r="R134" s="18" t="s">
        <v>912</v>
      </c>
      <c r="S13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135" spans="2:19">
      <c r="B135" s="18" t="s">
        <v>1141</v>
      </c>
      <c r="C135" s="35" t="s">
        <v>1302</v>
      </c>
      <c r="D135" s="18">
        <v>5</v>
      </c>
      <c r="E135" s="18">
        <v>15</v>
      </c>
      <c r="F135" s="7" t="s">
        <v>151</v>
      </c>
      <c r="G135" s="18" t="s">
        <v>35</v>
      </c>
      <c r="H135" s="18"/>
      <c r="I135" s="18" t="s">
        <v>382</v>
      </c>
      <c r="J135" s="18"/>
      <c r="K135" s="18"/>
      <c r="L135" s="18"/>
      <c r="M135" s="18"/>
      <c r="N135" s="18"/>
      <c r="O135" s="13">
        <f>GET_OK_GROUPS_COUNT(tbHeroEliteEnemy[[#This Row],[Camp]],tbHeroEliteEnemy[[#This Row],[Difficulty]],tbHeroEliteEnemy[[#This Row],[IsBoss]],tbHeroEliteEnemy[[#This Row],[Hero1]:[Soldier3]])</f>
        <v>4</v>
      </c>
      <c r="P135" s="7">
        <v>1</v>
      </c>
      <c r="Q135" s="18"/>
      <c r="R135" s="18" t="s">
        <v>912</v>
      </c>
      <c r="S13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136" spans="2:19">
      <c r="B136" s="18" t="s">
        <v>1141</v>
      </c>
      <c r="C136" s="35" t="s">
        <v>1302</v>
      </c>
      <c r="D136" s="18">
        <v>6</v>
      </c>
      <c r="E136" s="18">
        <v>15</v>
      </c>
      <c r="F136" s="7" t="s">
        <v>151</v>
      </c>
      <c r="G136" s="18" t="s">
        <v>33</v>
      </c>
      <c r="H136" s="18"/>
      <c r="I136" s="18" t="s">
        <v>381</v>
      </c>
      <c r="J136" s="18"/>
      <c r="K136" s="18"/>
      <c r="L136" s="18"/>
      <c r="M136" s="18"/>
      <c r="N136" s="18"/>
      <c r="O136" s="13">
        <f>GET_OK_GROUPS_COUNT(tbHeroEliteEnemy[[#This Row],[Camp]],tbHeroEliteEnemy[[#This Row],[Difficulty]],tbHeroEliteEnemy[[#This Row],[IsBoss]],tbHeroEliteEnemy[[#This Row],[Hero1]:[Soldier3]])</f>
        <v>4</v>
      </c>
      <c r="P136" s="7">
        <v>2</v>
      </c>
      <c r="Q136" s="18"/>
      <c r="R136" s="18" t="s">
        <v>912</v>
      </c>
      <c r="S13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三国-普通-强英+铁兵</v>
      </c>
    </row>
    <row r="137" spans="2:19">
      <c r="B137" s="18" t="s">
        <v>1141</v>
      </c>
      <c r="C137" s="35" t="s">
        <v>1302</v>
      </c>
      <c r="D137" s="18">
        <v>7</v>
      </c>
      <c r="E137" s="18">
        <v>15</v>
      </c>
      <c r="F137" s="7" t="s">
        <v>151</v>
      </c>
      <c r="G137" s="18" t="s">
        <v>33</v>
      </c>
      <c r="H137" s="18"/>
      <c r="I137" s="18" t="s">
        <v>380</v>
      </c>
      <c r="J137" s="18"/>
      <c r="K137" s="18"/>
      <c r="L137" s="18"/>
      <c r="M137" s="18"/>
      <c r="N137" s="18"/>
      <c r="O137" s="13">
        <f>GET_OK_GROUPS_COUNT(tbHeroEliteEnemy[[#This Row],[Camp]],tbHeroEliteEnemy[[#This Row],[Difficulty]],tbHeroEliteEnemy[[#This Row],[IsBoss]],tbHeroEliteEnemy[[#This Row],[Hero1]:[Soldier3]])</f>
        <v>5</v>
      </c>
      <c r="P137" s="7">
        <v>5</v>
      </c>
      <c r="Q137" s="18"/>
      <c r="R137" s="18" t="s">
        <v>912</v>
      </c>
      <c r="S13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138" spans="2:19">
      <c r="B138" s="18" t="s">
        <v>1141</v>
      </c>
      <c r="C138" s="35" t="s">
        <v>1302</v>
      </c>
      <c r="D138" s="18">
        <v>8</v>
      </c>
      <c r="E138" s="18">
        <v>15</v>
      </c>
      <c r="F138" s="7" t="s">
        <v>151</v>
      </c>
      <c r="G138" s="18" t="s">
        <v>35</v>
      </c>
      <c r="H138" s="18"/>
      <c r="I138" s="18" t="s">
        <v>384</v>
      </c>
      <c r="J138" s="18"/>
      <c r="K138" s="18"/>
      <c r="L138" s="18"/>
      <c r="M138" s="18"/>
      <c r="N138" s="18"/>
      <c r="O138" s="13">
        <f>GET_OK_GROUPS_COUNT(tbHeroEliteEnemy[[#This Row],[Camp]],tbHeroEliteEnemy[[#This Row],[Difficulty]],tbHeroEliteEnemy[[#This Row],[IsBoss]],tbHeroEliteEnemy[[#This Row],[Hero1]:[Soldier3]])</f>
        <v>3</v>
      </c>
      <c r="P138" s="7">
        <v>3</v>
      </c>
      <c r="Q138" s="18"/>
      <c r="R138" s="18" t="s">
        <v>912</v>
      </c>
      <c r="S13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39" spans="2:19">
      <c r="B139" s="18" t="s">
        <v>1141</v>
      </c>
      <c r="C139" s="35" t="s">
        <v>1302</v>
      </c>
      <c r="D139" s="18">
        <v>9</v>
      </c>
      <c r="E139" s="18">
        <v>15</v>
      </c>
      <c r="F139" s="7" t="s">
        <v>151</v>
      </c>
      <c r="G139" s="18" t="s">
        <v>36</v>
      </c>
      <c r="H139" s="18" t="b">
        <v>1</v>
      </c>
      <c r="I139" s="18" t="s">
        <v>430</v>
      </c>
      <c r="J139" s="18" t="s">
        <v>384</v>
      </c>
      <c r="K139" s="18"/>
      <c r="L139" s="18"/>
      <c r="M139" s="18"/>
      <c r="N139" s="18"/>
      <c r="O139" s="13">
        <f>GET_OK_GROUPS_COUNT(tbHeroEliteEnemy[[#This Row],[Camp]],tbHeroEliteEnemy[[#This Row],[Difficulty]],tbHeroEliteEnemy[[#This Row],[IsBoss]],tbHeroEliteEnemy[[#This Row],[Hero1]:[Soldier3]])</f>
        <v>1</v>
      </c>
      <c r="P139" s="7">
        <v>1</v>
      </c>
      <c r="Q139" s="18"/>
      <c r="R139" s="18" t="s">
        <v>430</v>
      </c>
      <c r="S139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三国-超难-[B]法英+法英</v>
      </c>
    </row>
    <row r="140" spans="2:19">
      <c r="B140" s="18" t="s">
        <v>1142</v>
      </c>
      <c r="C140" s="35" t="s">
        <v>1302</v>
      </c>
      <c r="D140" s="18">
        <v>1</v>
      </c>
      <c r="E140" s="18">
        <v>5</v>
      </c>
      <c r="F140" s="7" t="s">
        <v>151</v>
      </c>
      <c r="G140" s="16" t="s">
        <v>29</v>
      </c>
      <c r="H140" s="7"/>
      <c r="I140" s="18"/>
      <c r="J140" s="18"/>
      <c r="K140" s="18"/>
      <c r="L140" s="18" t="s">
        <v>25</v>
      </c>
      <c r="M140" s="18"/>
      <c r="N140" s="18"/>
      <c r="O140" s="13">
        <f>GET_OK_GROUPS_COUNT(tbHeroEliteEnemy[[#This Row],[Camp]],tbHeroEliteEnemy[[#This Row],[Difficulty]],tbHeroEliteEnemy[[#This Row],[IsBoss]],tbHeroEliteEnemy[[#This Row],[Hero1]:[Soldier3]])</f>
        <v>4</v>
      </c>
      <c r="P140" s="7">
        <v>4</v>
      </c>
      <c r="Q140" s="18"/>
      <c r="R140" s="18" t="s">
        <v>912</v>
      </c>
      <c r="S14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141" spans="2:19">
      <c r="B141" s="18" t="s">
        <v>1142</v>
      </c>
      <c r="C141" s="35" t="s">
        <v>1302</v>
      </c>
      <c r="D141" s="18">
        <v>2</v>
      </c>
      <c r="E141" s="18">
        <v>15</v>
      </c>
      <c r="F141" s="7" t="s">
        <v>151</v>
      </c>
      <c r="G141" s="18" t="s">
        <v>29</v>
      </c>
      <c r="H141" s="18"/>
      <c r="I141" s="18"/>
      <c r="J141" s="18"/>
      <c r="K141" s="18"/>
      <c r="L141" s="18" t="s">
        <v>447</v>
      </c>
      <c r="M141" s="18"/>
      <c r="N141" s="18"/>
      <c r="O141" s="13">
        <f>GET_OK_GROUPS_COUNT(tbHeroEliteEnemy[[#This Row],[Camp]],tbHeroEliteEnemy[[#This Row],[Difficulty]],tbHeroEliteEnemy[[#This Row],[IsBoss]],tbHeroEliteEnemy[[#This Row],[Hero1]:[Soldier3]])</f>
        <v>3</v>
      </c>
      <c r="P141" s="7">
        <v>3</v>
      </c>
      <c r="Q141" s="18"/>
      <c r="R141" s="18" t="s">
        <v>912</v>
      </c>
      <c r="S14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142" spans="2:19">
      <c r="B142" s="18" t="s">
        <v>1142</v>
      </c>
      <c r="C142" s="35" t="s">
        <v>1302</v>
      </c>
      <c r="D142" s="18">
        <v>3</v>
      </c>
      <c r="E142" s="18">
        <v>15</v>
      </c>
      <c r="F142" s="7" t="s">
        <v>151</v>
      </c>
      <c r="G142" s="18" t="s">
        <v>35</v>
      </c>
      <c r="H142" s="18"/>
      <c r="I142" s="18" t="s">
        <v>383</v>
      </c>
      <c r="J142" s="18"/>
      <c r="K142" s="18"/>
      <c r="L142" s="18"/>
      <c r="M142" s="18"/>
      <c r="N142" s="18"/>
      <c r="O142" s="13">
        <f>GET_OK_GROUPS_COUNT(tbHeroEliteEnemy[[#This Row],[Camp]],tbHeroEliteEnemy[[#This Row],[Difficulty]],tbHeroEliteEnemy[[#This Row],[IsBoss]],tbHeroEliteEnemy[[#This Row],[Hero1]:[Soldier3]])</f>
        <v>3</v>
      </c>
      <c r="P142" s="7">
        <v>1</v>
      </c>
      <c r="Q142" s="18"/>
      <c r="R142" s="18" t="s">
        <v>912</v>
      </c>
      <c r="S14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43" spans="2:19">
      <c r="B143" s="18" t="s">
        <v>1142</v>
      </c>
      <c r="C143" s="35" t="s">
        <v>1302</v>
      </c>
      <c r="D143" s="18">
        <v>4</v>
      </c>
      <c r="E143" s="18">
        <v>15</v>
      </c>
      <c r="F143" s="7" t="s">
        <v>151</v>
      </c>
      <c r="G143" s="18" t="s">
        <v>33</v>
      </c>
      <c r="H143" s="18"/>
      <c r="I143" s="18" t="s">
        <v>385</v>
      </c>
      <c r="J143" s="18"/>
      <c r="K143" s="18"/>
      <c r="L143" s="18"/>
      <c r="M143" s="18"/>
      <c r="N143" s="18"/>
      <c r="O143" s="13">
        <f>GET_OK_GROUPS_COUNT(tbHeroEliteEnemy[[#This Row],[Camp]],tbHeroEliteEnemy[[#This Row],[Difficulty]],tbHeroEliteEnemy[[#This Row],[IsBoss]],tbHeroEliteEnemy[[#This Row],[Hero1]:[Soldier3]])</f>
        <v>4</v>
      </c>
      <c r="P143" s="7">
        <v>2</v>
      </c>
      <c r="Q143" s="18"/>
      <c r="R143" s="18" t="s">
        <v>912</v>
      </c>
      <c r="S14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三国-普通-刺英+铁兵</v>
      </c>
    </row>
    <row r="144" spans="2:19">
      <c r="B144" s="18" t="s">
        <v>1142</v>
      </c>
      <c r="C144" s="35" t="s">
        <v>1302</v>
      </c>
      <c r="D144" s="18">
        <v>5</v>
      </c>
      <c r="E144" s="18">
        <v>15</v>
      </c>
      <c r="F144" s="7" t="s">
        <v>151</v>
      </c>
      <c r="G144" s="18" t="s">
        <v>35</v>
      </c>
      <c r="H144" s="18"/>
      <c r="I144" s="18" t="s">
        <v>384</v>
      </c>
      <c r="J144" s="18"/>
      <c r="K144" s="18"/>
      <c r="L144" s="18"/>
      <c r="M144" s="18"/>
      <c r="N144" s="18"/>
      <c r="O144" s="13">
        <f>GET_OK_GROUPS_COUNT(tbHeroEliteEnemy[[#This Row],[Camp]],tbHeroEliteEnemy[[#This Row],[Difficulty]],tbHeroEliteEnemy[[#This Row],[IsBoss]],tbHeroEliteEnemy[[#This Row],[Hero1]:[Soldier3]])</f>
        <v>3</v>
      </c>
      <c r="P144" s="7">
        <v>3</v>
      </c>
      <c r="Q144" s="18"/>
      <c r="R144" s="18" t="s">
        <v>912</v>
      </c>
      <c r="S14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45" spans="2:19">
      <c r="B145" s="18" t="s">
        <v>1142</v>
      </c>
      <c r="C145" s="35" t="s">
        <v>1302</v>
      </c>
      <c r="D145" s="18">
        <v>6</v>
      </c>
      <c r="E145" s="18">
        <v>15</v>
      </c>
      <c r="F145" s="7" t="s">
        <v>151</v>
      </c>
      <c r="G145" s="18" t="s">
        <v>33</v>
      </c>
      <c r="H145" s="18"/>
      <c r="I145" s="18" t="s">
        <v>380</v>
      </c>
      <c r="J145" s="18"/>
      <c r="K145" s="18"/>
      <c r="L145" s="18"/>
      <c r="M145" s="18"/>
      <c r="N145" s="18"/>
      <c r="O145" s="13">
        <f>GET_OK_GROUPS_COUNT(tbHeroEliteEnemy[[#This Row],[Camp]],tbHeroEliteEnemy[[#This Row],[Difficulty]],tbHeroEliteEnemy[[#This Row],[IsBoss]],tbHeroEliteEnemy[[#This Row],[Hero1]:[Soldier3]])</f>
        <v>5</v>
      </c>
      <c r="P145" s="7">
        <v>1</v>
      </c>
      <c r="Q145" s="18"/>
      <c r="R145" s="18" t="s">
        <v>912</v>
      </c>
      <c r="S14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146" spans="2:19">
      <c r="B146" s="18" t="s">
        <v>1142</v>
      </c>
      <c r="C146" s="35" t="s">
        <v>1302</v>
      </c>
      <c r="D146" s="18">
        <v>7</v>
      </c>
      <c r="E146" s="18">
        <v>15</v>
      </c>
      <c r="F146" s="7" t="s">
        <v>151</v>
      </c>
      <c r="G146" s="18" t="s">
        <v>33</v>
      </c>
      <c r="H146" s="18"/>
      <c r="I146" s="18" t="s">
        <v>381</v>
      </c>
      <c r="J146" s="18"/>
      <c r="K146" s="18"/>
      <c r="L146" s="18"/>
      <c r="M146" s="18"/>
      <c r="N146" s="18"/>
      <c r="O146" s="13">
        <f>GET_OK_GROUPS_COUNT(tbHeroEliteEnemy[[#This Row],[Camp]],tbHeroEliteEnemy[[#This Row],[Difficulty]],tbHeroEliteEnemy[[#This Row],[IsBoss]],tbHeroEliteEnemy[[#This Row],[Hero1]:[Soldier3]])</f>
        <v>4</v>
      </c>
      <c r="P146" s="7">
        <v>3</v>
      </c>
      <c r="Q146" s="18"/>
      <c r="R146" s="18" t="s">
        <v>912</v>
      </c>
      <c r="S14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147" spans="2:19">
      <c r="B147" s="18" t="s">
        <v>1142</v>
      </c>
      <c r="C147" s="35" t="s">
        <v>1302</v>
      </c>
      <c r="D147" s="18">
        <v>8</v>
      </c>
      <c r="E147" s="18">
        <v>15</v>
      </c>
      <c r="F147" s="7" t="s">
        <v>151</v>
      </c>
      <c r="G147" s="18" t="s">
        <v>35</v>
      </c>
      <c r="H147" s="18"/>
      <c r="I147" s="18" t="s">
        <v>383</v>
      </c>
      <c r="J147" s="18"/>
      <c r="K147" s="18"/>
      <c r="L147" s="18"/>
      <c r="M147" s="18"/>
      <c r="N147" s="18"/>
      <c r="O147" s="13">
        <f>GET_OK_GROUPS_COUNT(tbHeroEliteEnemy[[#This Row],[Camp]],tbHeroEliteEnemy[[#This Row],[Difficulty]],tbHeroEliteEnemy[[#This Row],[IsBoss]],tbHeroEliteEnemy[[#This Row],[Hero1]:[Soldier3]])</f>
        <v>3</v>
      </c>
      <c r="P147" s="7">
        <v>3</v>
      </c>
      <c r="Q147" s="18"/>
      <c r="R147" s="18" t="s">
        <v>912</v>
      </c>
      <c r="S14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三国-困难-炼英+教徒</v>
      </c>
    </row>
    <row r="148" spans="2:19">
      <c r="B148" s="18" t="s">
        <v>1142</v>
      </c>
      <c r="C148" s="35" t="s">
        <v>1302</v>
      </c>
      <c r="D148" s="18">
        <v>9</v>
      </c>
      <c r="E148" s="18">
        <v>15</v>
      </c>
      <c r="F148" s="7" t="s">
        <v>151</v>
      </c>
      <c r="G148" s="18" t="s">
        <v>36</v>
      </c>
      <c r="H148" s="18" t="b">
        <v>1</v>
      </c>
      <c r="I148" s="18" t="s">
        <v>431</v>
      </c>
      <c r="J148" s="18" t="s">
        <v>382</v>
      </c>
      <c r="K148" s="18"/>
      <c r="L148" s="18"/>
      <c r="M148" s="18"/>
      <c r="N148" s="18"/>
      <c r="O148" s="13">
        <f>GET_OK_GROUPS_COUNT(tbHeroEliteEnemy[[#This Row],[Camp]],tbHeroEliteEnemy[[#This Row],[Difficulty]],tbHeroEliteEnemy[[#This Row],[IsBoss]],tbHeroEliteEnemy[[#This Row],[Hero1]:[Soldier3]])</f>
        <v>1</v>
      </c>
      <c r="P148" s="7">
        <v>1</v>
      </c>
      <c r="Q148" s="18"/>
      <c r="R148" s="18" t="s">
        <v>431</v>
      </c>
      <c r="S148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三国-超难-[B]铁英+刺英</v>
      </c>
    </row>
    <row r="149" spans="2:19">
      <c r="B149" s="18" t="s">
        <v>1143</v>
      </c>
      <c r="C149" s="35" t="s">
        <v>1302</v>
      </c>
      <c r="D149" s="18">
        <v>1</v>
      </c>
      <c r="E149" s="18">
        <v>5</v>
      </c>
      <c r="F149" s="7" t="s">
        <v>151</v>
      </c>
      <c r="G149" s="16" t="s">
        <v>29</v>
      </c>
      <c r="H149" s="7"/>
      <c r="I149" s="18"/>
      <c r="J149" s="18"/>
      <c r="K149" s="18"/>
      <c r="L149" s="18" t="s">
        <v>34</v>
      </c>
      <c r="M149" s="18"/>
      <c r="N149" s="18"/>
      <c r="O149" s="13">
        <f>GET_OK_GROUPS_COUNT(tbHeroEliteEnemy[[#This Row],[Camp]],tbHeroEliteEnemy[[#This Row],[Difficulty]],tbHeroEliteEnemy[[#This Row],[IsBoss]],tbHeroEliteEnemy[[#This Row],[Hero1]:[Soldier3]])</f>
        <v>4</v>
      </c>
      <c r="P149" s="7">
        <v>4</v>
      </c>
      <c r="Q149" s="18"/>
      <c r="R149" s="18" t="s">
        <v>912</v>
      </c>
      <c r="S14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150" spans="2:19">
      <c r="B150" s="18" t="s">
        <v>1143</v>
      </c>
      <c r="C150" s="35" t="s">
        <v>1302</v>
      </c>
      <c r="D150" s="18">
        <v>2</v>
      </c>
      <c r="E150" s="18">
        <v>15</v>
      </c>
      <c r="F150" s="7" t="s">
        <v>151</v>
      </c>
      <c r="G150" s="18" t="s">
        <v>29</v>
      </c>
      <c r="H150" s="18"/>
      <c r="I150" s="18"/>
      <c r="J150" s="18"/>
      <c r="K150" s="18"/>
      <c r="L150" s="18" t="s">
        <v>26</v>
      </c>
      <c r="M150" s="18"/>
      <c r="N150" s="18"/>
      <c r="O150" s="13">
        <f>GET_OK_GROUPS_COUNT(tbHeroEliteEnemy[[#This Row],[Camp]],tbHeroEliteEnemy[[#This Row],[Difficulty]],tbHeroEliteEnemy[[#This Row],[IsBoss]],tbHeroEliteEnemy[[#This Row],[Hero1]:[Soldier3]])</f>
        <v>3</v>
      </c>
      <c r="P150" s="7">
        <v>1</v>
      </c>
      <c r="Q150" s="18"/>
      <c r="R150" s="18" t="s">
        <v>912</v>
      </c>
      <c r="S15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三国-简单-强兵</v>
      </c>
    </row>
    <row r="151" spans="2:19">
      <c r="B151" s="18" t="s">
        <v>1143</v>
      </c>
      <c r="C151" s="35" t="s">
        <v>1302</v>
      </c>
      <c r="D151" s="18">
        <v>3</v>
      </c>
      <c r="E151" s="18">
        <v>15</v>
      </c>
      <c r="F151" s="7" t="s">
        <v>151</v>
      </c>
      <c r="G151" s="18" t="s">
        <v>35</v>
      </c>
      <c r="H151" s="18"/>
      <c r="I151" s="18" t="s">
        <v>380</v>
      </c>
      <c r="J151" s="18"/>
      <c r="K151" s="18"/>
      <c r="L151" s="18"/>
      <c r="M151" s="18"/>
      <c r="N151" s="18"/>
      <c r="O151" s="13">
        <f>GET_OK_GROUPS_COUNT(tbHeroEliteEnemy[[#This Row],[Camp]],tbHeroEliteEnemy[[#This Row],[Difficulty]],tbHeroEliteEnemy[[#This Row],[IsBoss]],tbHeroEliteEnemy[[#This Row],[Hero1]:[Soldier3]])</f>
        <v>4</v>
      </c>
      <c r="P151" s="7">
        <v>1</v>
      </c>
      <c r="Q151" s="18"/>
      <c r="R151" s="18" t="s">
        <v>912</v>
      </c>
      <c r="S15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152" spans="2:19">
      <c r="B152" s="18" t="s">
        <v>1143</v>
      </c>
      <c r="C152" s="35" t="s">
        <v>1302</v>
      </c>
      <c r="D152" s="18">
        <v>4</v>
      </c>
      <c r="E152" s="18">
        <v>15</v>
      </c>
      <c r="F152" s="7" t="s">
        <v>151</v>
      </c>
      <c r="G152" s="18" t="s">
        <v>33</v>
      </c>
      <c r="H152" s="18"/>
      <c r="I152" s="18" t="s">
        <v>382</v>
      </c>
      <c r="J152" s="18"/>
      <c r="K152" s="18"/>
      <c r="L152" s="18"/>
      <c r="M152" s="18"/>
      <c r="N152" s="18"/>
      <c r="O152" s="13">
        <f>GET_OK_GROUPS_COUNT(tbHeroEliteEnemy[[#This Row],[Camp]],tbHeroEliteEnemy[[#This Row],[Difficulty]],tbHeroEliteEnemy[[#This Row],[IsBoss]],tbHeroEliteEnemy[[#This Row],[Hero1]:[Soldier3]])</f>
        <v>5</v>
      </c>
      <c r="P152" s="7">
        <v>1</v>
      </c>
      <c r="Q152" s="18"/>
      <c r="R152" s="18" t="s">
        <v>912</v>
      </c>
      <c r="S15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153" spans="2:19">
      <c r="B153" s="18" t="s">
        <v>1143</v>
      </c>
      <c r="C153" s="35" t="s">
        <v>1302</v>
      </c>
      <c r="D153" s="18">
        <v>5</v>
      </c>
      <c r="E153" s="18">
        <v>15</v>
      </c>
      <c r="F153" s="7" t="s">
        <v>151</v>
      </c>
      <c r="G153" s="18" t="s">
        <v>35</v>
      </c>
      <c r="H153" s="18"/>
      <c r="I153" s="18" t="s">
        <v>384</v>
      </c>
      <c r="J153" s="18"/>
      <c r="K153" s="18"/>
      <c r="L153" s="18"/>
      <c r="M153" s="18"/>
      <c r="N153" s="18"/>
      <c r="O153" s="13">
        <f>GET_OK_GROUPS_COUNT(tbHeroEliteEnemy[[#This Row],[Camp]],tbHeroEliteEnemy[[#This Row],[Difficulty]],tbHeroEliteEnemy[[#This Row],[IsBoss]],tbHeroEliteEnemy[[#This Row],[Hero1]:[Soldier3]])</f>
        <v>3</v>
      </c>
      <c r="P153" s="7">
        <v>2</v>
      </c>
      <c r="Q153" s="18"/>
      <c r="R153" s="18" t="s">
        <v>912</v>
      </c>
      <c r="S15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三国-困难-法英+盾兵</v>
      </c>
    </row>
    <row r="154" spans="2:19">
      <c r="B154" s="18" t="s">
        <v>1143</v>
      </c>
      <c r="C154" s="35" t="s">
        <v>1302</v>
      </c>
      <c r="D154" s="18">
        <v>6</v>
      </c>
      <c r="E154" s="18">
        <v>15</v>
      </c>
      <c r="F154" s="7" t="s">
        <v>151</v>
      </c>
      <c r="G154" s="18" t="s">
        <v>33</v>
      </c>
      <c r="H154" s="18"/>
      <c r="I154" s="18" t="s">
        <v>383</v>
      </c>
      <c r="J154" s="18"/>
      <c r="K154" s="18"/>
      <c r="L154" s="18"/>
      <c r="M154" s="18"/>
      <c r="N154" s="18"/>
      <c r="O154" s="13">
        <f>GET_OK_GROUPS_COUNT(tbHeroEliteEnemy[[#This Row],[Camp]],tbHeroEliteEnemy[[#This Row],[Difficulty]],tbHeroEliteEnemy[[#This Row],[IsBoss]],tbHeroEliteEnemy[[#This Row],[Hero1]:[Soldier3]])</f>
        <v>4</v>
      </c>
      <c r="P154" s="7">
        <v>4</v>
      </c>
      <c r="Q154" s="18"/>
      <c r="R154" s="18" t="s">
        <v>912</v>
      </c>
      <c r="S15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三国-普通-炼英+教徒</v>
      </c>
    </row>
    <row r="155" spans="2:19">
      <c r="B155" s="18" t="s">
        <v>1143</v>
      </c>
      <c r="C155" s="35" t="s">
        <v>1302</v>
      </c>
      <c r="D155" s="18">
        <v>7</v>
      </c>
      <c r="E155" s="18">
        <v>15</v>
      </c>
      <c r="F155" s="7" t="s">
        <v>151</v>
      </c>
      <c r="G155" s="18" t="s">
        <v>33</v>
      </c>
      <c r="H155" s="18"/>
      <c r="I155" s="18" t="s">
        <v>382</v>
      </c>
      <c r="J155" s="18"/>
      <c r="K155" s="18"/>
      <c r="L155" s="18"/>
      <c r="M155" s="18"/>
      <c r="N155" s="18"/>
      <c r="O155" s="13">
        <f>GET_OK_GROUPS_COUNT(tbHeroEliteEnemy[[#This Row],[Camp]],tbHeroEliteEnemy[[#This Row],[Difficulty]],tbHeroEliteEnemy[[#This Row],[IsBoss]],tbHeroEliteEnemy[[#This Row],[Hero1]:[Soldier3]])</f>
        <v>5</v>
      </c>
      <c r="P155" s="7">
        <v>4</v>
      </c>
      <c r="Q155" s="18"/>
      <c r="R155" s="18" t="s">
        <v>912</v>
      </c>
      <c r="S15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三国-普通-铁英+法兵</v>
      </c>
    </row>
    <row r="156" spans="2:19">
      <c r="B156" s="18" t="s">
        <v>1143</v>
      </c>
      <c r="C156" s="35" t="s">
        <v>1302</v>
      </c>
      <c r="D156" s="18">
        <v>8</v>
      </c>
      <c r="E156" s="18">
        <v>15</v>
      </c>
      <c r="F156" s="7" t="s">
        <v>151</v>
      </c>
      <c r="G156" s="18" t="s">
        <v>35</v>
      </c>
      <c r="H156" s="18"/>
      <c r="I156" s="18" t="s">
        <v>385</v>
      </c>
      <c r="J156" s="18"/>
      <c r="K156" s="18"/>
      <c r="L156" s="18"/>
      <c r="M156" s="18"/>
      <c r="N156" s="18"/>
      <c r="O156" s="13">
        <f>GET_OK_GROUPS_COUNT(tbHeroEliteEnemy[[#This Row],[Camp]],tbHeroEliteEnemy[[#This Row],[Difficulty]],tbHeroEliteEnemy[[#This Row],[IsBoss]],tbHeroEliteEnemy[[#This Row],[Hero1]:[Soldier3]])</f>
        <v>3</v>
      </c>
      <c r="P156" s="7">
        <v>3</v>
      </c>
      <c r="Q156" s="18"/>
      <c r="R156" s="18" t="s">
        <v>912</v>
      </c>
      <c r="S15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157" spans="2:19">
      <c r="B157" s="18" t="s">
        <v>1143</v>
      </c>
      <c r="C157" s="35" t="s">
        <v>1302</v>
      </c>
      <c r="D157" s="18">
        <v>9</v>
      </c>
      <c r="E157" s="18">
        <v>15</v>
      </c>
      <c r="F157" s="7" t="s">
        <v>151</v>
      </c>
      <c r="G157" s="18" t="s">
        <v>36</v>
      </c>
      <c r="H157" s="18" t="b">
        <v>1</v>
      </c>
      <c r="I157" s="18" t="s">
        <v>432</v>
      </c>
      <c r="J157" s="18" t="s">
        <v>380</v>
      </c>
      <c r="K157" s="18"/>
      <c r="L157" s="18"/>
      <c r="M157" s="18"/>
      <c r="N157" s="18"/>
      <c r="O157" s="13">
        <f>GET_OK_GROUPS_COUNT(tbHeroEliteEnemy[[#This Row],[Camp]],tbHeroEliteEnemy[[#This Row],[Difficulty]],tbHeroEliteEnemy[[#This Row],[IsBoss]],tbHeroEliteEnemy[[#This Row],[Hero1]:[Soldier3]])</f>
        <v>1</v>
      </c>
      <c r="P157" s="7">
        <v>1</v>
      </c>
      <c r="Q157" s="18"/>
      <c r="R157" s="18" t="s">
        <v>432</v>
      </c>
      <c r="S157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三国-超难-[B]盾英+刺英</v>
      </c>
    </row>
    <row r="158" spans="2:19">
      <c r="B158" s="18" t="s">
        <v>1144</v>
      </c>
      <c r="C158" s="35" t="s">
        <v>1302</v>
      </c>
      <c r="D158" s="18">
        <v>1</v>
      </c>
      <c r="E158" s="18">
        <v>5</v>
      </c>
      <c r="F158" s="7" t="s">
        <v>151</v>
      </c>
      <c r="G158" s="16" t="s">
        <v>29</v>
      </c>
      <c r="H158" s="7"/>
      <c r="I158" s="18"/>
      <c r="J158" s="18"/>
      <c r="K158" s="18"/>
      <c r="L158" s="18" t="s">
        <v>49</v>
      </c>
      <c r="M158" s="18"/>
      <c r="N158" s="18"/>
      <c r="O158" s="13">
        <f>GET_OK_GROUPS_COUNT(tbHeroEliteEnemy[[#This Row],[Camp]],tbHeroEliteEnemy[[#This Row],[Difficulty]],tbHeroEliteEnemy[[#This Row],[IsBoss]],tbHeroEliteEnemy[[#This Row],[Hero1]:[Soldier3]])</f>
        <v>1</v>
      </c>
      <c r="P158" s="7">
        <v>1</v>
      </c>
      <c r="Q158" s="18"/>
      <c r="R158" s="18" t="s">
        <v>912</v>
      </c>
      <c r="S158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59" spans="2:19">
      <c r="B159" s="18" t="s">
        <v>1144</v>
      </c>
      <c r="C159" s="35" t="s">
        <v>1302</v>
      </c>
      <c r="D159" s="18">
        <v>2</v>
      </c>
      <c r="E159" s="18">
        <v>15</v>
      </c>
      <c r="F159" s="7" t="s">
        <v>151</v>
      </c>
      <c r="G159" s="18" t="s">
        <v>29</v>
      </c>
      <c r="H159" s="18"/>
      <c r="I159" s="18"/>
      <c r="J159" s="18"/>
      <c r="K159" s="18"/>
      <c r="L159" s="18" t="s">
        <v>447</v>
      </c>
      <c r="M159" s="18"/>
      <c r="N159" s="18"/>
      <c r="O159" s="13">
        <f>GET_OK_GROUPS_COUNT(tbHeroEliteEnemy[[#This Row],[Camp]],tbHeroEliteEnemy[[#This Row],[Difficulty]],tbHeroEliteEnemy[[#This Row],[IsBoss]],tbHeroEliteEnemy[[#This Row],[Hero1]:[Soldier3]])</f>
        <v>3</v>
      </c>
      <c r="P159" s="7">
        <v>1</v>
      </c>
      <c r="Q159" s="18"/>
      <c r="R159" s="18" t="s">
        <v>912</v>
      </c>
      <c r="S15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160" spans="2:19">
      <c r="B160" s="18" t="s">
        <v>1144</v>
      </c>
      <c r="C160" s="35" t="s">
        <v>1302</v>
      </c>
      <c r="D160" s="18">
        <v>3</v>
      </c>
      <c r="E160" s="18">
        <v>15</v>
      </c>
      <c r="F160" s="7" t="s">
        <v>151</v>
      </c>
      <c r="G160" s="18" t="s">
        <v>35</v>
      </c>
      <c r="H160" s="18"/>
      <c r="I160" s="18" t="s">
        <v>382</v>
      </c>
      <c r="J160" s="18"/>
      <c r="K160" s="18"/>
      <c r="L160" s="18"/>
      <c r="M160" s="18"/>
      <c r="N160" s="18"/>
      <c r="O160" s="13">
        <f>GET_OK_GROUPS_COUNT(tbHeroEliteEnemy[[#This Row],[Camp]],tbHeroEliteEnemy[[#This Row],[Difficulty]],tbHeroEliteEnemy[[#This Row],[IsBoss]],tbHeroEliteEnemy[[#This Row],[Hero1]:[Soldier3]])</f>
        <v>4</v>
      </c>
      <c r="P160" s="7">
        <v>1</v>
      </c>
      <c r="Q160" s="18"/>
      <c r="R160" s="18" t="s">
        <v>912</v>
      </c>
      <c r="S16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161" spans="2:19">
      <c r="B161" s="18" t="s">
        <v>1144</v>
      </c>
      <c r="C161" s="35" t="s">
        <v>1302</v>
      </c>
      <c r="D161" s="18">
        <v>4</v>
      </c>
      <c r="E161" s="18">
        <v>15</v>
      </c>
      <c r="F161" s="7" t="s">
        <v>151</v>
      </c>
      <c r="G161" s="18" t="s">
        <v>33</v>
      </c>
      <c r="H161" s="18"/>
      <c r="I161" s="18" t="s">
        <v>385</v>
      </c>
      <c r="J161" s="18"/>
      <c r="K161" s="18"/>
      <c r="L161" s="18"/>
      <c r="M161" s="18"/>
      <c r="N161" s="18"/>
      <c r="O161" s="13">
        <f>GET_OK_GROUPS_COUNT(tbHeroEliteEnemy[[#This Row],[Camp]],tbHeroEliteEnemy[[#This Row],[Difficulty]],tbHeroEliteEnemy[[#This Row],[IsBoss]],tbHeroEliteEnemy[[#This Row],[Hero1]:[Soldier3]])</f>
        <v>4</v>
      </c>
      <c r="P161" s="7">
        <v>1</v>
      </c>
      <c r="Q161" s="18"/>
      <c r="R161" s="18" t="s">
        <v>912</v>
      </c>
      <c r="S16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</v>
      </c>
    </row>
    <row r="162" spans="2:19">
      <c r="B162" s="18" t="s">
        <v>1144</v>
      </c>
      <c r="C162" s="35" t="s">
        <v>1302</v>
      </c>
      <c r="D162" s="18">
        <v>5</v>
      </c>
      <c r="E162" s="18">
        <v>15</v>
      </c>
      <c r="F162" s="7" t="s">
        <v>151</v>
      </c>
      <c r="G162" s="18" t="s">
        <v>35</v>
      </c>
      <c r="H162" s="18"/>
      <c r="I162" s="18" t="s">
        <v>384</v>
      </c>
      <c r="J162" s="18"/>
      <c r="K162" s="18"/>
      <c r="L162" s="18"/>
      <c r="M162" s="18"/>
      <c r="N162" s="18"/>
      <c r="O162" s="13">
        <f>GET_OK_GROUPS_COUNT(tbHeroEliteEnemy[[#This Row],[Camp]],tbHeroEliteEnemy[[#This Row],[Difficulty]],tbHeroEliteEnemy[[#This Row],[IsBoss]],tbHeroEliteEnemy[[#This Row],[Hero1]:[Soldier3]])</f>
        <v>3</v>
      </c>
      <c r="P162" s="7">
        <v>1</v>
      </c>
      <c r="Q162" s="18"/>
      <c r="R162" s="18" t="s">
        <v>912</v>
      </c>
      <c r="S16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163" spans="2:19">
      <c r="B163" s="18" t="s">
        <v>1144</v>
      </c>
      <c r="C163" s="35" t="s">
        <v>1302</v>
      </c>
      <c r="D163" s="18">
        <v>6</v>
      </c>
      <c r="E163" s="18">
        <v>15</v>
      </c>
      <c r="F163" s="7" t="s">
        <v>151</v>
      </c>
      <c r="G163" s="18" t="s">
        <v>33</v>
      </c>
      <c r="H163" s="18"/>
      <c r="I163" s="18" t="s">
        <v>381</v>
      </c>
      <c r="J163" s="18"/>
      <c r="K163" s="18"/>
      <c r="L163" s="18"/>
      <c r="M163" s="18"/>
      <c r="N163" s="18"/>
      <c r="O163" s="13">
        <f>GET_OK_GROUPS_COUNT(tbHeroEliteEnemy[[#This Row],[Camp]],tbHeroEliteEnemy[[#This Row],[Difficulty]],tbHeroEliteEnemy[[#This Row],[IsBoss]],tbHeroEliteEnemy[[#This Row],[Hero1]:[Soldier3]])</f>
        <v>4</v>
      </c>
      <c r="P163" s="7">
        <v>3</v>
      </c>
      <c r="Q163" s="18"/>
      <c r="R163" s="18" t="s">
        <v>912</v>
      </c>
      <c r="S16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164" spans="2:19">
      <c r="B164" s="18" t="s">
        <v>1144</v>
      </c>
      <c r="C164" s="35" t="s">
        <v>1302</v>
      </c>
      <c r="D164" s="18">
        <v>7</v>
      </c>
      <c r="E164" s="18">
        <v>15</v>
      </c>
      <c r="F164" s="7" t="s">
        <v>151</v>
      </c>
      <c r="G164" s="18" t="s">
        <v>33</v>
      </c>
      <c r="H164" s="18"/>
      <c r="I164" s="18" t="s">
        <v>380</v>
      </c>
      <c r="J164" s="18"/>
      <c r="K164" s="18"/>
      <c r="L164" s="18"/>
      <c r="M164" s="18"/>
      <c r="N164" s="18"/>
      <c r="O164" s="13">
        <f>GET_OK_GROUPS_COUNT(tbHeroEliteEnemy[[#This Row],[Camp]],tbHeroEliteEnemy[[#This Row],[Difficulty]],tbHeroEliteEnemy[[#This Row],[IsBoss]],tbHeroEliteEnemy[[#This Row],[Hero1]:[Soldier3]])</f>
        <v>5</v>
      </c>
      <c r="P164" s="7">
        <v>2</v>
      </c>
      <c r="Q164" s="18"/>
      <c r="R164" s="18" t="s">
        <v>912</v>
      </c>
      <c r="S16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三国-普通-盾英+强兵</v>
      </c>
    </row>
    <row r="165" spans="2:19">
      <c r="B165" s="18" t="s">
        <v>1144</v>
      </c>
      <c r="C165" s="35" t="s">
        <v>1302</v>
      </c>
      <c r="D165" s="18">
        <v>8</v>
      </c>
      <c r="E165" s="18">
        <v>15</v>
      </c>
      <c r="F165" s="7" t="s">
        <v>151</v>
      </c>
      <c r="G165" s="18" t="s">
        <v>35</v>
      </c>
      <c r="H165" s="18"/>
      <c r="I165" s="18" t="s">
        <v>382</v>
      </c>
      <c r="J165" s="18"/>
      <c r="K165" s="18"/>
      <c r="L165" s="18"/>
      <c r="M165" s="18"/>
      <c r="N165" s="18"/>
      <c r="O165" s="13">
        <f>GET_OK_GROUPS_COUNT(tbHeroEliteEnemy[[#This Row],[Camp]],tbHeroEliteEnemy[[#This Row],[Difficulty]],tbHeroEliteEnemy[[#This Row],[IsBoss]],tbHeroEliteEnemy[[#This Row],[Hero1]:[Soldier3]])</f>
        <v>4</v>
      </c>
      <c r="P165" s="7">
        <v>4</v>
      </c>
      <c r="Q165" s="18"/>
      <c r="R165" s="18" t="s">
        <v>912</v>
      </c>
      <c r="S16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三国-困难-铁英+刺兵</v>
      </c>
    </row>
    <row r="166" spans="2:19">
      <c r="B166" s="18" t="s">
        <v>1144</v>
      </c>
      <c r="C166" s="35" t="s">
        <v>1302</v>
      </c>
      <c r="D166" s="18">
        <v>9</v>
      </c>
      <c r="E166" s="18">
        <v>15</v>
      </c>
      <c r="F166" s="7" t="s">
        <v>151</v>
      </c>
      <c r="G166" s="18" t="s">
        <v>36</v>
      </c>
      <c r="H166" s="18" t="b">
        <v>1</v>
      </c>
      <c r="I166" s="18" t="s">
        <v>433</v>
      </c>
      <c r="J166" s="18" t="s">
        <v>385</v>
      </c>
      <c r="K166" s="18"/>
      <c r="L166" s="18"/>
      <c r="M166" s="18"/>
      <c r="N166" s="18"/>
      <c r="O166" s="13">
        <f>GET_OK_GROUPS_COUNT(tbHeroEliteEnemy[[#This Row],[Camp]],tbHeroEliteEnemy[[#This Row],[Difficulty]],tbHeroEliteEnemy[[#This Row],[IsBoss]],tbHeroEliteEnemy[[#This Row],[Hero1]:[Soldier3]])</f>
        <v>1</v>
      </c>
      <c r="P166" s="7">
        <v>1</v>
      </c>
      <c r="Q166" s="18"/>
      <c r="R166" s="18" t="s">
        <v>433</v>
      </c>
      <c r="S166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三国-超难-[B]炼英+刺英</v>
      </c>
    </row>
  </sheetData>
  <phoneticPr fontId="28" type="noConversion"/>
  <conditionalFormatting sqref="P5:P166">
    <cfRule type="expression" dxfId="5" priority="2">
      <formula>P5&gt;O5</formula>
    </cfRule>
  </conditionalFormatting>
  <conditionalFormatting sqref="O5:O166">
    <cfRule type="cellIs" dxfId="4" priority="1" operator="equal">
      <formula>0</formula>
    </cfRule>
  </conditionalFormatting>
  <dataValidations count="5">
    <dataValidation type="list" allowBlank="1" showInputMessage="1" showErrorMessage="1" sqref="G5:G166">
      <formula1>"简单,普通,困难,超难,变态"</formula1>
    </dataValidation>
    <dataValidation type="list" allowBlank="1" showInputMessage="1" showErrorMessage="1" sqref="H5:H166">
      <formula1>"TRUE,FALSE"</formula1>
    </dataValidation>
    <dataValidation type="list" allowBlank="1" showInputMessage="1" showErrorMessage="1" sqref="F5:F166">
      <formula1>"三国,黄巾"</formula1>
    </dataValidation>
    <dataValidation type="list" allowBlank="1" showInputMessage="1" showErrorMessage="1" sqref="L5:N166">
      <formula1>SoldierNames</formula1>
    </dataValidation>
    <dataValidation type="list" allowBlank="1" showInputMessage="1" showErrorMessage="1" sqref="I5:K166">
      <formula1>UnitNames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UpdateHeroElite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ReadHeroEliteStageDifficulty">
                <anchor moveWithCells="1">
                  <from>
                    <xdr:col>3</xdr:col>
                    <xdr:colOff>285750</xdr:colOff>
                    <xdr:row>0</xdr:row>
                    <xdr:rowOff>171450</xdr:rowOff>
                  </from>
                  <to>
                    <xdr:col>5</xdr:col>
                    <xdr:colOff>381000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T139"/>
  <sheetViews>
    <sheetView showGridLines="0" zoomScale="90" zoomScaleNormal="90" workbookViewId="0">
      <pane ySplit="4" topLeftCell="A68" activePane="bottomLeft" state="frozen"/>
      <selection activeCell="E1" sqref="E1:E1048576"/>
      <selection pane="bottomLeft" activeCell="F86" sqref="F86"/>
    </sheetView>
  </sheetViews>
  <sheetFormatPr defaultColWidth="9" defaultRowHeight="16.5"/>
  <cols>
    <col min="1" max="1" width="5" style="7" customWidth="1"/>
    <col min="2" max="2" width="16.25" style="7" bestFit="1" customWidth="1"/>
    <col min="3" max="3" width="9.125" style="7" bestFit="1" customWidth="1"/>
    <col min="4" max="4" width="9.125" style="7" customWidth="1"/>
    <col min="5" max="5" width="9.25" style="7" bestFit="1" customWidth="1"/>
    <col min="6" max="6" width="12.375" style="7" bestFit="1" customWidth="1"/>
    <col min="7" max="7" width="9.5" style="7" bestFit="1" customWidth="1"/>
    <col min="8" max="8" width="9.125"/>
    <col min="9" max="11" width="9" style="7"/>
    <col min="12" max="14" width="10.5" style="7" customWidth="1"/>
    <col min="15" max="15" width="14" style="7" customWidth="1"/>
    <col min="16" max="16" width="10.5" style="7" customWidth="1"/>
    <col min="17" max="17" width="11.375" style="7" customWidth="1"/>
    <col min="18" max="18" width="20.125" style="7" customWidth="1"/>
    <col min="19" max="16384" width="9" style="7"/>
  </cols>
  <sheetData>
    <row r="1" spans="2:20">
      <c r="H1" s="7"/>
    </row>
    <row r="2" spans="2:20">
      <c r="H2" s="7"/>
    </row>
    <row r="3" spans="2:20">
      <c r="H3" s="7"/>
    </row>
    <row r="4" spans="2:20">
      <c r="B4" s="8" t="s">
        <v>492</v>
      </c>
      <c r="C4" s="7" t="s">
        <v>482</v>
      </c>
      <c r="D4" s="36" t="s">
        <v>1312</v>
      </c>
      <c r="E4" s="7" t="s">
        <v>480</v>
      </c>
      <c r="F4" s="7" t="s">
        <v>470</v>
      </c>
      <c r="G4" s="7" t="s">
        <v>490</v>
      </c>
      <c r="H4" s="8" t="s">
        <v>473</v>
      </c>
      <c r="I4" s="8" t="s">
        <v>474</v>
      </c>
      <c r="J4" s="8" t="s">
        <v>475</v>
      </c>
      <c r="K4" s="7" t="s">
        <v>476</v>
      </c>
      <c r="L4" s="7" t="s">
        <v>477</v>
      </c>
      <c r="M4" s="7" t="s">
        <v>478</v>
      </c>
      <c r="N4" s="7" t="s">
        <v>487</v>
      </c>
      <c r="O4" s="7" t="s">
        <v>488</v>
      </c>
      <c r="P4" s="16" t="s">
        <v>948</v>
      </c>
      <c r="Q4" s="8" t="s">
        <v>496</v>
      </c>
      <c r="R4" s="7" t="s">
        <v>486</v>
      </c>
    </row>
    <row r="5" spans="2:20">
      <c r="B5" s="8" t="s">
        <v>1280</v>
      </c>
      <c r="C5" s="7">
        <v>1</v>
      </c>
      <c r="E5" s="34" t="s">
        <v>172</v>
      </c>
      <c r="F5" s="7" t="s">
        <v>33</v>
      </c>
      <c r="H5" s="8"/>
      <c r="I5" s="8"/>
      <c r="J5" s="8"/>
      <c r="K5" s="34" t="s">
        <v>609</v>
      </c>
      <c r="N5" s="26">
        <f>GET_OK_GROUPS_COUNT(tbTestEnemy[[#This Row],[Camp]],tbTestEnemy[[#This Row],[Difficulty]],tbTestEnemy[[#This Row],[IsBoss]],tbTestEnemy[[#This Row],[Hero1]:[Soldier3]])</f>
        <v>5</v>
      </c>
      <c r="O5" s="7">
        <v>1</v>
      </c>
      <c r="P5" s="16"/>
      <c r="Q5" s="8"/>
      <c r="R5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  <c r="T5" s="19"/>
    </row>
    <row r="6" spans="2:20">
      <c r="B6" s="8" t="s">
        <v>1280</v>
      </c>
      <c r="C6" s="7">
        <v>2</v>
      </c>
      <c r="E6" s="34" t="s">
        <v>172</v>
      </c>
      <c r="F6" s="7" t="s">
        <v>35</v>
      </c>
      <c r="H6" s="8"/>
      <c r="I6" s="8"/>
      <c r="J6" s="8"/>
      <c r="K6" s="34" t="s">
        <v>609</v>
      </c>
      <c r="L6" s="34" t="s">
        <v>611</v>
      </c>
      <c r="N6" s="26">
        <f>GET_OK_GROUPS_COUNT(tbTestEnemy[[#This Row],[Camp]],tbTestEnemy[[#This Row],[Difficulty]],tbTestEnemy[[#This Row],[IsBoss]],tbTestEnemy[[#This Row],[Hero1]:[Soldier3]])</f>
        <v>5</v>
      </c>
      <c r="O6" s="7">
        <v>1</v>
      </c>
      <c r="P6" s="16"/>
      <c r="Q6" s="8"/>
      <c r="R6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  <c r="T6" s="19"/>
    </row>
    <row r="7" spans="2:20">
      <c r="B7" s="8" t="s">
        <v>1286</v>
      </c>
      <c r="C7" s="7">
        <v>1</v>
      </c>
      <c r="E7" s="34" t="s">
        <v>172</v>
      </c>
      <c r="F7" s="7" t="s">
        <v>35</v>
      </c>
      <c r="H7" s="8"/>
      <c r="I7" s="8"/>
      <c r="J7" s="8"/>
      <c r="K7" s="34" t="s">
        <v>609</v>
      </c>
      <c r="L7" s="34" t="s">
        <v>611</v>
      </c>
      <c r="N7" s="26">
        <f>GET_OK_GROUPS_COUNT(tbTestEnemy[[#This Row],[Camp]],tbTestEnemy[[#This Row],[Difficulty]],tbTestEnemy[[#This Row],[IsBoss]],tbTestEnemy[[#This Row],[Hero1]:[Soldier3]])</f>
        <v>5</v>
      </c>
      <c r="O7" s="7">
        <v>1</v>
      </c>
      <c r="P7" s="16"/>
      <c r="Q7" s="8"/>
      <c r="R7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  <c r="T7" s="19"/>
    </row>
    <row r="8" spans="2:20">
      <c r="B8" s="8" t="s">
        <v>1286</v>
      </c>
      <c r="C8" s="7">
        <v>2</v>
      </c>
      <c r="E8" s="34" t="s">
        <v>172</v>
      </c>
      <c r="F8" s="7" t="s">
        <v>35</v>
      </c>
      <c r="H8" s="34" t="s">
        <v>1173</v>
      </c>
      <c r="I8" s="8"/>
      <c r="J8" s="8"/>
      <c r="L8" s="34" t="s">
        <v>611</v>
      </c>
      <c r="N8" s="26">
        <f>GET_OK_GROUPS_COUNT(tbTestEnemy[[#This Row],[Camp]],tbTestEnemy[[#This Row],[Difficulty]],tbTestEnemy[[#This Row],[IsBoss]],tbTestEnemy[[#This Row],[Hero1]:[Soldier3]])</f>
        <v>1</v>
      </c>
      <c r="O8" s="7">
        <v>1</v>
      </c>
      <c r="P8" s="16"/>
      <c r="Q8" s="8"/>
      <c r="R8" s="26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  <c r="T8" s="19"/>
    </row>
    <row r="9" spans="2:20">
      <c r="B9" s="8" t="s">
        <v>1287</v>
      </c>
      <c r="C9" s="7">
        <v>1</v>
      </c>
      <c r="E9" s="34" t="s">
        <v>172</v>
      </c>
      <c r="F9" s="7" t="s">
        <v>35</v>
      </c>
      <c r="H9" s="34" t="s">
        <v>1173</v>
      </c>
      <c r="I9" s="8"/>
      <c r="J9" s="8"/>
      <c r="L9" s="34" t="s">
        <v>611</v>
      </c>
      <c r="N9" s="26">
        <f>GET_OK_GROUPS_COUNT(tbTestEnemy[[#This Row],[Camp]],tbTestEnemy[[#This Row],[Difficulty]],tbTestEnemy[[#This Row],[IsBoss]],tbTestEnemy[[#This Row],[Hero1]:[Soldier3]])</f>
        <v>1</v>
      </c>
      <c r="O9" s="7">
        <v>1</v>
      </c>
      <c r="P9" s="16"/>
      <c r="Q9" s="8"/>
      <c r="R9" s="26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  <c r="T9" s="19"/>
    </row>
    <row r="10" spans="2:20">
      <c r="B10" s="8" t="s">
        <v>1287</v>
      </c>
      <c r="C10" s="7">
        <v>2</v>
      </c>
      <c r="E10" s="34" t="s">
        <v>172</v>
      </c>
      <c r="F10" s="7" t="s">
        <v>36</v>
      </c>
      <c r="H10" s="34" t="s">
        <v>1173</v>
      </c>
      <c r="I10" s="34" t="s">
        <v>1167</v>
      </c>
      <c r="J10" s="8"/>
      <c r="N10" s="26">
        <f>GET_OK_GROUPS_COUNT(tbTestEnemy[[#This Row],[Camp]],tbTestEnemy[[#This Row],[Difficulty]],tbTestEnemy[[#This Row],[IsBoss]],tbTestEnemy[[#This Row],[Hero1]:[Soldier3]])</f>
        <v>1</v>
      </c>
      <c r="O10" s="7">
        <v>1</v>
      </c>
      <c r="P10" s="16"/>
      <c r="Q10" s="8"/>
      <c r="R10" s="26" t="str">
        <f>GET_OK_GROUP(tbTestEnemy[[#This Row],[Camp]],tbTestEnemy[[#This Row],[Difficulty]],tbTestEnemy[[#This Row],[IsBoss]],tbTestEnemy[[#This Row],[Hero1]:[Soldier3]],tbTestEnemy[[#This Row],[GroupID]])</f>
        <v>三国-超难-铁英+强英</v>
      </c>
      <c r="T10" s="19"/>
    </row>
    <row r="11" spans="2:20">
      <c r="B11" s="8" t="s">
        <v>1288</v>
      </c>
      <c r="C11" s="7">
        <v>1</v>
      </c>
      <c r="E11" s="34" t="s">
        <v>172</v>
      </c>
      <c r="F11" s="7" t="s">
        <v>36</v>
      </c>
      <c r="H11" s="34" t="s">
        <v>1173</v>
      </c>
      <c r="I11" s="34" t="s">
        <v>1167</v>
      </c>
      <c r="J11" s="8"/>
      <c r="N11" s="26">
        <f>GET_OK_GROUPS_COUNT(tbTestEnemy[[#This Row],[Camp]],tbTestEnemy[[#This Row],[Difficulty]],tbTestEnemy[[#This Row],[IsBoss]],tbTestEnemy[[#This Row],[Hero1]:[Soldier3]])</f>
        <v>1</v>
      </c>
      <c r="O11" s="7">
        <v>1</v>
      </c>
      <c r="P11" s="16"/>
      <c r="Q11" s="8"/>
      <c r="R11" s="26" t="str">
        <f>GET_OK_GROUP(tbTestEnemy[[#This Row],[Camp]],tbTestEnemy[[#This Row],[Difficulty]],tbTestEnemy[[#This Row],[IsBoss]],tbTestEnemy[[#This Row],[Hero1]:[Soldier3]],tbTestEnemy[[#This Row],[GroupID]])</f>
        <v>三国-超难-铁英+强英</v>
      </c>
      <c r="T11" s="19"/>
    </row>
    <row r="12" spans="2:20">
      <c r="B12" s="8" t="s">
        <v>1288</v>
      </c>
      <c r="C12" s="7">
        <v>2</v>
      </c>
      <c r="E12" s="34" t="s">
        <v>172</v>
      </c>
      <c r="F12" s="7" t="s">
        <v>36</v>
      </c>
      <c r="H12" s="34" t="s">
        <v>1173</v>
      </c>
      <c r="I12" s="34" t="s">
        <v>1167</v>
      </c>
      <c r="J12" s="34" t="s">
        <v>1179</v>
      </c>
      <c r="N12" s="26">
        <f>GET_OK_GROUPS_COUNT(tbTestEnemy[[#This Row],[Camp]],tbTestEnemy[[#This Row],[Difficulty]],tbTestEnemy[[#This Row],[IsBoss]],tbTestEnemy[[#This Row],[Hero1]:[Soldier3]])</f>
        <v>1</v>
      </c>
      <c r="O12" s="7">
        <v>1</v>
      </c>
      <c r="P12" s="16"/>
      <c r="Q12" s="8"/>
      <c r="R12" s="26" t="str">
        <f>GET_OK_GROUP(tbTestEnemy[[#This Row],[Camp]],tbTestEnemy[[#This Row],[Difficulty]],tbTestEnemy[[#This Row],[IsBoss]],tbTestEnemy[[#This Row],[Hero1]:[Soldier3]],tbTestEnemy[[#This Row],[GroupID]])</f>
        <v>三国-超难-铁英+强英+炼英</v>
      </c>
      <c r="T12" s="19"/>
    </row>
    <row r="13" spans="2:20">
      <c r="B13" s="19" t="s">
        <v>1281</v>
      </c>
      <c r="C13" s="7">
        <v>1</v>
      </c>
      <c r="E13" s="7" t="s">
        <v>151</v>
      </c>
      <c r="F13" s="16" t="s">
        <v>29</v>
      </c>
      <c r="H13" s="8"/>
      <c r="K13" s="7" t="s">
        <v>25</v>
      </c>
      <c r="N13" s="26">
        <f>GET_OK_GROUPS_COUNT(tbTestEnemy[[#This Row],[Camp]],tbTestEnemy[[#This Row],[Difficulty]],tbTestEnemy[[#This Row],[IsBoss]],tbTestEnemy[[#This Row],[Hero1]:[Soldier3]])</f>
        <v>4</v>
      </c>
      <c r="O13" s="7">
        <v>1</v>
      </c>
      <c r="Q13" s="9" t="s">
        <v>912</v>
      </c>
      <c r="R13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14" spans="2:20">
      <c r="B14" s="19" t="s">
        <v>1281</v>
      </c>
      <c r="C14" s="20">
        <v>2</v>
      </c>
      <c r="D14" s="20"/>
      <c r="E14" s="7" t="s">
        <v>151</v>
      </c>
      <c r="F14" s="20" t="s">
        <v>33</v>
      </c>
      <c r="G14" s="20"/>
      <c r="H14" s="20"/>
      <c r="I14" s="20"/>
      <c r="J14" s="20"/>
      <c r="K14" s="20" t="s">
        <v>25</v>
      </c>
      <c r="L14" s="20" t="s">
        <v>28</v>
      </c>
      <c r="M14" s="20"/>
      <c r="N14" s="26">
        <f>GET_OK_GROUPS_COUNT(tbTestEnemy[[#This Row],[Camp]],tbTestEnemy[[#This Row],[Difficulty]],tbTestEnemy[[#This Row],[IsBoss]],tbTestEnemy[[#This Row],[Hero1]:[Soldier3]])</f>
        <v>1</v>
      </c>
      <c r="O14" s="21">
        <v>1</v>
      </c>
      <c r="P14" s="20"/>
      <c r="Q14" s="21"/>
      <c r="R14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15" spans="2:20">
      <c r="B15" s="19" t="s">
        <v>1281</v>
      </c>
      <c r="C15" s="20">
        <v>3</v>
      </c>
      <c r="D15" s="20"/>
      <c r="E15" s="7" t="s">
        <v>151</v>
      </c>
      <c r="F15" s="20" t="s">
        <v>35</v>
      </c>
      <c r="G15" s="20" t="b">
        <v>1</v>
      </c>
      <c r="H15" s="20" t="s">
        <v>1166</v>
      </c>
      <c r="I15" s="20"/>
      <c r="J15" s="20"/>
      <c r="K15" s="20" t="s">
        <v>25</v>
      </c>
      <c r="L15" s="20"/>
      <c r="M15" s="20"/>
      <c r="N15" s="26">
        <f>GET_OK_GROUPS_COUNT(tbTestEnemy[[#This Row],[Camp]],tbTestEnemy[[#This Row],[Difficulty]],tbTestEnemy[[#This Row],[IsBoss]],tbTestEnemy[[#This Row],[Hero1]:[Soldier3]])</f>
        <v>1</v>
      </c>
      <c r="O15" s="7">
        <v>1</v>
      </c>
      <c r="P15" s="20"/>
      <c r="Q15" s="21"/>
      <c r="R15" s="26" t="str">
        <f>GET_OK_GROUP(tbTestEnemy[[#This Row],[Camp]],tbTestEnemy[[#This Row],[Difficulty]],tbTestEnemy[[#This Row],[IsBoss]],tbTestEnemy[[#This Row],[Hero1]:[Soldier3]],tbTestEnemy[[#This Row],[GroupID]])</f>
        <v>三国-困难-[B]法英+铁兵</v>
      </c>
    </row>
    <row r="16" spans="2:20">
      <c r="B16" s="19" t="s">
        <v>1282</v>
      </c>
      <c r="C16" s="20">
        <v>1</v>
      </c>
      <c r="D16" s="20"/>
      <c r="E16" s="7" t="s">
        <v>151</v>
      </c>
      <c r="F16" s="20" t="s">
        <v>33</v>
      </c>
      <c r="G16" s="20"/>
      <c r="H16" s="20"/>
      <c r="I16" s="20"/>
      <c r="J16" s="20"/>
      <c r="K16" s="20" t="s">
        <v>25</v>
      </c>
      <c r="L16" s="20"/>
      <c r="M16" s="20"/>
      <c r="N16" s="26">
        <f>GET_OK_GROUPS_COUNT(tbTestEnemy[[#This Row],[Camp]],tbTestEnemy[[#This Row],[Difficulty]],tbTestEnemy[[#This Row],[IsBoss]],tbTestEnemy[[#This Row],[Hero1]:[Soldier3]])</f>
        <v>5</v>
      </c>
      <c r="O16" s="21">
        <v>1</v>
      </c>
      <c r="P16" s="20"/>
      <c r="Q16" s="21"/>
      <c r="R16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7" spans="2:18">
      <c r="B17" s="19" t="s">
        <v>1282</v>
      </c>
      <c r="C17" s="20">
        <v>2</v>
      </c>
      <c r="D17" s="20"/>
      <c r="E17" s="7" t="s">
        <v>151</v>
      </c>
      <c r="F17" s="20" t="s">
        <v>33</v>
      </c>
      <c r="G17" s="20"/>
      <c r="H17" s="20"/>
      <c r="I17" s="20"/>
      <c r="J17" s="20"/>
      <c r="K17" s="20" t="s">
        <v>25</v>
      </c>
      <c r="L17" s="20" t="s">
        <v>28</v>
      </c>
      <c r="M17" s="20"/>
      <c r="N17" s="26">
        <f>GET_OK_GROUPS_COUNT(tbTestEnemy[[#This Row],[Camp]],tbTestEnemy[[#This Row],[Difficulty]],tbTestEnemy[[#This Row],[IsBoss]],tbTestEnemy[[#This Row],[Hero1]:[Soldier3]])</f>
        <v>1</v>
      </c>
      <c r="O17" s="7">
        <v>1</v>
      </c>
      <c r="P17" s="20"/>
      <c r="Q17" s="21"/>
      <c r="R17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18" spans="2:18">
      <c r="B18" s="19" t="s">
        <v>1282</v>
      </c>
      <c r="C18" s="20">
        <v>3</v>
      </c>
      <c r="D18" s="20"/>
      <c r="E18" s="7" t="s">
        <v>151</v>
      </c>
      <c r="F18" s="20" t="s">
        <v>35</v>
      </c>
      <c r="G18" s="20" t="b">
        <v>1</v>
      </c>
      <c r="H18" s="20" t="s">
        <v>1167</v>
      </c>
      <c r="I18" s="20"/>
      <c r="J18" s="20"/>
      <c r="K18" s="20"/>
      <c r="L18" s="20"/>
      <c r="M18" s="20"/>
      <c r="N18" s="26">
        <f>GET_OK_GROUPS_COUNT(tbTestEnemy[[#This Row],[Camp]],tbTestEnemy[[#This Row],[Difficulty]],tbTestEnemy[[#This Row],[IsBoss]],tbTestEnemy[[#This Row],[Hero1]:[Soldier3]])</f>
        <v>3</v>
      </c>
      <c r="O18" s="21">
        <v>1</v>
      </c>
      <c r="P18" s="20"/>
      <c r="Q18" s="21"/>
      <c r="R18" s="26" t="str">
        <f>GET_OK_GROUP(tbTestEnemy[[#This Row],[Camp]],tbTestEnemy[[#This Row],[Difficulty]],tbTestEnemy[[#This Row],[IsBoss]],tbTestEnemy[[#This Row],[Hero1]:[Soldier3]],tbTestEnemy[[#This Row],[GroupID]])</f>
        <v>三国-困难-[B]强英+铁兵</v>
      </c>
    </row>
    <row r="19" spans="2:18">
      <c r="B19" s="19" t="s">
        <v>1283</v>
      </c>
      <c r="C19" s="20">
        <v>1</v>
      </c>
      <c r="D19" s="20"/>
      <c r="E19" s="7" t="s">
        <v>151</v>
      </c>
      <c r="F19" s="20" t="s">
        <v>1168</v>
      </c>
      <c r="G19" s="20"/>
      <c r="H19" s="20"/>
      <c r="I19" s="20"/>
      <c r="J19" s="20"/>
      <c r="K19" s="20" t="s">
        <v>1171</v>
      </c>
      <c r="L19" s="20" t="s">
        <v>1172</v>
      </c>
      <c r="M19" s="20"/>
      <c r="N19" s="26">
        <f>GET_OK_GROUPS_COUNT(tbTestEnemy[[#This Row],[Camp]],tbTestEnemy[[#This Row],[Difficulty]],tbTestEnemy[[#This Row],[IsBoss]],tbTestEnemy[[#This Row],[Hero1]:[Soldier3]])</f>
        <v>1</v>
      </c>
      <c r="O19" s="7">
        <v>1</v>
      </c>
      <c r="P19" s="20"/>
      <c r="Q19" s="21"/>
      <c r="R19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20" spans="2:18">
      <c r="B20" s="19" t="s">
        <v>1283</v>
      </c>
      <c r="C20" s="20">
        <v>2</v>
      </c>
      <c r="D20" s="20"/>
      <c r="E20" s="7" t="s">
        <v>151</v>
      </c>
      <c r="F20" s="20" t="s">
        <v>1169</v>
      </c>
      <c r="G20" s="20" t="b">
        <v>1</v>
      </c>
      <c r="H20" s="20" t="s">
        <v>1166</v>
      </c>
      <c r="I20" s="20"/>
      <c r="J20" s="20"/>
      <c r="K20" s="20" t="s">
        <v>1174</v>
      </c>
      <c r="L20" s="20"/>
      <c r="M20" s="20"/>
      <c r="N20" s="26">
        <f>GET_OK_GROUPS_COUNT(tbTestEnemy[[#This Row],[Camp]],tbTestEnemy[[#This Row],[Difficulty]],tbTestEnemy[[#This Row],[IsBoss]],tbTestEnemy[[#This Row],[Hero1]:[Soldier3]])</f>
        <v>1</v>
      </c>
      <c r="O20" s="21">
        <v>1</v>
      </c>
      <c r="P20" s="20"/>
      <c r="Q20" s="21"/>
      <c r="R20" s="26" t="str">
        <f>GET_OK_GROUP(tbTestEnemy[[#This Row],[Camp]],tbTestEnemy[[#This Row],[Difficulty]],tbTestEnemy[[#This Row],[IsBoss]],tbTestEnemy[[#This Row],[Hero1]:[Soldier3]],tbTestEnemy[[#This Row],[GroupID]])</f>
        <v>三国-困难-[B]法英+盾兵</v>
      </c>
    </row>
    <row r="21" spans="2:18">
      <c r="B21" s="19" t="s">
        <v>1283</v>
      </c>
      <c r="C21" s="20">
        <v>3</v>
      </c>
      <c r="D21" s="20"/>
      <c r="E21" s="7" t="s">
        <v>151</v>
      </c>
      <c r="F21" s="20" t="s">
        <v>1170</v>
      </c>
      <c r="G21" s="20" t="b">
        <v>1</v>
      </c>
      <c r="H21" s="20" t="s">
        <v>1173</v>
      </c>
      <c r="I21" s="20" t="s">
        <v>1167</v>
      </c>
      <c r="J21" s="20"/>
      <c r="K21" s="20"/>
      <c r="L21" s="20"/>
      <c r="M21" s="20"/>
      <c r="N21" s="26">
        <f>GET_OK_GROUPS_COUNT(tbTestEnemy[[#This Row],[Camp]],tbTestEnemy[[#This Row],[Difficulty]],tbTestEnemy[[#This Row],[IsBoss]],tbTestEnemy[[#This Row],[Hero1]:[Soldier3]])</f>
        <v>1</v>
      </c>
      <c r="O21" s="7">
        <v>1</v>
      </c>
      <c r="P21" s="20"/>
      <c r="Q21" s="21"/>
      <c r="R21" s="26" t="str">
        <f>GET_OK_GROUP(tbTestEnemy[[#This Row],[Camp]],tbTestEnemy[[#This Row],[Difficulty]],tbTestEnemy[[#This Row],[IsBoss]],tbTestEnemy[[#This Row],[Hero1]:[Soldier3]],tbTestEnemy[[#This Row],[GroupID]])</f>
        <v>三国-超难-[B]铁英+强英</v>
      </c>
    </row>
    <row r="22" spans="2:18">
      <c r="B22" s="19" t="s">
        <v>1284</v>
      </c>
      <c r="C22" s="20">
        <v>1</v>
      </c>
      <c r="D22" s="20"/>
      <c r="E22" s="7" t="s">
        <v>151</v>
      </c>
      <c r="F22" s="20" t="s">
        <v>1169</v>
      </c>
      <c r="G22" s="20"/>
      <c r="H22" s="20"/>
      <c r="I22" s="20"/>
      <c r="J22" s="20"/>
      <c r="K22" s="20" t="s">
        <v>1174</v>
      </c>
      <c r="L22" s="20" t="s">
        <v>1175</v>
      </c>
      <c r="M22" s="20" t="s">
        <v>1176</v>
      </c>
      <c r="N22" s="26">
        <f>GET_OK_GROUPS_COUNT(tbTestEnemy[[#This Row],[Camp]],tbTestEnemy[[#This Row],[Difficulty]],tbTestEnemy[[#This Row],[IsBoss]],tbTestEnemy[[#This Row],[Hero1]:[Soldier3]])</f>
        <v>1</v>
      </c>
      <c r="O22" s="21">
        <v>1</v>
      </c>
      <c r="P22" s="20"/>
      <c r="Q22" s="21"/>
      <c r="R22" s="26" t="str">
        <f>GET_OK_GROUP(tbTestEnemy[[#This Row],[Camp]],tbTestEnemy[[#This Row],[Difficulty]],tbTestEnemy[[#This Row],[IsBoss]],tbTestEnemy[[#This Row],[Hero1]:[Soldier3]],tbTestEnemy[[#This Row],[GroupID]])</f>
        <v>三国-困难-盾兵+强兵+炼兵</v>
      </c>
    </row>
    <row r="23" spans="2:18">
      <c r="B23" s="19" t="s">
        <v>1284</v>
      </c>
      <c r="C23" s="20">
        <v>2</v>
      </c>
      <c r="D23" s="20"/>
      <c r="E23" s="7" t="s">
        <v>151</v>
      </c>
      <c r="F23" s="20" t="s">
        <v>1169</v>
      </c>
      <c r="G23" s="20"/>
      <c r="H23" s="20"/>
      <c r="I23" s="20"/>
      <c r="J23" s="20"/>
      <c r="K23" s="20" t="s">
        <v>1174</v>
      </c>
      <c r="L23" s="20" t="s">
        <v>1175</v>
      </c>
      <c r="M23" s="20"/>
      <c r="N23" s="26">
        <f>GET_OK_GROUPS_COUNT(tbTestEnemy[[#This Row],[Camp]],tbTestEnemy[[#This Row],[Difficulty]],tbTestEnemy[[#This Row],[IsBoss]],tbTestEnemy[[#This Row],[Hero1]:[Soldier3]])</f>
        <v>5</v>
      </c>
      <c r="O23" s="7">
        <v>3</v>
      </c>
      <c r="P23" s="20"/>
      <c r="Q23" s="21"/>
      <c r="R23" s="26" t="str">
        <f>GET_OK_GROUP(tbTestEnemy[[#This Row],[Camp]],tbTestEnemy[[#This Row],[Difficulty]],tbTestEnemy[[#This Row],[IsBoss]],tbTestEnemy[[#This Row],[Hero1]:[Soldier3]],tbTestEnemy[[#This Row],[GroupID]])</f>
        <v>三国-困难-盾兵+强兵+炼兵</v>
      </c>
    </row>
    <row r="24" spans="2:18">
      <c r="B24" s="19" t="s">
        <v>1284</v>
      </c>
      <c r="C24" s="20">
        <v>3</v>
      </c>
      <c r="D24" s="20"/>
      <c r="E24" s="7" t="s">
        <v>151</v>
      </c>
      <c r="F24" s="20" t="s">
        <v>1170</v>
      </c>
      <c r="G24" s="20" t="b">
        <v>1</v>
      </c>
      <c r="H24" s="20" t="s">
        <v>1173</v>
      </c>
      <c r="I24" s="20" t="s">
        <v>1177</v>
      </c>
      <c r="J24" s="20" t="s">
        <v>1178</v>
      </c>
      <c r="K24" s="20"/>
      <c r="L24" s="20"/>
      <c r="M24" s="20"/>
      <c r="N24" s="26">
        <f>GET_OK_GROUPS_COUNT(tbTestEnemy[[#This Row],[Camp]],tbTestEnemy[[#This Row],[Difficulty]],tbTestEnemy[[#This Row],[IsBoss]],tbTestEnemy[[#This Row],[Hero1]:[Soldier3]])</f>
        <v>1</v>
      </c>
      <c r="O24" s="21">
        <v>1</v>
      </c>
      <c r="P24" s="20"/>
      <c r="Q24" s="21"/>
      <c r="R24" s="26" t="str">
        <f>GET_OK_GROUP(tbTestEnemy[[#This Row],[Camp]],tbTestEnemy[[#This Row],[Difficulty]],tbTestEnemy[[#This Row],[IsBoss]],tbTestEnemy[[#This Row],[Hero1]:[Soldier3]],tbTestEnemy[[#This Row],[GroupID]])</f>
        <v>三国-超难-[B]铁英+盾英+刺英</v>
      </c>
    </row>
    <row r="25" spans="2:18">
      <c r="B25" s="19" t="s">
        <v>1285</v>
      </c>
      <c r="C25" s="20">
        <v>1</v>
      </c>
      <c r="D25" s="20"/>
      <c r="E25" s="7" t="s">
        <v>151</v>
      </c>
      <c r="F25" s="20" t="s">
        <v>1168</v>
      </c>
      <c r="G25" s="20"/>
      <c r="H25" s="20"/>
      <c r="I25" s="20"/>
      <c r="J25" s="20"/>
      <c r="K25" s="20" t="s">
        <v>1171</v>
      </c>
      <c r="L25" s="20" t="s">
        <v>1175</v>
      </c>
      <c r="M25" s="20"/>
      <c r="N25" s="26">
        <f>GET_OK_GROUPS_COUNT(tbTestEnemy[[#This Row],[Camp]],tbTestEnemy[[#This Row],[Difficulty]],tbTestEnemy[[#This Row],[IsBoss]],tbTestEnemy[[#This Row],[Hero1]:[Soldier3]])</f>
        <v>1</v>
      </c>
      <c r="O25" s="7">
        <v>1</v>
      </c>
      <c r="P25" s="20"/>
      <c r="Q25" s="21"/>
      <c r="R25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26" spans="2:18">
      <c r="B26" s="19" t="s">
        <v>1285</v>
      </c>
      <c r="C26" s="20">
        <v>2</v>
      </c>
      <c r="D26" s="20"/>
      <c r="E26" s="7" t="s">
        <v>151</v>
      </c>
      <c r="F26" s="20" t="s">
        <v>1169</v>
      </c>
      <c r="G26" s="20"/>
      <c r="H26" s="20" t="s">
        <v>1173</v>
      </c>
      <c r="I26" s="20"/>
      <c r="J26" s="20"/>
      <c r="K26" s="20"/>
      <c r="L26" s="20"/>
      <c r="M26" s="20"/>
      <c r="N26" s="26">
        <f>GET_OK_GROUPS_COUNT(tbTestEnemy[[#This Row],[Camp]],tbTestEnemy[[#This Row],[Difficulty]],tbTestEnemy[[#This Row],[IsBoss]],tbTestEnemy[[#This Row],[Hero1]:[Soldier3]])</f>
        <v>4</v>
      </c>
      <c r="O26" s="21">
        <v>1</v>
      </c>
      <c r="P26" s="20"/>
      <c r="Q26" s="21"/>
      <c r="R26" s="26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27" spans="2:18">
      <c r="B27" s="19" t="s">
        <v>1285</v>
      </c>
      <c r="C27" s="20">
        <v>3</v>
      </c>
      <c r="D27" s="20"/>
      <c r="E27" s="7" t="s">
        <v>151</v>
      </c>
      <c r="F27" s="20" t="s">
        <v>1170</v>
      </c>
      <c r="G27" s="20" t="b">
        <v>1</v>
      </c>
      <c r="H27" s="20" t="s">
        <v>1173</v>
      </c>
      <c r="I27" s="20" t="s">
        <v>1166</v>
      </c>
      <c r="J27" s="20"/>
      <c r="K27" s="20"/>
      <c r="L27" s="20"/>
      <c r="M27" s="20"/>
      <c r="N27" s="26">
        <f>GET_OK_GROUPS_COUNT(tbTestEnemy[[#This Row],[Camp]],tbTestEnemy[[#This Row],[Difficulty]],tbTestEnemy[[#This Row],[IsBoss]],tbTestEnemy[[#This Row],[Hero1]:[Soldier3]])</f>
        <v>1</v>
      </c>
      <c r="O27" s="7">
        <v>1</v>
      </c>
      <c r="P27" s="20"/>
      <c r="Q27" s="21"/>
      <c r="R27" s="26" t="str">
        <f>GET_OK_GROUP(tbTestEnemy[[#This Row],[Camp]],tbTestEnemy[[#This Row],[Difficulty]],tbTestEnemy[[#This Row],[IsBoss]],tbTestEnemy[[#This Row],[Hero1]:[Soldier3]],tbTestEnemy[[#This Row],[GroupID]])</f>
        <v>三国-超难-[B]铁英+法英</v>
      </c>
    </row>
    <row r="28" spans="2:18">
      <c r="B28" s="19" t="s">
        <v>1145</v>
      </c>
      <c r="C28" s="20">
        <v>1</v>
      </c>
      <c r="D28" s="20"/>
      <c r="E28" s="7" t="s">
        <v>151</v>
      </c>
      <c r="F28" s="20" t="s">
        <v>1169</v>
      </c>
      <c r="G28" s="20" t="b">
        <v>1</v>
      </c>
      <c r="H28" s="20" t="s">
        <v>1167</v>
      </c>
      <c r="I28" s="20" t="s">
        <v>1166</v>
      </c>
      <c r="J28" s="20"/>
      <c r="K28" s="20"/>
      <c r="L28" s="20"/>
      <c r="M28" s="20"/>
      <c r="N28" s="26">
        <f>GET_OK_GROUPS_COUNT(tbTestEnemy[[#This Row],[Camp]],tbTestEnemy[[#This Row],[Difficulty]],tbTestEnemy[[#This Row],[IsBoss]],tbTestEnemy[[#This Row],[Hero1]:[Soldier3]])</f>
        <v>1</v>
      </c>
      <c r="O28" s="21">
        <v>1</v>
      </c>
      <c r="P28" s="36" t="s">
        <v>1303</v>
      </c>
      <c r="Q28" s="21"/>
      <c r="R28" s="26" t="str">
        <f>GET_OK_GROUP(tbTestEnemy[[#This Row],[Camp]],tbTestEnemy[[#This Row],[Difficulty]],tbTestEnemy[[#This Row],[IsBoss]],tbTestEnemy[[#This Row],[Hero1]:[Soldier3]],tbTestEnemy[[#This Row],[GroupID]])</f>
        <v>三国-困难-[B]强英+法英</v>
      </c>
    </row>
    <row r="29" spans="2:18">
      <c r="B29" s="19" t="s">
        <v>1145</v>
      </c>
      <c r="C29" s="20">
        <v>2</v>
      </c>
      <c r="D29" s="20"/>
      <c r="E29" s="7" t="s">
        <v>151</v>
      </c>
      <c r="F29" s="20" t="s">
        <v>1169</v>
      </c>
      <c r="G29" s="20"/>
      <c r="H29" s="20" t="s">
        <v>1177</v>
      </c>
      <c r="I29" s="20" t="s">
        <v>1178</v>
      </c>
      <c r="J29" s="20"/>
      <c r="K29" s="20"/>
      <c r="L29" s="20"/>
      <c r="M29" s="20"/>
      <c r="N29" s="26">
        <f>GET_OK_GROUPS_COUNT(tbTestEnemy[[#This Row],[Camp]],tbTestEnemy[[#This Row],[Difficulty]],tbTestEnemy[[#This Row],[IsBoss]],tbTestEnemy[[#This Row],[Hero1]:[Soldier3]])</f>
        <v>1</v>
      </c>
      <c r="O29" s="7">
        <v>1</v>
      </c>
      <c r="P29" s="36" t="s">
        <v>1303</v>
      </c>
      <c r="Q29" s="21"/>
      <c r="R29" s="26" t="str">
        <f>GET_OK_GROUP(tbTestEnemy[[#This Row],[Camp]],tbTestEnemy[[#This Row],[Difficulty]],tbTestEnemy[[#This Row],[IsBoss]],tbTestEnemy[[#This Row],[Hero1]:[Soldier3]],tbTestEnemy[[#This Row],[GroupID]])</f>
        <v>三国-困难-盾英+刺英</v>
      </c>
    </row>
    <row r="30" spans="2:18">
      <c r="B30" s="19" t="s">
        <v>1146</v>
      </c>
      <c r="C30" s="20">
        <v>1</v>
      </c>
      <c r="D30" s="20"/>
      <c r="E30" s="7" t="s">
        <v>151</v>
      </c>
      <c r="F30" s="20" t="s">
        <v>1169</v>
      </c>
      <c r="G30" s="20" t="b">
        <v>1</v>
      </c>
      <c r="H30" s="20" t="s">
        <v>1177</v>
      </c>
      <c r="I30" s="20" t="s">
        <v>1179</v>
      </c>
      <c r="J30" s="20"/>
      <c r="K30" s="20"/>
      <c r="L30" s="20"/>
      <c r="M30" s="20"/>
      <c r="N30" s="26">
        <f>GET_OK_GROUPS_COUNT(tbTestEnemy[[#This Row],[Camp]],tbTestEnemy[[#This Row],[Difficulty]],tbTestEnemy[[#This Row],[IsBoss]],tbTestEnemy[[#This Row],[Hero1]:[Soldier3]])</f>
        <v>1</v>
      </c>
      <c r="O30" s="21">
        <v>1</v>
      </c>
      <c r="P30" s="36" t="s">
        <v>1303</v>
      </c>
      <c r="Q30" s="21"/>
      <c r="R30" s="26" t="str">
        <f>GET_OK_GROUP(tbTestEnemy[[#This Row],[Camp]],tbTestEnemy[[#This Row],[Difficulty]],tbTestEnemy[[#This Row],[IsBoss]],tbTestEnemy[[#This Row],[Hero1]:[Soldier3]],tbTestEnemy[[#This Row],[GroupID]])</f>
        <v>三国-困难-[B]盾英+炼英</v>
      </c>
    </row>
    <row r="31" spans="2:18">
      <c r="B31" s="19" t="s">
        <v>1146</v>
      </c>
      <c r="C31" s="20">
        <v>2</v>
      </c>
      <c r="D31" s="20"/>
      <c r="E31" s="7" t="s">
        <v>151</v>
      </c>
      <c r="F31" s="20" t="s">
        <v>1170</v>
      </c>
      <c r="G31" s="20" t="b">
        <v>1</v>
      </c>
      <c r="H31" s="20" t="s">
        <v>1173</v>
      </c>
      <c r="I31" s="20" t="s">
        <v>1166</v>
      </c>
      <c r="J31" s="20"/>
      <c r="K31" s="20"/>
      <c r="L31" s="20"/>
      <c r="M31" s="20"/>
      <c r="N31" s="26">
        <f>GET_OK_GROUPS_COUNT(tbTestEnemy[[#This Row],[Camp]],tbTestEnemy[[#This Row],[Difficulty]],tbTestEnemy[[#This Row],[IsBoss]],tbTestEnemy[[#This Row],[Hero1]:[Soldier3]])</f>
        <v>1</v>
      </c>
      <c r="O31" s="7">
        <v>1</v>
      </c>
      <c r="P31" s="36" t="s">
        <v>1303</v>
      </c>
      <c r="Q31" s="21"/>
      <c r="R31" s="26" t="str">
        <f>GET_OK_GROUP(tbTestEnemy[[#This Row],[Camp]],tbTestEnemy[[#This Row],[Difficulty]],tbTestEnemy[[#This Row],[IsBoss]],tbTestEnemy[[#This Row],[Hero1]:[Soldier3]],tbTestEnemy[[#This Row],[GroupID]])</f>
        <v>三国-超难-[B]铁英+法英</v>
      </c>
    </row>
    <row r="32" spans="2:18">
      <c r="B32" s="19" t="s">
        <v>1147</v>
      </c>
      <c r="C32" s="20">
        <v>1</v>
      </c>
      <c r="D32" s="20"/>
      <c r="E32" s="7" t="s">
        <v>151</v>
      </c>
      <c r="F32" s="20" t="s">
        <v>1170</v>
      </c>
      <c r="G32" s="20"/>
      <c r="H32" s="20" t="s">
        <v>1179</v>
      </c>
      <c r="I32" s="20" t="s">
        <v>1178</v>
      </c>
      <c r="J32" s="20"/>
      <c r="K32" s="20"/>
      <c r="L32" s="20"/>
      <c r="M32" s="20"/>
      <c r="N32" s="26">
        <f>GET_OK_GROUPS_COUNT(tbTestEnemy[[#This Row],[Camp]],tbTestEnemy[[#This Row],[Difficulty]],tbTestEnemy[[#This Row],[IsBoss]],tbTestEnemy[[#This Row],[Hero1]:[Soldier3]])</f>
        <v>1</v>
      </c>
      <c r="O32" s="21">
        <v>1</v>
      </c>
      <c r="P32" s="36" t="s">
        <v>1303</v>
      </c>
      <c r="Q32" s="21"/>
      <c r="R32" s="26" t="str">
        <f>GET_OK_GROUP(tbTestEnemy[[#This Row],[Camp]],tbTestEnemy[[#This Row],[Difficulty]],tbTestEnemy[[#This Row],[IsBoss]],tbTestEnemy[[#This Row],[Hero1]:[Soldier3]],tbTestEnemy[[#This Row],[GroupID]])</f>
        <v>三国-超难-炼英+刺英</v>
      </c>
    </row>
    <row r="33" spans="2:18">
      <c r="B33" s="19" t="s">
        <v>1147</v>
      </c>
      <c r="C33" s="20">
        <v>2</v>
      </c>
      <c r="D33" s="20"/>
      <c r="E33" s="7" t="s">
        <v>151</v>
      </c>
      <c r="F33" s="20" t="s">
        <v>1170</v>
      </c>
      <c r="G33" s="20" t="b">
        <v>1</v>
      </c>
      <c r="H33" s="20" t="s">
        <v>1177</v>
      </c>
      <c r="I33" s="20" t="s">
        <v>1179</v>
      </c>
      <c r="J33" s="20"/>
      <c r="K33" s="20"/>
      <c r="L33" s="20"/>
      <c r="M33" s="20"/>
      <c r="N33" s="26">
        <f>GET_OK_GROUPS_COUNT(tbTestEnemy[[#This Row],[Camp]],tbTestEnemy[[#This Row],[Difficulty]],tbTestEnemy[[#This Row],[IsBoss]],tbTestEnemy[[#This Row],[Hero1]:[Soldier3]])</f>
        <v>1</v>
      </c>
      <c r="O33" s="7">
        <v>1</v>
      </c>
      <c r="P33" s="36" t="s">
        <v>1303</v>
      </c>
      <c r="Q33" s="21"/>
      <c r="R33" s="26" t="str">
        <f>GET_OK_GROUP(tbTestEnemy[[#This Row],[Camp]],tbTestEnemy[[#This Row],[Difficulty]],tbTestEnemy[[#This Row],[IsBoss]],tbTestEnemy[[#This Row],[Hero1]:[Soldier3]],tbTestEnemy[[#This Row],[GroupID]])</f>
        <v>三国-超难-[B]盾英+炼英</v>
      </c>
    </row>
    <row r="34" spans="2:18">
      <c r="B34" s="19" t="s">
        <v>1148</v>
      </c>
      <c r="C34" s="20">
        <v>1</v>
      </c>
      <c r="D34" s="20"/>
      <c r="E34" s="7" t="s">
        <v>151</v>
      </c>
      <c r="F34" s="20" t="s">
        <v>1170</v>
      </c>
      <c r="G34" s="20" t="b">
        <v>1</v>
      </c>
      <c r="H34" s="20" t="s">
        <v>1166</v>
      </c>
      <c r="I34" s="20" t="s">
        <v>1178</v>
      </c>
      <c r="J34" s="20"/>
      <c r="K34" s="20"/>
      <c r="L34" s="20"/>
      <c r="M34" s="20"/>
      <c r="N34" s="26">
        <f>GET_OK_GROUPS_COUNT(tbTestEnemy[[#This Row],[Camp]],tbTestEnemy[[#This Row],[Difficulty]],tbTestEnemy[[#This Row],[IsBoss]],tbTestEnemy[[#This Row],[Hero1]:[Soldier3]])</f>
        <v>1</v>
      </c>
      <c r="O34" s="21">
        <v>1</v>
      </c>
      <c r="P34" s="36" t="s">
        <v>1303</v>
      </c>
      <c r="Q34" s="21"/>
      <c r="R34" s="26" t="str">
        <f>GET_OK_GROUP(tbTestEnemy[[#This Row],[Camp]],tbTestEnemy[[#This Row],[Difficulty]],tbTestEnemy[[#This Row],[IsBoss]],tbTestEnemy[[#This Row],[Hero1]:[Soldier3]],tbTestEnemy[[#This Row],[GroupID]])</f>
        <v>三国-超难-[B]法英+刺英</v>
      </c>
    </row>
    <row r="35" spans="2:18">
      <c r="B35" s="19" t="s">
        <v>1148</v>
      </c>
      <c r="C35" s="20">
        <v>2</v>
      </c>
      <c r="D35" s="20"/>
      <c r="E35" s="7" t="s">
        <v>151</v>
      </c>
      <c r="F35" s="20" t="s">
        <v>194</v>
      </c>
      <c r="G35" s="20" t="b">
        <v>1</v>
      </c>
      <c r="H35" s="20" t="s">
        <v>1173</v>
      </c>
      <c r="I35" s="20" t="s">
        <v>1177</v>
      </c>
      <c r="J35" s="20" t="s">
        <v>1167</v>
      </c>
      <c r="K35" s="20"/>
      <c r="L35" s="20"/>
      <c r="M35" s="20"/>
      <c r="N35" s="26">
        <f>GET_OK_GROUPS_COUNT(tbTestEnemy[[#This Row],[Camp]],tbTestEnemy[[#This Row],[Difficulty]],tbTestEnemy[[#This Row],[IsBoss]],tbTestEnemy[[#This Row],[Hero1]:[Soldier3]])</f>
        <v>1</v>
      </c>
      <c r="O35" s="7">
        <v>1</v>
      </c>
      <c r="P35" s="36" t="s">
        <v>1303</v>
      </c>
      <c r="Q35" s="21"/>
      <c r="R35" s="26" t="str">
        <f>GET_OK_GROUP(tbTestEnemy[[#This Row],[Camp]],tbTestEnemy[[#This Row],[Difficulty]],tbTestEnemy[[#This Row],[IsBoss]],tbTestEnemy[[#This Row],[Hero1]:[Soldier3]],tbTestEnemy[[#This Row],[GroupID]])</f>
        <v>三国-变态-[B]铁英+盾英+强英</v>
      </c>
    </row>
    <row r="36" spans="2:18">
      <c r="B36" s="19" t="s">
        <v>1304</v>
      </c>
      <c r="C36" s="20">
        <v>1</v>
      </c>
      <c r="D36" s="20">
        <v>5</v>
      </c>
      <c r="E36" s="7" t="s">
        <v>151</v>
      </c>
      <c r="F36" s="20" t="s">
        <v>1180</v>
      </c>
      <c r="G36" s="20"/>
      <c r="H36" s="20"/>
      <c r="I36" s="20"/>
      <c r="J36" s="20"/>
      <c r="K36" s="20" t="s">
        <v>1181</v>
      </c>
      <c r="L36" s="20"/>
      <c r="M36" s="20"/>
      <c r="N36" s="26">
        <f>GET_OK_GROUPS_COUNT(tbTestEnemy[[#This Row],[Camp]],tbTestEnemy[[#This Row],[Difficulty]],tbTestEnemy[[#This Row],[IsBoss]],tbTestEnemy[[#This Row],[Hero1]:[Soldier3]])</f>
        <v>1</v>
      </c>
      <c r="O36" s="21">
        <v>1</v>
      </c>
      <c r="P36" s="20"/>
      <c r="Q36" s="21"/>
      <c r="R36" s="26" t="str">
        <f>GET_OK_GROUP(tbTestEnemy[[#This Row],[Camp]],tbTestEnemy[[#This Row],[Difficulty]],tbTestEnemy[[#This Row],[IsBoss]],tbTestEnemy[[#This Row],[Hero1]:[Soldier3]],tbTestEnemy[[#This Row],[GroupID]])</f>
        <v>三国-简单-教徒</v>
      </c>
    </row>
    <row r="37" spans="2:18">
      <c r="B37" s="19" t="s">
        <v>1304</v>
      </c>
      <c r="C37" s="20">
        <v>2</v>
      </c>
      <c r="D37" s="20">
        <v>15</v>
      </c>
      <c r="E37" s="7" t="s">
        <v>151</v>
      </c>
      <c r="F37" s="20" t="s">
        <v>1180</v>
      </c>
      <c r="G37" s="20"/>
      <c r="H37" s="20"/>
      <c r="I37" s="20"/>
      <c r="J37" s="20"/>
      <c r="K37" s="20" t="s">
        <v>1176</v>
      </c>
      <c r="L37" s="20"/>
      <c r="M37" s="20"/>
      <c r="N37" s="26">
        <f>GET_OK_GROUPS_COUNT(tbTestEnemy[[#This Row],[Camp]],tbTestEnemy[[#This Row],[Difficulty]],tbTestEnemy[[#This Row],[IsBoss]],tbTestEnemy[[#This Row],[Hero1]:[Soldier3]])</f>
        <v>3</v>
      </c>
      <c r="O37" s="7">
        <v>1</v>
      </c>
      <c r="P37" s="20"/>
      <c r="Q37" s="21"/>
      <c r="R37" s="26" t="str">
        <f>GET_OK_GROUP(tbTestEnemy[[#This Row],[Camp]],tbTestEnemy[[#This Row],[Difficulty]],tbTestEnemy[[#This Row],[IsBoss]],tbTestEnemy[[#This Row],[Hero1]:[Soldier3]],tbTestEnemy[[#This Row],[GroupID]])</f>
        <v>三国-简单-炼兵</v>
      </c>
    </row>
    <row r="38" spans="2:18">
      <c r="B38" s="19" t="s">
        <v>1304</v>
      </c>
      <c r="C38" s="20">
        <v>3</v>
      </c>
      <c r="D38" s="20">
        <v>15</v>
      </c>
      <c r="E38" s="7" t="s">
        <v>151</v>
      </c>
      <c r="F38" s="20" t="s">
        <v>1168</v>
      </c>
      <c r="G38" s="20"/>
      <c r="H38" s="20"/>
      <c r="I38" s="20"/>
      <c r="J38" s="20"/>
      <c r="K38" s="20" t="s">
        <v>1175</v>
      </c>
      <c r="L38" s="20"/>
      <c r="M38" s="20"/>
      <c r="N38" s="26">
        <f>GET_OK_GROUPS_COUNT(tbTestEnemy[[#This Row],[Camp]],tbTestEnemy[[#This Row],[Difficulty]],tbTestEnemy[[#This Row],[IsBoss]],tbTestEnemy[[#This Row],[Hero1]:[Soldier3]])</f>
        <v>3</v>
      </c>
      <c r="O38" s="21">
        <v>1</v>
      </c>
      <c r="P38" s="20"/>
      <c r="Q38" s="21"/>
      <c r="R38" s="26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39" spans="2:18">
      <c r="B39" s="19" t="s">
        <v>1304</v>
      </c>
      <c r="C39" s="20">
        <v>4</v>
      </c>
      <c r="D39" s="20">
        <v>15</v>
      </c>
      <c r="E39" s="7" t="s">
        <v>151</v>
      </c>
      <c r="F39" s="20" t="s">
        <v>1180</v>
      </c>
      <c r="G39" s="20"/>
      <c r="H39" s="20"/>
      <c r="I39" s="20"/>
      <c r="J39" s="20"/>
      <c r="K39" s="20" t="s">
        <v>1182</v>
      </c>
      <c r="L39" s="20"/>
      <c r="M39" s="20"/>
      <c r="N39" s="26">
        <f>GET_OK_GROUPS_COUNT(tbTestEnemy[[#This Row],[Camp]],tbTestEnemy[[#This Row],[Difficulty]],tbTestEnemy[[#This Row],[IsBoss]],tbTestEnemy[[#This Row],[Hero1]:[Soldier3]])</f>
        <v>1</v>
      </c>
      <c r="O39" s="7">
        <v>1</v>
      </c>
      <c r="P39" s="20"/>
      <c r="Q39" s="21"/>
      <c r="R39" s="26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40" spans="2:18">
      <c r="B40" s="19" t="s">
        <v>1304</v>
      </c>
      <c r="C40" s="20">
        <v>5</v>
      </c>
      <c r="D40" s="20">
        <v>15</v>
      </c>
      <c r="E40" s="7" t="s">
        <v>151</v>
      </c>
      <c r="F40" s="20" t="s">
        <v>1180</v>
      </c>
      <c r="G40" s="20"/>
      <c r="H40" s="20"/>
      <c r="I40" s="20"/>
      <c r="J40" s="20"/>
      <c r="K40" s="20" t="s">
        <v>1171</v>
      </c>
      <c r="L40" s="20" t="s">
        <v>1175</v>
      </c>
      <c r="M40" s="20"/>
      <c r="N40" s="26">
        <f>GET_OK_GROUPS_COUNT(tbTestEnemy[[#This Row],[Camp]],tbTestEnemy[[#This Row],[Difficulty]],tbTestEnemy[[#This Row],[IsBoss]],tbTestEnemy[[#This Row],[Hero1]:[Soldier3]])</f>
        <v>1</v>
      </c>
      <c r="O40" s="21">
        <v>1</v>
      </c>
      <c r="P40" s="20"/>
      <c r="Q40" s="21"/>
      <c r="R40" s="26" t="str">
        <f>GET_OK_GROUP(tbTestEnemy[[#This Row],[Camp]],tbTestEnemy[[#This Row],[Difficulty]],tbTestEnemy[[#This Row],[IsBoss]],tbTestEnemy[[#This Row],[Hero1]:[Soldier3]],tbTestEnemy[[#This Row],[GroupID]])</f>
        <v>三国-简单-铁兵+强兵</v>
      </c>
    </row>
    <row r="41" spans="2:18">
      <c r="B41" s="19" t="s">
        <v>1304</v>
      </c>
      <c r="C41" s="20">
        <v>6</v>
      </c>
      <c r="D41" s="20">
        <v>15</v>
      </c>
      <c r="E41" s="7" t="s">
        <v>151</v>
      </c>
      <c r="F41" s="20" t="s">
        <v>1168</v>
      </c>
      <c r="G41" s="20"/>
      <c r="H41" s="20"/>
      <c r="I41" s="20"/>
      <c r="J41" s="20"/>
      <c r="K41" s="20" t="s">
        <v>1171</v>
      </c>
      <c r="L41" s="20"/>
      <c r="M41" s="20"/>
      <c r="N41" s="26">
        <f>GET_OK_GROUPS_COUNT(tbTestEnemy[[#This Row],[Camp]],tbTestEnemy[[#This Row],[Difficulty]],tbTestEnemy[[#This Row],[IsBoss]],tbTestEnemy[[#This Row],[Hero1]:[Soldier3]])</f>
        <v>5</v>
      </c>
      <c r="O41" s="7">
        <v>1</v>
      </c>
      <c r="P41" s="20"/>
      <c r="Q41" s="21"/>
      <c r="R41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42" spans="2:18">
      <c r="B42" s="19" t="s">
        <v>1304</v>
      </c>
      <c r="C42" s="20">
        <v>7</v>
      </c>
      <c r="D42" s="20">
        <v>15</v>
      </c>
      <c r="E42" s="7" t="s">
        <v>151</v>
      </c>
      <c r="F42" s="20" t="s">
        <v>1180</v>
      </c>
      <c r="G42" s="20"/>
      <c r="H42" s="20"/>
      <c r="I42" s="20"/>
      <c r="J42" s="20"/>
      <c r="K42" s="20" t="s">
        <v>1175</v>
      </c>
      <c r="L42" s="20"/>
      <c r="M42" s="20"/>
      <c r="N42" s="26">
        <f>GET_OK_GROUPS_COUNT(tbTestEnemy[[#This Row],[Camp]],tbTestEnemy[[#This Row],[Difficulty]],tbTestEnemy[[#This Row],[IsBoss]],tbTestEnemy[[#This Row],[Hero1]:[Soldier3]])</f>
        <v>3</v>
      </c>
      <c r="O42" s="21">
        <v>1</v>
      </c>
      <c r="P42" s="20"/>
      <c r="Q42" s="21"/>
      <c r="R42" s="26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43" spans="2:18">
      <c r="B43" s="19" t="s">
        <v>1304</v>
      </c>
      <c r="C43" s="20">
        <v>8</v>
      </c>
      <c r="D43" s="20">
        <v>15</v>
      </c>
      <c r="E43" s="7" t="s">
        <v>151</v>
      </c>
      <c r="F43" s="20" t="s">
        <v>1180</v>
      </c>
      <c r="G43" s="20"/>
      <c r="H43" s="20"/>
      <c r="I43" s="20"/>
      <c r="J43" s="20"/>
      <c r="K43" s="20" t="s">
        <v>1182</v>
      </c>
      <c r="L43" s="20"/>
      <c r="M43" s="20"/>
      <c r="N43" s="26">
        <f>GET_OK_GROUPS_COUNT(tbTestEnemy[[#This Row],[Camp]],tbTestEnemy[[#This Row],[Difficulty]],tbTestEnemy[[#This Row],[IsBoss]],tbTestEnemy[[#This Row],[Hero1]:[Soldier3]])</f>
        <v>1</v>
      </c>
      <c r="O43" s="7">
        <v>1</v>
      </c>
      <c r="P43" s="20"/>
      <c r="Q43" s="21"/>
      <c r="R43" s="26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44" spans="2:18">
      <c r="B44" s="19" t="s">
        <v>1304</v>
      </c>
      <c r="C44" s="20">
        <v>9</v>
      </c>
      <c r="D44" s="20">
        <v>15</v>
      </c>
      <c r="E44" s="7" t="s">
        <v>151</v>
      </c>
      <c r="F44" s="20" t="s">
        <v>1169</v>
      </c>
      <c r="G44" s="20"/>
      <c r="H44" s="20" t="s">
        <v>1173</v>
      </c>
      <c r="I44" s="20"/>
      <c r="J44" s="20"/>
      <c r="K44" s="20"/>
      <c r="L44" s="20"/>
      <c r="M44" s="20"/>
      <c r="N44" s="26">
        <f>GET_OK_GROUPS_COUNT(tbTestEnemy[[#This Row],[Camp]],tbTestEnemy[[#This Row],[Difficulty]],tbTestEnemy[[#This Row],[IsBoss]],tbTestEnemy[[#This Row],[Hero1]:[Soldier3]])</f>
        <v>4</v>
      </c>
      <c r="O44" s="21">
        <v>1</v>
      </c>
      <c r="P44" s="20"/>
      <c r="Q44" s="21"/>
      <c r="R44" s="26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45" spans="2:18">
      <c r="B45" s="19" t="s">
        <v>1305</v>
      </c>
      <c r="C45" s="20">
        <v>1</v>
      </c>
      <c r="D45" s="20">
        <v>5</v>
      </c>
      <c r="E45" s="7" t="s">
        <v>151</v>
      </c>
      <c r="F45" s="20" t="s">
        <v>1180</v>
      </c>
      <c r="G45" s="20"/>
      <c r="H45" s="20"/>
      <c r="I45" s="20"/>
      <c r="J45" s="20"/>
      <c r="K45" s="20" t="s">
        <v>1175</v>
      </c>
      <c r="L45" s="20"/>
      <c r="M45" s="20"/>
      <c r="N45" s="26">
        <f>GET_OK_GROUPS_COUNT(tbTestEnemy[[#This Row],[Camp]],tbTestEnemy[[#This Row],[Difficulty]],tbTestEnemy[[#This Row],[IsBoss]],tbTestEnemy[[#This Row],[Hero1]:[Soldier3]])</f>
        <v>3</v>
      </c>
      <c r="O45" s="7">
        <v>1</v>
      </c>
      <c r="P45" s="20"/>
      <c r="Q45" s="21"/>
      <c r="R45" s="26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46" spans="2:18">
      <c r="B46" s="19" t="s">
        <v>1305</v>
      </c>
      <c r="C46" s="20">
        <v>2</v>
      </c>
      <c r="D46" s="20">
        <v>15</v>
      </c>
      <c r="E46" s="7" t="s">
        <v>151</v>
      </c>
      <c r="F46" s="20" t="s">
        <v>1180</v>
      </c>
      <c r="G46" s="20"/>
      <c r="H46" s="20"/>
      <c r="I46" s="20"/>
      <c r="J46" s="20"/>
      <c r="K46" s="20" t="s">
        <v>1175</v>
      </c>
      <c r="L46" s="20"/>
      <c r="M46" s="20"/>
      <c r="N46" s="26">
        <f>GET_OK_GROUPS_COUNT(tbTestEnemy[[#This Row],[Camp]],tbTestEnemy[[#This Row],[Difficulty]],tbTestEnemy[[#This Row],[IsBoss]],tbTestEnemy[[#This Row],[Hero1]:[Soldier3]])</f>
        <v>3</v>
      </c>
      <c r="O46" s="21">
        <v>1</v>
      </c>
      <c r="P46" s="20"/>
      <c r="Q46" s="21"/>
      <c r="R46" s="26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47" spans="2:18">
      <c r="B47" s="19" t="s">
        <v>1305</v>
      </c>
      <c r="C47" s="20">
        <v>3</v>
      </c>
      <c r="D47" s="20">
        <v>15</v>
      </c>
      <c r="E47" s="7" t="s">
        <v>151</v>
      </c>
      <c r="F47" s="20" t="s">
        <v>1168</v>
      </c>
      <c r="G47" s="20"/>
      <c r="H47" s="20"/>
      <c r="I47" s="20"/>
      <c r="J47" s="20"/>
      <c r="K47" s="20" t="s">
        <v>1182</v>
      </c>
      <c r="L47" s="20"/>
      <c r="M47" s="20"/>
      <c r="N47" s="26">
        <f>GET_OK_GROUPS_COUNT(tbTestEnemy[[#This Row],[Camp]],tbTestEnemy[[#This Row],[Difficulty]],tbTestEnemy[[#This Row],[IsBoss]],tbTestEnemy[[#This Row],[Hero1]:[Soldier3]])</f>
        <v>3</v>
      </c>
      <c r="O47" s="7">
        <v>1</v>
      </c>
      <c r="P47" s="20"/>
      <c r="Q47" s="21"/>
      <c r="R47" s="26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48" spans="2:18">
      <c r="B48" s="19" t="s">
        <v>1305</v>
      </c>
      <c r="C48" s="20">
        <v>4</v>
      </c>
      <c r="D48" s="20">
        <v>15</v>
      </c>
      <c r="E48" s="7" t="s">
        <v>151</v>
      </c>
      <c r="F48" s="20" t="s">
        <v>1180</v>
      </c>
      <c r="G48" s="20"/>
      <c r="H48" s="20"/>
      <c r="I48" s="20"/>
      <c r="J48" s="20"/>
      <c r="K48" s="20" t="s">
        <v>1176</v>
      </c>
      <c r="L48" s="20"/>
      <c r="M48" s="20"/>
      <c r="N48" s="26">
        <f>GET_OK_GROUPS_COUNT(tbTestEnemy[[#This Row],[Camp]],tbTestEnemy[[#This Row],[Difficulty]],tbTestEnemy[[#This Row],[IsBoss]],tbTestEnemy[[#This Row],[Hero1]:[Soldier3]])</f>
        <v>3</v>
      </c>
      <c r="O48" s="21">
        <v>1</v>
      </c>
      <c r="P48" s="20"/>
      <c r="Q48" s="21"/>
      <c r="R48" s="26" t="str">
        <f>GET_OK_GROUP(tbTestEnemy[[#This Row],[Camp]],tbTestEnemy[[#This Row],[Difficulty]],tbTestEnemy[[#This Row],[IsBoss]],tbTestEnemy[[#This Row],[Hero1]:[Soldier3]],tbTestEnemy[[#This Row],[GroupID]])</f>
        <v>三国-简单-炼兵</v>
      </c>
    </row>
    <row r="49" spans="2:18">
      <c r="B49" s="19" t="s">
        <v>1305</v>
      </c>
      <c r="C49" s="20">
        <v>5</v>
      </c>
      <c r="D49" s="20">
        <v>15</v>
      </c>
      <c r="E49" s="7" t="s">
        <v>151</v>
      </c>
      <c r="F49" s="20" t="s">
        <v>1168</v>
      </c>
      <c r="G49" s="20"/>
      <c r="H49" s="20"/>
      <c r="I49" s="20"/>
      <c r="J49" s="20"/>
      <c r="K49" s="20" t="s">
        <v>1171</v>
      </c>
      <c r="L49" s="20" t="s">
        <v>1172</v>
      </c>
      <c r="M49" s="20"/>
      <c r="N49" s="26">
        <f>GET_OK_GROUPS_COUNT(tbTestEnemy[[#This Row],[Camp]],tbTestEnemy[[#This Row],[Difficulty]],tbTestEnemy[[#This Row],[IsBoss]],tbTestEnemy[[#This Row],[Hero1]:[Soldier3]])</f>
        <v>1</v>
      </c>
      <c r="O49" s="7">
        <v>1</v>
      </c>
      <c r="P49" s="20"/>
      <c r="Q49" s="21"/>
      <c r="R49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50" spans="2:18">
      <c r="B50" s="19" t="s">
        <v>1305</v>
      </c>
      <c r="C50" s="20">
        <v>6</v>
      </c>
      <c r="D50" s="20">
        <v>15</v>
      </c>
      <c r="E50" s="7" t="s">
        <v>151</v>
      </c>
      <c r="F50" s="20" t="s">
        <v>1168</v>
      </c>
      <c r="G50" s="20"/>
      <c r="H50" s="20"/>
      <c r="I50" s="20"/>
      <c r="J50" s="20"/>
      <c r="K50" s="20" t="s">
        <v>1175</v>
      </c>
      <c r="L50" s="20"/>
      <c r="M50" s="20"/>
      <c r="N50" s="26">
        <f>GET_OK_GROUPS_COUNT(tbTestEnemy[[#This Row],[Camp]],tbTestEnemy[[#This Row],[Difficulty]],tbTestEnemy[[#This Row],[IsBoss]],tbTestEnemy[[#This Row],[Hero1]:[Soldier3]])</f>
        <v>3</v>
      </c>
      <c r="O50" s="21">
        <v>1</v>
      </c>
      <c r="P50" s="20"/>
      <c r="Q50" s="21"/>
      <c r="R50" s="26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51" spans="2:18">
      <c r="B51" s="19" t="s">
        <v>1305</v>
      </c>
      <c r="C51" s="20">
        <v>7</v>
      </c>
      <c r="D51" s="20">
        <v>15</v>
      </c>
      <c r="E51" s="7" t="s">
        <v>151</v>
      </c>
      <c r="F51" s="20" t="s">
        <v>1180</v>
      </c>
      <c r="G51" s="20"/>
      <c r="H51" s="20"/>
      <c r="I51" s="20"/>
      <c r="J51" s="20"/>
      <c r="K51" s="20" t="s">
        <v>1172</v>
      </c>
      <c r="L51" s="20"/>
      <c r="M51" s="20"/>
      <c r="N51" s="26">
        <f>GET_OK_GROUPS_COUNT(tbTestEnemy[[#This Row],[Camp]],tbTestEnemy[[#This Row],[Difficulty]],tbTestEnemy[[#This Row],[IsBoss]],tbTestEnemy[[#This Row],[Hero1]:[Soldier3]])</f>
        <v>3</v>
      </c>
      <c r="O51" s="7">
        <v>1</v>
      </c>
      <c r="P51" s="20"/>
      <c r="Q51" s="21"/>
      <c r="R51" s="26" t="str">
        <f>GET_OK_GROUP(tbTestEnemy[[#This Row],[Camp]],tbTestEnemy[[#This Row],[Difficulty]],tbTestEnemy[[#This Row],[IsBoss]],tbTestEnemy[[#This Row],[Hero1]:[Soldier3]],tbTestEnemy[[#This Row],[GroupID]])</f>
        <v>三国-简单-法兵</v>
      </c>
    </row>
    <row r="52" spans="2:18">
      <c r="B52" s="19" t="s">
        <v>1305</v>
      </c>
      <c r="C52" s="20">
        <v>8</v>
      </c>
      <c r="D52" s="20">
        <v>15</v>
      </c>
      <c r="E52" s="7" t="s">
        <v>151</v>
      </c>
      <c r="F52" s="20" t="s">
        <v>1168</v>
      </c>
      <c r="G52" s="20"/>
      <c r="H52" s="20"/>
      <c r="I52" s="20"/>
      <c r="J52" s="20"/>
      <c r="K52" s="20" t="s">
        <v>1176</v>
      </c>
      <c r="L52" s="20"/>
      <c r="M52" s="20"/>
      <c r="N52" s="26">
        <f>GET_OK_GROUPS_COUNT(tbTestEnemy[[#This Row],[Camp]],tbTestEnemy[[#This Row],[Difficulty]],tbTestEnemy[[#This Row],[IsBoss]],tbTestEnemy[[#This Row],[Hero1]:[Soldier3]])</f>
        <v>3</v>
      </c>
      <c r="O52" s="21">
        <v>1</v>
      </c>
      <c r="P52" s="20"/>
      <c r="Q52" s="21"/>
      <c r="R52" s="26" t="str">
        <f>GET_OK_GROUP(tbTestEnemy[[#This Row],[Camp]],tbTestEnemy[[#This Row],[Difficulty]],tbTestEnemy[[#This Row],[IsBoss]],tbTestEnemy[[#This Row],[Hero1]:[Soldier3]],tbTestEnemy[[#This Row],[GroupID]])</f>
        <v>三国-普通-炼兵</v>
      </c>
    </row>
    <row r="53" spans="2:18">
      <c r="B53" s="19" t="s">
        <v>1305</v>
      </c>
      <c r="C53" s="20">
        <v>9</v>
      </c>
      <c r="D53" s="20">
        <v>15</v>
      </c>
      <c r="E53" s="7" t="s">
        <v>151</v>
      </c>
      <c r="F53" s="20" t="s">
        <v>1169</v>
      </c>
      <c r="G53" s="20"/>
      <c r="H53" s="20" t="s">
        <v>1173</v>
      </c>
      <c r="I53" s="20"/>
      <c r="J53" s="20"/>
      <c r="K53" s="20"/>
      <c r="L53" s="20"/>
      <c r="M53" s="20"/>
      <c r="N53" s="26">
        <f>GET_OK_GROUPS_COUNT(tbTestEnemy[[#This Row],[Camp]],tbTestEnemy[[#This Row],[Difficulty]],tbTestEnemy[[#This Row],[IsBoss]],tbTestEnemy[[#This Row],[Hero1]:[Soldier3]])</f>
        <v>4</v>
      </c>
      <c r="O53" s="7">
        <v>1</v>
      </c>
      <c r="P53" s="20"/>
      <c r="Q53" s="21"/>
      <c r="R53" s="26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54" spans="2:18">
      <c r="B54" s="19" t="s">
        <v>1306</v>
      </c>
      <c r="C54" s="20">
        <v>1</v>
      </c>
      <c r="D54" s="20">
        <v>5</v>
      </c>
      <c r="E54" s="7" t="s">
        <v>151</v>
      </c>
      <c r="F54" s="20" t="s">
        <v>1180</v>
      </c>
      <c r="G54" s="20"/>
      <c r="H54" s="20"/>
      <c r="I54" s="20"/>
      <c r="J54" s="20"/>
      <c r="K54" s="20" t="s">
        <v>1175</v>
      </c>
      <c r="L54" s="20"/>
      <c r="M54" s="20"/>
      <c r="N54" s="26">
        <f>GET_OK_GROUPS_COUNT(tbTestEnemy[[#This Row],[Camp]],tbTestEnemy[[#This Row],[Difficulty]],tbTestEnemy[[#This Row],[IsBoss]],tbTestEnemy[[#This Row],[Hero1]:[Soldier3]])</f>
        <v>3</v>
      </c>
      <c r="O54" s="21">
        <v>1</v>
      </c>
      <c r="P54" s="20"/>
      <c r="Q54" s="21"/>
      <c r="R54" s="26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55" spans="2:18">
      <c r="B55" s="19" t="s">
        <v>1306</v>
      </c>
      <c r="C55" s="20">
        <v>2</v>
      </c>
      <c r="D55" s="20">
        <v>15</v>
      </c>
      <c r="E55" s="7" t="s">
        <v>151</v>
      </c>
      <c r="F55" s="20" t="s">
        <v>1168</v>
      </c>
      <c r="G55" s="20"/>
      <c r="H55" s="20"/>
      <c r="I55" s="20"/>
      <c r="J55" s="20"/>
      <c r="K55" s="20" t="s">
        <v>1182</v>
      </c>
      <c r="L55" s="20"/>
      <c r="M55" s="20"/>
      <c r="N55" s="26">
        <f>GET_OK_GROUPS_COUNT(tbTestEnemy[[#This Row],[Camp]],tbTestEnemy[[#This Row],[Difficulty]],tbTestEnemy[[#This Row],[IsBoss]],tbTestEnemy[[#This Row],[Hero1]:[Soldier3]])</f>
        <v>3</v>
      </c>
      <c r="O55" s="7">
        <v>1</v>
      </c>
      <c r="P55" s="20"/>
      <c r="Q55" s="21"/>
      <c r="R55" s="26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56" spans="2:18">
      <c r="B56" s="19" t="s">
        <v>1306</v>
      </c>
      <c r="C56" s="20">
        <v>3</v>
      </c>
      <c r="D56" s="20">
        <v>15</v>
      </c>
      <c r="E56" s="7" t="s">
        <v>151</v>
      </c>
      <c r="F56" s="20" t="s">
        <v>1168</v>
      </c>
      <c r="G56" s="20"/>
      <c r="H56" s="20"/>
      <c r="I56" s="20"/>
      <c r="J56" s="20"/>
      <c r="K56" s="20" t="s">
        <v>1182</v>
      </c>
      <c r="L56" s="20"/>
      <c r="M56" s="20"/>
      <c r="N56" s="26">
        <f>GET_OK_GROUPS_COUNT(tbTestEnemy[[#This Row],[Camp]],tbTestEnemy[[#This Row],[Difficulty]],tbTestEnemy[[#This Row],[IsBoss]],tbTestEnemy[[#This Row],[Hero1]:[Soldier3]])</f>
        <v>3</v>
      </c>
      <c r="O56" s="21">
        <v>1</v>
      </c>
      <c r="P56" s="20"/>
      <c r="Q56" s="21"/>
      <c r="R56" s="26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57" spans="2:18">
      <c r="B57" s="19" t="s">
        <v>1306</v>
      </c>
      <c r="C57" s="20">
        <v>4</v>
      </c>
      <c r="D57" s="20">
        <v>15</v>
      </c>
      <c r="E57" s="7" t="s">
        <v>151</v>
      </c>
      <c r="F57" s="20" t="s">
        <v>1180</v>
      </c>
      <c r="G57" s="20"/>
      <c r="H57" s="20"/>
      <c r="I57" s="20"/>
      <c r="J57" s="20"/>
      <c r="K57" s="20" t="s">
        <v>1182</v>
      </c>
      <c r="L57" s="20"/>
      <c r="M57" s="20"/>
      <c r="N57" s="26">
        <f>GET_OK_GROUPS_COUNT(tbTestEnemy[[#This Row],[Camp]],tbTestEnemy[[#This Row],[Difficulty]],tbTestEnemy[[#This Row],[IsBoss]],tbTestEnemy[[#This Row],[Hero1]:[Soldier3]])</f>
        <v>1</v>
      </c>
      <c r="O57" s="7">
        <v>1</v>
      </c>
      <c r="P57" s="20"/>
      <c r="Q57" s="21"/>
      <c r="R57" s="26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58" spans="2:18">
      <c r="B58" s="19" t="s">
        <v>1306</v>
      </c>
      <c r="C58" s="20">
        <v>5</v>
      </c>
      <c r="D58" s="20">
        <v>15</v>
      </c>
      <c r="E58" s="7" t="s">
        <v>151</v>
      </c>
      <c r="F58" s="20" t="s">
        <v>1168</v>
      </c>
      <c r="G58" s="20"/>
      <c r="H58" s="20"/>
      <c r="I58" s="20"/>
      <c r="J58" s="20"/>
      <c r="K58" s="20" t="s">
        <v>1181</v>
      </c>
      <c r="L58" s="20"/>
      <c r="M58" s="20"/>
      <c r="N58" s="26">
        <f>GET_OK_GROUPS_COUNT(tbTestEnemy[[#This Row],[Camp]],tbTestEnemy[[#This Row],[Difficulty]],tbTestEnemy[[#This Row],[IsBoss]],tbTestEnemy[[#This Row],[Hero1]:[Soldier3]])</f>
        <v>1</v>
      </c>
      <c r="O58" s="21">
        <v>1</v>
      </c>
      <c r="P58" s="20"/>
      <c r="Q58" s="21"/>
      <c r="R58" s="26" t="str">
        <f>GET_OK_GROUP(tbTestEnemy[[#This Row],[Camp]],tbTestEnemy[[#This Row],[Difficulty]],tbTestEnemy[[#This Row],[IsBoss]],tbTestEnemy[[#This Row],[Hero1]:[Soldier3]],tbTestEnemy[[#This Row],[GroupID]])</f>
        <v>三国-普通-教徒</v>
      </c>
    </row>
    <row r="59" spans="2:18">
      <c r="B59" s="19" t="s">
        <v>1306</v>
      </c>
      <c r="C59" s="20">
        <v>6</v>
      </c>
      <c r="D59" s="20">
        <v>15</v>
      </c>
      <c r="E59" s="7" t="s">
        <v>151</v>
      </c>
      <c r="F59" s="20" t="s">
        <v>1169</v>
      </c>
      <c r="G59" s="20"/>
      <c r="H59" s="20" t="s">
        <v>1178</v>
      </c>
      <c r="I59" s="20" t="s">
        <v>1173</v>
      </c>
      <c r="J59" s="20"/>
      <c r="K59" s="20"/>
      <c r="L59" s="20"/>
      <c r="M59" s="20"/>
      <c r="N59" s="26">
        <f>GET_OK_GROUPS_COUNT(tbTestEnemy[[#This Row],[Camp]],tbTestEnemy[[#This Row],[Difficulty]],tbTestEnemy[[#This Row],[IsBoss]],tbTestEnemy[[#This Row],[Hero1]:[Soldier3]])</f>
        <v>1</v>
      </c>
      <c r="O59" s="7">
        <v>1</v>
      </c>
      <c r="P59" s="20"/>
      <c r="Q59" s="21"/>
      <c r="R59" s="26" t="str">
        <f>GET_OK_GROUP(tbTestEnemy[[#This Row],[Camp]],tbTestEnemy[[#This Row],[Difficulty]],tbTestEnemy[[#This Row],[IsBoss]],tbTestEnemy[[#This Row],[Hero1]:[Soldier3]],tbTestEnemy[[#This Row],[GroupID]])</f>
        <v>三国-困难-铁英+刺英</v>
      </c>
    </row>
    <row r="60" spans="2:18">
      <c r="B60" s="19" t="s">
        <v>1306</v>
      </c>
      <c r="C60" s="20">
        <v>7</v>
      </c>
      <c r="D60" s="20">
        <v>15</v>
      </c>
      <c r="E60" s="7" t="s">
        <v>151</v>
      </c>
      <c r="F60" s="20" t="s">
        <v>1180</v>
      </c>
      <c r="G60" s="20"/>
      <c r="H60" s="20"/>
      <c r="I60" s="20"/>
      <c r="J60" s="20"/>
      <c r="K60" s="20" t="s">
        <v>1172</v>
      </c>
      <c r="L60" s="20"/>
      <c r="M60" s="20"/>
      <c r="N60" s="26">
        <f>GET_OK_GROUPS_COUNT(tbTestEnemy[[#This Row],[Camp]],tbTestEnemy[[#This Row],[Difficulty]],tbTestEnemy[[#This Row],[IsBoss]],tbTestEnemy[[#This Row],[Hero1]:[Soldier3]])</f>
        <v>3</v>
      </c>
      <c r="O60" s="21">
        <v>1</v>
      </c>
      <c r="P60" s="20"/>
      <c r="Q60" s="21"/>
      <c r="R60" s="26" t="str">
        <f>GET_OK_GROUP(tbTestEnemy[[#This Row],[Camp]],tbTestEnemy[[#This Row],[Difficulty]],tbTestEnemy[[#This Row],[IsBoss]],tbTestEnemy[[#This Row],[Hero1]:[Soldier3]],tbTestEnemy[[#This Row],[GroupID]])</f>
        <v>三国-简单-法兵</v>
      </c>
    </row>
    <row r="61" spans="2:18">
      <c r="B61" s="19" t="s">
        <v>1306</v>
      </c>
      <c r="C61" s="20">
        <v>8</v>
      </c>
      <c r="D61" s="20">
        <v>15</v>
      </c>
      <c r="E61" s="7" t="s">
        <v>151</v>
      </c>
      <c r="F61" s="20" t="s">
        <v>1168</v>
      </c>
      <c r="G61" s="20"/>
      <c r="H61" s="20"/>
      <c r="I61" s="20"/>
      <c r="J61" s="20"/>
      <c r="K61" s="20" t="s">
        <v>1176</v>
      </c>
      <c r="L61" s="20"/>
      <c r="M61" s="20"/>
      <c r="N61" s="26">
        <f>GET_OK_GROUPS_COUNT(tbTestEnemy[[#This Row],[Camp]],tbTestEnemy[[#This Row],[Difficulty]],tbTestEnemy[[#This Row],[IsBoss]],tbTestEnemy[[#This Row],[Hero1]:[Soldier3]])</f>
        <v>3</v>
      </c>
      <c r="O61" s="7">
        <v>1</v>
      </c>
      <c r="P61" s="20"/>
      <c r="Q61" s="21"/>
      <c r="R61" s="26" t="str">
        <f>GET_OK_GROUP(tbTestEnemy[[#This Row],[Camp]],tbTestEnemy[[#This Row],[Difficulty]],tbTestEnemy[[#This Row],[IsBoss]],tbTestEnemy[[#This Row],[Hero1]:[Soldier3]],tbTestEnemy[[#This Row],[GroupID]])</f>
        <v>三国-普通-炼兵</v>
      </c>
    </row>
    <row r="62" spans="2:18">
      <c r="B62" s="19" t="s">
        <v>1306</v>
      </c>
      <c r="C62" s="20">
        <v>9</v>
      </c>
      <c r="D62" s="20">
        <v>15</v>
      </c>
      <c r="E62" s="7" t="s">
        <v>151</v>
      </c>
      <c r="F62" s="20" t="s">
        <v>1169</v>
      </c>
      <c r="G62" s="20"/>
      <c r="H62" s="20" t="s">
        <v>1179</v>
      </c>
      <c r="I62" s="20"/>
      <c r="J62" s="20"/>
      <c r="K62" s="20"/>
      <c r="L62" s="20"/>
      <c r="M62" s="20"/>
      <c r="N62" s="26">
        <f>GET_OK_GROUPS_COUNT(tbTestEnemy[[#This Row],[Camp]],tbTestEnemy[[#This Row],[Difficulty]],tbTestEnemy[[#This Row],[IsBoss]],tbTestEnemy[[#This Row],[Hero1]:[Soldier3]])</f>
        <v>3</v>
      </c>
      <c r="O62" s="21">
        <v>1</v>
      </c>
      <c r="P62" s="20"/>
      <c r="Q62" s="21"/>
      <c r="R62" s="26" t="str">
        <f>GET_OK_GROUP(tbTestEnemy[[#This Row],[Camp]],tbTestEnemy[[#This Row],[Difficulty]],tbTestEnemy[[#This Row],[IsBoss]],tbTestEnemy[[#This Row],[Hero1]:[Soldier3]],tbTestEnemy[[#This Row],[GroupID]])</f>
        <v>三国-困难-炼英+铁兵</v>
      </c>
    </row>
    <row r="63" spans="2:18">
      <c r="B63" s="19" t="s">
        <v>1307</v>
      </c>
      <c r="C63" s="20">
        <v>1</v>
      </c>
      <c r="D63" s="20">
        <v>5</v>
      </c>
      <c r="E63" s="7" t="s">
        <v>151</v>
      </c>
      <c r="F63" s="20" t="s">
        <v>1180</v>
      </c>
      <c r="G63" s="20"/>
      <c r="H63" s="20"/>
      <c r="I63" s="20"/>
      <c r="J63" s="20"/>
      <c r="K63" s="20" t="s">
        <v>1171</v>
      </c>
      <c r="L63" s="20"/>
      <c r="M63" s="20"/>
      <c r="N63" s="26">
        <f>GET_OK_GROUPS_COUNT(tbTestEnemy[[#This Row],[Camp]],tbTestEnemy[[#This Row],[Difficulty]],tbTestEnemy[[#This Row],[IsBoss]],tbTestEnemy[[#This Row],[Hero1]:[Soldier3]])</f>
        <v>4</v>
      </c>
      <c r="O63" s="7">
        <v>1</v>
      </c>
      <c r="P63" s="20"/>
      <c r="Q63" s="21"/>
      <c r="R63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64" spans="2:18">
      <c r="B64" s="19" t="s">
        <v>1307</v>
      </c>
      <c r="C64" s="20">
        <v>2</v>
      </c>
      <c r="D64" s="20">
        <v>15</v>
      </c>
      <c r="E64" s="7" t="s">
        <v>151</v>
      </c>
      <c r="F64" s="20" t="s">
        <v>1168</v>
      </c>
      <c r="G64" s="20"/>
      <c r="H64" s="20"/>
      <c r="I64" s="20"/>
      <c r="J64" s="20"/>
      <c r="K64" s="20" t="s">
        <v>1171</v>
      </c>
      <c r="L64" s="20"/>
      <c r="M64" s="20"/>
      <c r="N64" s="26">
        <f>GET_OK_GROUPS_COUNT(tbTestEnemy[[#This Row],[Camp]],tbTestEnemy[[#This Row],[Difficulty]],tbTestEnemy[[#This Row],[IsBoss]],tbTestEnemy[[#This Row],[Hero1]:[Soldier3]])</f>
        <v>5</v>
      </c>
      <c r="O64" s="21">
        <v>1</v>
      </c>
      <c r="P64" s="20"/>
      <c r="Q64" s="21"/>
      <c r="R64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65" spans="2:18">
      <c r="B65" s="19" t="s">
        <v>1307</v>
      </c>
      <c r="C65" s="20">
        <v>3</v>
      </c>
      <c r="D65" s="20">
        <v>15</v>
      </c>
      <c r="E65" s="7" t="s">
        <v>151</v>
      </c>
      <c r="F65" s="20" t="s">
        <v>1169</v>
      </c>
      <c r="G65" s="20"/>
      <c r="H65" s="20" t="s">
        <v>1179</v>
      </c>
      <c r="I65" s="20"/>
      <c r="J65" s="20"/>
      <c r="K65" s="20"/>
      <c r="L65" s="20"/>
      <c r="M65" s="20"/>
      <c r="N65" s="26">
        <f>GET_OK_GROUPS_COUNT(tbTestEnemy[[#This Row],[Camp]],tbTestEnemy[[#This Row],[Difficulty]],tbTestEnemy[[#This Row],[IsBoss]],tbTestEnemy[[#This Row],[Hero1]:[Soldier3]])</f>
        <v>3</v>
      </c>
      <c r="O65" s="7">
        <v>1</v>
      </c>
      <c r="P65" s="20"/>
      <c r="Q65" s="21"/>
      <c r="R65" s="26" t="str">
        <f>GET_OK_GROUP(tbTestEnemy[[#This Row],[Camp]],tbTestEnemy[[#This Row],[Difficulty]],tbTestEnemy[[#This Row],[IsBoss]],tbTestEnemy[[#This Row],[Hero1]:[Soldier3]],tbTestEnemy[[#This Row],[GroupID]])</f>
        <v>三国-困难-炼英+铁兵</v>
      </c>
    </row>
    <row r="66" spans="2:18">
      <c r="B66" s="19" t="s">
        <v>1307</v>
      </c>
      <c r="C66" s="20">
        <v>4</v>
      </c>
      <c r="D66" s="20">
        <v>15</v>
      </c>
      <c r="E66" s="7" t="s">
        <v>151</v>
      </c>
      <c r="F66" s="20" t="s">
        <v>1168</v>
      </c>
      <c r="G66" s="20"/>
      <c r="H66" s="20"/>
      <c r="I66" s="20"/>
      <c r="J66" s="20"/>
      <c r="K66" s="20" t="s">
        <v>1181</v>
      </c>
      <c r="L66" s="20"/>
      <c r="M66" s="20"/>
      <c r="N66" s="26">
        <f>GET_OK_GROUPS_COUNT(tbTestEnemy[[#This Row],[Camp]],tbTestEnemy[[#This Row],[Difficulty]],tbTestEnemy[[#This Row],[IsBoss]],tbTestEnemy[[#This Row],[Hero1]:[Soldier3]])</f>
        <v>1</v>
      </c>
      <c r="O66" s="21">
        <v>1</v>
      </c>
      <c r="P66" s="20"/>
      <c r="Q66" s="21"/>
      <c r="R66" s="26" t="str">
        <f>GET_OK_GROUP(tbTestEnemy[[#This Row],[Camp]],tbTestEnemy[[#This Row],[Difficulty]],tbTestEnemy[[#This Row],[IsBoss]],tbTestEnemy[[#This Row],[Hero1]:[Soldier3]],tbTestEnemy[[#This Row],[GroupID]])</f>
        <v>三国-普通-教徒</v>
      </c>
    </row>
    <row r="67" spans="2:18">
      <c r="B67" s="19" t="s">
        <v>1307</v>
      </c>
      <c r="C67" s="20">
        <v>5</v>
      </c>
      <c r="D67" s="20">
        <v>15</v>
      </c>
      <c r="E67" s="7" t="s">
        <v>151</v>
      </c>
      <c r="F67" s="20" t="s">
        <v>1168</v>
      </c>
      <c r="G67" s="20"/>
      <c r="H67" s="20"/>
      <c r="I67" s="20"/>
      <c r="J67" s="20"/>
      <c r="K67" s="20" t="s">
        <v>1171</v>
      </c>
      <c r="L67" s="20" t="s">
        <v>1175</v>
      </c>
      <c r="M67" s="20"/>
      <c r="N67" s="26">
        <f>GET_OK_GROUPS_COUNT(tbTestEnemy[[#This Row],[Camp]],tbTestEnemy[[#This Row],[Difficulty]],tbTestEnemy[[#This Row],[IsBoss]],tbTestEnemy[[#This Row],[Hero1]:[Soldier3]])</f>
        <v>1</v>
      </c>
      <c r="O67" s="7">
        <v>1</v>
      </c>
      <c r="P67" s="20"/>
      <c r="Q67" s="21"/>
      <c r="R67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68" spans="2:18">
      <c r="B68" s="19" t="s">
        <v>1307</v>
      </c>
      <c r="C68" s="20">
        <v>6</v>
      </c>
      <c r="D68" s="20">
        <v>15</v>
      </c>
      <c r="E68" s="7" t="s">
        <v>151</v>
      </c>
      <c r="F68" s="20" t="s">
        <v>1169</v>
      </c>
      <c r="G68" s="20"/>
      <c r="H68" s="20" t="s">
        <v>1177</v>
      </c>
      <c r="I68" s="20" t="s">
        <v>1166</v>
      </c>
      <c r="J68" s="20"/>
      <c r="K68" s="20"/>
      <c r="L68" s="20"/>
      <c r="M68" s="20"/>
      <c r="N68" s="26">
        <f>GET_OK_GROUPS_COUNT(tbTestEnemy[[#This Row],[Camp]],tbTestEnemy[[#This Row],[Difficulty]],tbTestEnemy[[#This Row],[IsBoss]],tbTestEnemy[[#This Row],[Hero1]:[Soldier3]])</f>
        <v>1</v>
      </c>
      <c r="O68" s="21">
        <v>1</v>
      </c>
      <c r="P68" s="20"/>
      <c r="Q68" s="21"/>
      <c r="R68" s="26" t="str">
        <f>GET_OK_GROUP(tbTestEnemy[[#This Row],[Camp]],tbTestEnemy[[#This Row],[Difficulty]],tbTestEnemy[[#This Row],[IsBoss]],tbTestEnemy[[#This Row],[Hero1]:[Soldier3]],tbTestEnemy[[#This Row],[GroupID]])</f>
        <v>三国-困难-盾英+法英</v>
      </c>
    </row>
    <row r="69" spans="2:18">
      <c r="B69" s="19" t="s">
        <v>1307</v>
      </c>
      <c r="C69" s="20">
        <v>7</v>
      </c>
      <c r="D69" s="20">
        <v>15</v>
      </c>
      <c r="E69" s="7" t="s">
        <v>151</v>
      </c>
      <c r="F69" s="20" t="s">
        <v>1168</v>
      </c>
      <c r="G69" s="20"/>
      <c r="H69" s="20"/>
      <c r="I69" s="20"/>
      <c r="J69" s="20"/>
      <c r="K69" s="20" t="s">
        <v>1175</v>
      </c>
      <c r="L69" s="20"/>
      <c r="M69" s="20"/>
      <c r="N69" s="26">
        <f>GET_OK_GROUPS_COUNT(tbTestEnemy[[#This Row],[Camp]],tbTestEnemy[[#This Row],[Difficulty]],tbTestEnemy[[#This Row],[IsBoss]],tbTestEnemy[[#This Row],[Hero1]:[Soldier3]])</f>
        <v>3</v>
      </c>
      <c r="O69" s="7">
        <v>1</v>
      </c>
      <c r="P69" s="20"/>
      <c r="Q69" s="21"/>
      <c r="R69" s="26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70" spans="2:18">
      <c r="B70" s="19" t="s">
        <v>1307</v>
      </c>
      <c r="C70" s="20">
        <v>8</v>
      </c>
      <c r="D70" s="20">
        <v>15</v>
      </c>
      <c r="E70" s="7" t="s">
        <v>151</v>
      </c>
      <c r="F70" s="20" t="s">
        <v>1169</v>
      </c>
      <c r="G70" s="20"/>
      <c r="H70" s="20"/>
      <c r="I70" s="20"/>
      <c r="J70" s="20"/>
      <c r="K70" s="20" t="s">
        <v>1176</v>
      </c>
      <c r="L70" s="20"/>
      <c r="M70" s="20"/>
      <c r="N70" s="26">
        <f>GET_OK_GROUPS_COUNT(tbTestEnemy[[#This Row],[Camp]],tbTestEnemy[[#This Row],[Difficulty]],tbTestEnemy[[#This Row],[IsBoss]],tbTestEnemy[[#This Row],[Hero1]:[Soldier3]])</f>
        <v>9</v>
      </c>
      <c r="O70" s="21">
        <v>1</v>
      </c>
      <c r="P70" s="20"/>
      <c r="Q70" s="21"/>
      <c r="R70" s="26" t="str">
        <f>GET_OK_GROUP(tbTestEnemy[[#This Row],[Camp]],tbTestEnemy[[#This Row],[Difficulty]],tbTestEnemy[[#This Row],[IsBoss]],tbTestEnemy[[#This Row],[Hero1]:[Soldier3]],tbTestEnemy[[#This Row],[GroupID]])</f>
        <v>三国-困难-铁兵+炼兵</v>
      </c>
    </row>
    <row r="71" spans="2:18">
      <c r="B71" s="19" t="s">
        <v>1307</v>
      </c>
      <c r="C71" s="20">
        <v>9</v>
      </c>
      <c r="D71" s="20">
        <v>15</v>
      </c>
      <c r="E71" s="7" t="s">
        <v>151</v>
      </c>
      <c r="F71" s="20" t="s">
        <v>1170</v>
      </c>
      <c r="G71" s="20"/>
      <c r="H71" s="20" t="s">
        <v>1177</v>
      </c>
      <c r="I71" s="20" t="s">
        <v>1167</v>
      </c>
      <c r="J71" s="20"/>
      <c r="K71" s="20"/>
      <c r="L71" s="20"/>
      <c r="M71" s="20"/>
      <c r="N71" s="26">
        <f>GET_OK_GROUPS_COUNT(tbTestEnemy[[#This Row],[Camp]],tbTestEnemy[[#This Row],[Difficulty]],tbTestEnemy[[#This Row],[IsBoss]],tbTestEnemy[[#This Row],[Hero1]:[Soldier3]])</f>
        <v>1</v>
      </c>
      <c r="O71" s="7">
        <v>1</v>
      </c>
      <c r="P71" s="20"/>
      <c r="Q71" s="21"/>
      <c r="R71" s="26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  <row r="72" spans="2:18">
      <c r="B72" s="19" t="s">
        <v>1308</v>
      </c>
      <c r="C72" s="20">
        <v>1</v>
      </c>
      <c r="D72" s="20">
        <v>5</v>
      </c>
      <c r="E72" s="7" t="s">
        <v>151</v>
      </c>
      <c r="F72" s="20" t="s">
        <v>29</v>
      </c>
      <c r="G72" s="20"/>
      <c r="H72" s="20"/>
      <c r="I72" s="20"/>
      <c r="J72" s="20"/>
      <c r="K72" s="20" t="s">
        <v>25</v>
      </c>
      <c r="L72" s="20" t="s">
        <v>28</v>
      </c>
      <c r="M72" s="20"/>
      <c r="N72" s="26">
        <f>GET_OK_GROUPS_COUNT(tbTestEnemy[[#This Row],[Camp]],tbTestEnemy[[#This Row],[Difficulty]],tbTestEnemy[[#This Row],[IsBoss]],tbTestEnemy[[#This Row],[Hero1]:[Soldier3]])</f>
        <v>1</v>
      </c>
      <c r="O72" s="7">
        <v>1</v>
      </c>
      <c r="P72" s="20"/>
      <c r="Q72" s="21"/>
      <c r="R72" s="26" t="str">
        <f>GET_OK_GROUP(tbTestEnemy[[#This Row],[Camp]],tbTestEnemy[[#This Row],[Difficulty]],tbTestEnemy[[#This Row],[IsBoss]],tbTestEnemy[[#This Row],[Hero1]:[Soldier3]],tbTestEnemy[[#This Row],[GroupID]])</f>
        <v>三国-简单-铁兵+法兵</v>
      </c>
    </row>
    <row r="73" spans="2:18">
      <c r="B73" s="19" t="s">
        <v>1308</v>
      </c>
      <c r="C73" s="20">
        <v>2</v>
      </c>
      <c r="D73" s="20">
        <v>10</v>
      </c>
      <c r="E73" s="7" t="s">
        <v>151</v>
      </c>
      <c r="F73" s="20" t="s">
        <v>29</v>
      </c>
      <c r="G73" s="20"/>
      <c r="H73" s="20"/>
      <c r="I73" s="20"/>
      <c r="J73" s="20"/>
      <c r="K73" s="20" t="s">
        <v>25</v>
      </c>
      <c r="L73" s="20" t="s">
        <v>26</v>
      </c>
      <c r="M73" s="20"/>
      <c r="N73" s="26">
        <f>GET_OK_GROUPS_COUNT(tbTestEnemy[[#This Row],[Camp]],tbTestEnemy[[#This Row],[Difficulty]],tbTestEnemy[[#This Row],[IsBoss]],tbTestEnemy[[#This Row],[Hero1]:[Soldier3]])</f>
        <v>1</v>
      </c>
      <c r="O73" s="7">
        <v>1</v>
      </c>
      <c r="P73" s="20"/>
      <c r="Q73" s="21"/>
      <c r="R73" s="26" t="str">
        <f>GET_OK_GROUP(tbTestEnemy[[#This Row],[Camp]],tbTestEnemy[[#This Row],[Difficulty]],tbTestEnemy[[#This Row],[IsBoss]],tbTestEnemy[[#This Row],[Hero1]:[Soldier3]],tbTestEnemy[[#This Row],[GroupID]])</f>
        <v>三国-简单-铁兵+强兵</v>
      </c>
    </row>
    <row r="74" spans="2:18">
      <c r="B74" s="19" t="s">
        <v>1308</v>
      </c>
      <c r="C74" s="20">
        <v>3</v>
      </c>
      <c r="D74" s="20">
        <v>10</v>
      </c>
      <c r="E74" s="7" t="s">
        <v>151</v>
      </c>
      <c r="F74" s="20" t="s">
        <v>33</v>
      </c>
      <c r="G74" s="20"/>
      <c r="H74" s="20"/>
      <c r="I74" s="20"/>
      <c r="J74" s="20"/>
      <c r="K74" s="20" t="s">
        <v>25</v>
      </c>
      <c r="L74" s="20" t="s">
        <v>28</v>
      </c>
      <c r="M74" s="20"/>
      <c r="N74" s="26">
        <f>GET_OK_GROUPS_COUNT(tbTestEnemy[[#This Row],[Camp]],tbTestEnemy[[#This Row],[Difficulty]],tbTestEnemy[[#This Row],[IsBoss]],tbTestEnemy[[#This Row],[Hero1]:[Soldier3]])</f>
        <v>1</v>
      </c>
      <c r="O74" s="7">
        <v>1</v>
      </c>
      <c r="P74" s="20"/>
      <c r="Q74" s="21"/>
      <c r="R74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75" spans="2:18">
      <c r="B75" s="19" t="s">
        <v>1308</v>
      </c>
      <c r="C75" s="20">
        <v>4</v>
      </c>
      <c r="D75" s="20">
        <v>10</v>
      </c>
      <c r="E75" s="7" t="s">
        <v>151</v>
      </c>
      <c r="F75" s="20" t="s">
        <v>33</v>
      </c>
      <c r="G75" s="20"/>
      <c r="H75" s="20"/>
      <c r="I75" s="20"/>
      <c r="J75" s="20"/>
      <c r="K75" s="20" t="s">
        <v>25</v>
      </c>
      <c r="L75" s="20" t="s">
        <v>26</v>
      </c>
      <c r="M75" s="20"/>
      <c r="N75" s="26">
        <f>GET_OK_GROUPS_COUNT(tbTestEnemy[[#This Row],[Camp]],tbTestEnemy[[#This Row],[Difficulty]],tbTestEnemy[[#This Row],[IsBoss]],tbTestEnemy[[#This Row],[Hero1]:[Soldier3]])</f>
        <v>1</v>
      </c>
      <c r="O75" s="7">
        <v>1</v>
      </c>
      <c r="P75" s="20"/>
      <c r="Q75" s="21"/>
      <c r="R75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76" spans="2:18">
      <c r="B76" s="19" t="s">
        <v>1308</v>
      </c>
      <c r="C76" s="20">
        <v>5</v>
      </c>
      <c r="D76" s="20">
        <v>10</v>
      </c>
      <c r="E76" s="7" t="s">
        <v>151</v>
      </c>
      <c r="F76" s="20" t="s">
        <v>35</v>
      </c>
      <c r="G76" s="20"/>
      <c r="H76" s="20" t="s">
        <v>382</v>
      </c>
      <c r="I76" s="38" t="s">
        <v>1318</v>
      </c>
      <c r="J76" s="20"/>
      <c r="K76" s="20"/>
      <c r="L76" s="20"/>
      <c r="M76" s="20"/>
      <c r="N76" s="26">
        <f>GET_OK_GROUPS_COUNT(tbTestEnemy[[#This Row],[Camp]],tbTestEnemy[[#This Row],[Difficulty]],tbTestEnemy[[#This Row],[IsBoss]],tbTestEnemy[[#This Row],[Hero1]:[Soldier3]])</f>
        <v>1</v>
      </c>
      <c r="O76" s="7">
        <v>1</v>
      </c>
      <c r="P76" s="20"/>
      <c r="Q76" s="21"/>
      <c r="R76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77" spans="2:18">
      <c r="B77" s="19" t="s">
        <v>1309</v>
      </c>
      <c r="C77" s="20">
        <v>1</v>
      </c>
      <c r="D77" s="20">
        <v>5</v>
      </c>
      <c r="E77" s="7" t="s">
        <v>151</v>
      </c>
      <c r="F77" s="20" t="s">
        <v>29</v>
      </c>
      <c r="G77" s="20"/>
      <c r="H77" s="20"/>
      <c r="I77" s="20"/>
      <c r="J77" s="20"/>
      <c r="K77" s="20" t="s">
        <v>25</v>
      </c>
      <c r="L77" s="20" t="s">
        <v>28</v>
      </c>
      <c r="M77" s="20"/>
      <c r="N77" s="26">
        <f>GET_OK_GROUPS_COUNT(tbTestEnemy[[#This Row],[Camp]],tbTestEnemy[[#This Row],[Difficulty]],tbTestEnemy[[#This Row],[IsBoss]],tbTestEnemy[[#This Row],[Hero1]:[Soldier3]])</f>
        <v>1</v>
      </c>
      <c r="O77" s="7">
        <v>1</v>
      </c>
      <c r="P77" s="20"/>
      <c r="Q77" s="21"/>
      <c r="R77" s="26" t="str">
        <f>GET_OK_GROUP(tbTestEnemy[[#This Row],[Camp]],tbTestEnemy[[#This Row],[Difficulty]],tbTestEnemy[[#This Row],[IsBoss]],tbTestEnemy[[#This Row],[Hero1]:[Soldier3]],tbTestEnemy[[#This Row],[GroupID]])</f>
        <v>三国-简单-铁兵+法兵</v>
      </c>
    </row>
    <row r="78" spans="2:18">
      <c r="B78" s="19" t="s">
        <v>1309</v>
      </c>
      <c r="C78" s="20">
        <v>2</v>
      </c>
      <c r="D78" s="20">
        <v>10</v>
      </c>
      <c r="E78" s="7" t="s">
        <v>151</v>
      </c>
      <c r="F78" s="20" t="s">
        <v>33</v>
      </c>
      <c r="G78" s="20"/>
      <c r="H78" s="20"/>
      <c r="I78" s="20"/>
      <c r="J78" s="20"/>
      <c r="K78" s="38" t="s">
        <v>1314</v>
      </c>
      <c r="L78" s="38" t="s">
        <v>1316</v>
      </c>
      <c r="M78" s="20"/>
      <c r="N78" s="26">
        <f>GET_OK_GROUPS_COUNT(tbTestEnemy[[#This Row],[Camp]],tbTestEnemy[[#This Row],[Difficulty]],tbTestEnemy[[#This Row],[IsBoss]],tbTestEnemy[[#This Row],[Hero1]:[Soldier3]])</f>
        <v>1</v>
      </c>
      <c r="O78" s="7">
        <v>1</v>
      </c>
      <c r="P78" s="20"/>
      <c r="Q78" s="21"/>
      <c r="R78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79" spans="2:18">
      <c r="B79" s="19" t="s">
        <v>1309</v>
      </c>
      <c r="C79" s="20">
        <v>3</v>
      </c>
      <c r="D79" s="20">
        <v>10</v>
      </c>
      <c r="E79" s="7" t="s">
        <v>151</v>
      </c>
      <c r="F79" s="20" t="s">
        <v>33</v>
      </c>
      <c r="G79" s="20"/>
      <c r="H79" s="20"/>
      <c r="I79" s="20"/>
      <c r="J79" s="20"/>
      <c r="K79" s="38" t="s">
        <v>1314</v>
      </c>
      <c r="L79" s="38" t="s">
        <v>1315</v>
      </c>
      <c r="M79" s="20"/>
      <c r="N79" s="26">
        <f>GET_OK_GROUPS_COUNT(tbTestEnemy[[#This Row],[Camp]],tbTestEnemy[[#This Row],[Difficulty]],tbTestEnemy[[#This Row],[IsBoss]],tbTestEnemy[[#This Row],[Hero1]:[Soldier3]])</f>
        <v>1</v>
      </c>
      <c r="O79" s="7">
        <v>1</v>
      </c>
      <c r="P79" s="20"/>
      <c r="Q79" s="21"/>
      <c r="R79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80" spans="2:18">
      <c r="B80" s="19" t="s">
        <v>1309</v>
      </c>
      <c r="C80" s="20">
        <v>4</v>
      </c>
      <c r="D80" s="20">
        <v>15</v>
      </c>
      <c r="E80" s="7" t="s">
        <v>151</v>
      </c>
      <c r="F80" s="20" t="s">
        <v>35</v>
      </c>
      <c r="G80" s="20"/>
      <c r="H80" s="20"/>
      <c r="I80" s="20"/>
      <c r="J80" s="20"/>
      <c r="K80" s="38" t="s">
        <v>1314</v>
      </c>
      <c r="L80" s="38" t="s">
        <v>1316</v>
      </c>
      <c r="M80" s="20"/>
      <c r="N80" s="26">
        <f>GET_OK_GROUPS_COUNT(tbTestEnemy[[#This Row],[Camp]],tbTestEnemy[[#This Row],[Difficulty]],tbTestEnemy[[#This Row],[IsBoss]],tbTestEnemy[[#This Row],[Hero1]:[Soldier3]])</f>
        <v>5</v>
      </c>
      <c r="O80" s="7">
        <v>1</v>
      </c>
      <c r="P80" s="20"/>
      <c r="Q80" s="21"/>
      <c r="R80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81" spans="2:18">
      <c r="B81" s="19" t="s">
        <v>1309</v>
      </c>
      <c r="C81" s="20">
        <v>5</v>
      </c>
      <c r="D81" s="20">
        <v>15</v>
      </c>
      <c r="E81" s="7" t="s">
        <v>151</v>
      </c>
      <c r="F81" s="20" t="s">
        <v>35</v>
      </c>
      <c r="G81" s="20" t="b">
        <v>1</v>
      </c>
      <c r="H81" s="20" t="s">
        <v>382</v>
      </c>
      <c r="I81" s="37" t="s">
        <v>1313</v>
      </c>
      <c r="J81" s="20"/>
      <c r="K81" s="20"/>
      <c r="L81" s="20"/>
      <c r="M81" s="20"/>
      <c r="N81" s="26">
        <f>GET_OK_GROUPS_COUNT(tbTestEnemy[[#This Row],[Camp]],tbTestEnemy[[#This Row],[Difficulty]],tbTestEnemy[[#This Row],[IsBoss]],tbTestEnemy[[#This Row],[Hero1]:[Soldier3]])</f>
        <v>1</v>
      </c>
      <c r="O81" s="7">
        <v>1</v>
      </c>
      <c r="P81" s="20"/>
      <c r="Q81" s="21"/>
      <c r="R81" s="26" t="str">
        <f>GET_OK_GROUP(tbTestEnemy[[#This Row],[Camp]],tbTestEnemy[[#This Row],[Difficulty]],tbTestEnemy[[#This Row],[IsBoss]],tbTestEnemy[[#This Row],[Hero1]:[Soldier3]],tbTestEnemy[[#This Row],[GroupID]])</f>
        <v>三国-困难-[B]铁英+强英</v>
      </c>
    </row>
    <row r="82" spans="2:18">
      <c r="B82" s="19" t="s">
        <v>1310</v>
      </c>
      <c r="C82" s="20">
        <v>1</v>
      </c>
      <c r="D82" s="20">
        <v>5</v>
      </c>
      <c r="E82" s="7" t="s">
        <v>151</v>
      </c>
      <c r="F82" s="20" t="s">
        <v>29</v>
      </c>
      <c r="G82" s="20"/>
      <c r="H82" s="20"/>
      <c r="I82" s="20"/>
      <c r="J82" s="20"/>
      <c r="K82" s="20" t="s">
        <v>25</v>
      </c>
      <c r="L82" s="20" t="s">
        <v>28</v>
      </c>
      <c r="M82" s="20"/>
      <c r="N82" s="26">
        <f>GET_OK_GROUPS_COUNT(tbTestEnemy[[#This Row],[Camp]],tbTestEnemy[[#This Row],[Difficulty]],tbTestEnemy[[#This Row],[IsBoss]],tbTestEnemy[[#This Row],[Hero1]:[Soldier3]])</f>
        <v>1</v>
      </c>
      <c r="O82" s="7">
        <v>1</v>
      </c>
      <c r="P82" s="20"/>
      <c r="Q82" s="21"/>
      <c r="R82" s="26" t="str">
        <f>GET_OK_GROUP(tbTestEnemy[[#This Row],[Camp]],tbTestEnemy[[#This Row],[Difficulty]],tbTestEnemy[[#This Row],[IsBoss]],tbTestEnemy[[#This Row],[Hero1]:[Soldier3]],tbTestEnemy[[#This Row],[GroupID]])</f>
        <v>三国-简单-铁兵+法兵</v>
      </c>
    </row>
    <row r="83" spans="2:18">
      <c r="B83" s="19" t="s">
        <v>1310</v>
      </c>
      <c r="C83" s="20">
        <v>2</v>
      </c>
      <c r="D83" s="20">
        <v>10</v>
      </c>
      <c r="E83" s="7" t="s">
        <v>151</v>
      </c>
      <c r="F83" s="20" t="s">
        <v>33</v>
      </c>
      <c r="G83" s="20"/>
      <c r="H83" s="20"/>
      <c r="I83" s="20"/>
      <c r="J83" s="20"/>
      <c r="K83" s="20" t="s">
        <v>25</v>
      </c>
      <c r="L83" s="20" t="s">
        <v>26</v>
      </c>
      <c r="M83" s="20"/>
      <c r="N83" s="26">
        <f>GET_OK_GROUPS_COUNT(tbTestEnemy[[#This Row],[Camp]],tbTestEnemy[[#This Row],[Difficulty]],tbTestEnemy[[#This Row],[IsBoss]],tbTestEnemy[[#This Row],[Hero1]:[Soldier3]])</f>
        <v>1</v>
      </c>
      <c r="O83" s="7">
        <v>1</v>
      </c>
      <c r="P83" s="20"/>
      <c r="Q83" s="21"/>
      <c r="R83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84" spans="2:18">
      <c r="B84" s="19" t="s">
        <v>1310</v>
      </c>
      <c r="C84" s="20">
        <v>3</v>
      </c>
      <c r="D84" s="20">
        <v>10</v>
      </c>
      <c r="E84" s="7" t="s">
        <v>151</v>
      </c>
      <c r="F84" s="20" t="s">
        <v>33</v>
      </c>
      <c r="G84" s="20"/>
      <c r="H84" s="20"/>
      <c r="I84" s="20"/>
      <c r="J84" s="20"/>
      <c r="K84" s="20" t="s">
        <v>25</v>
      </c>
      <c r="L84" s="20" t="s">
        <v>28</v>
      </c>
      <c r="M84" s="20"/>
      <c r="N84" s="26">
        <f>GET_OK_GROUPS_COUNT(tbTestEnemy[[#This Row],[Camp]],tbTestEnemy[[#This Row],[Difficulty]],tbTestEnemy[[#This Row],[IsBoss]],tbTestEnemy[[#This Row],[Hero1]:[Soldier3]])</f>
        <v>1</v>
      </c>
      <c r="O84" s="7">
        <v>1</v>
      </c>
      <c r="P84" s="20"/>
      <c r="Q84" s="21"/>
      <c r="R84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85" spans="2:18">
      <c r="B85" s="19" t="s">
        <v>1310</v>
      </c>
      <c r="C85" s="20">
        <v>4</v>
      </c>
      <c r="D85" s="20">
        <v>15</v>
      </c>
      <c r="E85" s="7" t="s">
        <v>151</v>
      </c>
      <c r="F85" s="20" t="s">
        <v>35</v>
      </c>
      <c r="G85" s="20"/>
      <c r="H85" s="20"/>
      <c r="I85" s="20"/>
      <c r="J85" s="20"/>
      <c r="K85" s="20" t="s">
        <v>25</v>
      </c>
      <c r="L85" s="20" t="s">
        <v>26</v>
      </c>
      <c r="M85" s="20"/>
      <c r="N85" s="26">
        <f>GET_OK_GROUPS_COUNT(tbTestEnemy[[#This Row],[Camp]],tbTestEnemy[[#This Row],[Difficulty]],tbTestEnemy[[#This Row],[IsBoss]],tbTestEnemy[[#This Row],[Hero1]:[Soldier3]])</f>
        <v>5</v>
      </c>
      <c r="O85" s="7">
        <v>1</v>
      </c>
      <c r="P85" s="20"/>
      <c r="Q85" s="21"/>
      <c r="R85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86" spans="2:18">
      <c r="B86" s="19" t="s">
        <v>1310</v>
      </c>
      <c r="C86" s="20">
        <v>5</v>
      </c>
      <c r="D86" s="20">
        <v>20</v>
      </c>
      <c r="E86" s="7" t="s">
        <v>151</v>
      </c>
      <c r="F86" s="20" t="s">
        <v>36</v>
      </c>
      <c r="G86" s="20" t="b">
        <v>1</v>
      </c>
      <c r="H86" s="38" t="s">
        <v>1317</v>
      </c>
      <c r="I86" s="37" t="s">
        <v>1313</v>
      </c>
      <c r="J86" s="20"/>
      <c r="K86" s="20"/>
      <c r="L86" s="20"/>
      <c r="M86" s="20"/>
      <c r="N86" s="26">
        <f>GET_OK_GROUPS_COUNT(tbTestEnemy[[#This Row],[Camp]],tbTestEnemy[[#This Row],[Difficulty]],tbTestEnemy[[#This Row],[IsBoss]],tbTestEnemy[[#This Row],[Hero1]:[Soldier3]])</f>
        <v>1</v>
      </c>
      <c r="O86" s="7">
        <v>1</v>
      </c>
      <c r="P86" s="20"/>
      <c r="Q86" s="21"/>
      <c r="R86" s="26" t="str">
        <f>GET_OK_GROUP(tbTestEnemy[[#This Row],[Camp]],tbTestEnemy[[#This Row],[Difficulty]],tbTestEnemy[[#This Row],[IsBoss]],tbTestEnemy[[#This Row],[Hero1]:[Soldier3]],tbTestEnemy[[#This Row],[GroupID]])</f>
        <v>三国-超难-[B]铁英+强英</v>
      </c>
    </row>
    <row r="87" spans="2:18">
      <c r="B87" s="19" t="s">
        <v>1311</v>
      </c>
      <c r="C87" s="20">
        <v>1</v>
      </c>
      <c r="D87" s="20">
        <v>5</v>
      </c>
      <c r="E87" s="7" t="s">
        <v>151</v>
      </c>
      <c r="F87" s="20" t="s">
        <v>29</v>
      </c>
      <c r="G87" s="20"/>
      <c r="H87" s="20"/>
      <c r="I87" s="20"/>
      <c r="J87" s="20"/>
      <c r="K87" s="20" t="s">
        <v>25</v>
      </c>
      <c r="L87" s="20" t="s">
        <v>28</v>
      </c>
      <c r="M87" s="20"/>
      <c r="N87" s="26">
        <f>GET_OK_GROUPS_COUNT(tbTestEnemy[[#This Row],[Camp]],tbTestEnemy[[#This Row],[Difficulty]],tbTestEnemy[[#This Row],[IsBoss]],tbTestEnemy[[#This Row],[Hero1]:[Soldier3]])</f>
        <v>1</v>
      </c>
      <c r="O87" s="7">
        <v>1</v>
      </c>
      <c r="P87" s="20"/>
      <c r="Q87" s="21"/>
      <c r="R87" s="26" t="str">
        <f>GET_OK_GROUP(tbTestEnemy[[#This Row],[Camp]],tbTestEnemy[[#This Row],[Difficulty]],tbTestEnemy[[#This Row],[IsBoss]],tbTestEnemy[[#This Row],[Hero1]:[Soldier3]],tbTestEnemy[[#This Row],[GroupID]])</f>
        <v>三国-简单-铁兵+法兵</v>
      </c>
    </row>
    <row r="88" spans="2:18">
      <c r="B88" s="19" t="s">
        <v>1311</v>
      </c>
      <c r="C88" s="20">
        <v>2</v>
      </c>
      <c r="D88" s="20">
        <v>10</v>
      </c>
      <c r="E88" s="7" t="s">
        <v>151</v>
      </c>
      <c r="F88" s="20" t="s">
        <v>33</v>
      </c>
      <c r="G88" s="20"/>
      <c r="H88" s="20"/>
      <c r="I88" s="20"/>
      <c r="J88" s="20"/>
      <c r="K88" s="20" t="s">
        <v>25</v>
      </c>
      <c r="L88" s="20" t="s">
        <v>26</v>
      </c>
      <c r="M88" s="20"/>
      <c r="N88" s="26">
        <f>GET_OK_GROUPS_COUNT(tbTestEnemy[[#This Row],[Camp]],tbTestEnemy[[#This Row],[Difficulty]],tbTestEnemy[[#This Row],[IsBoss]],tbTestEnemy[[#This Row],[Hero1]:[Soldier3]])</f>
        <v>1</v>
      </c>
      <c r="O88" s="7">
        <v>1</v>
      </c>
      <c r="P88" s="20"/>
      <c r="Q88" s="21"/>
      <c r="R88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89" spans="2:18">
      <c r="B89" s="19" t="s">
        <v>1311</v>
      </c>
      <c r="C89" s="20">
        <v>3</v>
      </c>
      <c r="D89" s="20">
        <v>15</v>
      </c>
      <c r="E89" s="7" t="s">
        <v>151</v>
      </c>
      <c r="F89" s="20" t="s">
        <v>35</v>
      </c>
      <c r="G89" s="20"/>
      <c r="H89" s="20"/>
      <c r="I89" s="20"/>
      <c r="J89" s="20"/>
      <c r="K89" s="20" t="s">
        <v>25</v>
      </c>
      <c r="L89" s="20" t="s">
        <v>28</v>
      </c>
      <c r="M89" s="20"/>
      <c r="N89" s="26">
        <f>GET_OK_GROUPS_COUNT(tbTestEnemy[[#This Row],[Camp]],tbTestEnemy[[#This Row],[Difficulty]],tbTestEnemy[[#This Row],[IsBoss]],tbTestEnemy[[#This Row],[Hero1]:[Soldier3]])</f>
        <v>5</v>
      </c>
      <c r="O89" s="7">
        <v>1</v>
      </c>
      <c r="P89" s="20"/>
      <c r="Q89" s="21"/>
      <c r="R89" s="26" t="str">
        <f>GET_OK_GROUP(tbTestEnemy[[#This Row],[Camp]],tbTestEnemy[[#This Row],[Difficulty]],tbTestEnemy[[#This Row],[IsBoss]],tbTestEnemy[[#This Row],[Hero1]:[Soldier3]],tbTestEnemy[[#This Row],[GroupID]])</f>
        <v>三国-困难-铁兵+法兵</v>
      </c>
    </row>
    <row r="90" spans="2:18">
      <c r="B90" s="19" t="s">
        <v>1311</v>
      </c>
      <c r="C90" s="20">
        <v>4</v>
      </c>
      <c r="D90" s="20">
        <v>15</v>
      </c>
      <c r="E90" s="7" t="s">
        <v>151</v>
      </c>
      <c r="F90" s="20" t="s">
        <v>35</v>
      </c>
      <c r="G90" s="20" t="b">
        <v>1</v>
      </c>
      <c r="H90" s="38" t="s">
        <v>1319</v>
      </c>
      <c r="I90" s="38" t="s">
        <v>1320</v>
      </c>
      <c r="J90" s="20"/>
      <c r="K90" s="20"/>
      <c r="L90" s="20"/>
      <c r="M90" s="20"/>
      <c r="N90" s="26">
        <f>GET_OK_GROUPS_COUNT(tbTestEnemy[[#This Row],[Camp]],tbTestEnemy[[#This Row],[Difficulty]],tbTestEnemy[[#This Row],[IsBoss]],tbTestEnemy[[#This Row],[Hero1]:[Soldier3]])</f>
        <v>1</v>
      </c>
      <c r="O90" s="7">
        <v>1</v>
      </c>
      <c r="P90" s="20"/>
      <c r="Q90" s="21"/>
      <c r="R90" s="26" t="str">
        <f>GET_OK_GROUP(tbTestEnemy[[#This Row],[Camp]],tbTestEnemy[[#This Row],[Difficulty]],tbTestEnemy[[#This Row],[IsBoss]],tbTestEnemy[[#This Row],[Hero1]:[Soldier3]],tbTestEnemy[[#This Row],[GroupID]])</f>
        <v>三国-困难-[B]盾英+法英</v>
      </c>
    </row>
    <row r="91" spans="2:18">
      <c r="B91" s="19" t="s">
        <v>1311</v>
      </c>
      <c r="C91" s="20">
        <v>5</v>
      </c>
      <c r="D91" s="20">
        <v>20</v>
      </c>
      <c r="E91" s="7" t="s">
        <v>151</v>
      </c>
      <c r="F91" s="20" t="s">
        <v>36</v>
      </c>
      <c r="G91" s="20" t="b">
        <v>1</v>
      </c>
      <c r="H91" s="20" t="s">
        <v>380</v>
      </c>
      <c r="I91" s="20" t="s">
        <v>381</v>
      </c>
      <c r="J91" s="20"/>
      <c r="K91" s="20"/>
      <c r="L91" s="20"/>
      <c r="M91" s="20"/>
      <c r="N91" s="26">
        <f>GET_OK_GROUPS_COUNT(tbTestEnemy[[#This Row],[Camp]],tbTestEnemy[[#This Row],[Difficulty]],tbTestEnemy[[#This Row],[IsBoss]],tbTestEnemy[[#This Row],[Hero1]:[Soldier3]])</f>
        <v>1</v>
      </c>
      <c r="O91" s="7">
        <v>1</v>
      </c>
      <c r="P91" s="20"/>
      <c r="Q91" s="21"/>
      <c r="R91" s="26" t="str">
        <f>GET_OK_GROUP(tbTestEnemy[[#This Row],[Camp]],tbTestEnemy[[#This Row],[Difficulty]],tbTestEnemy[[#This Row],[IsBoss]],tbTestEnemy[[#This Row],[Hero1]:[Soldier3]],tbTestEnemy[[#This Row],[GroupID]])</f>
        <v>三国-超难-[B]盾英+强英</v>
      </c>
    </row>
    <row r="92" spans="2:18">
      <c r="B92" s="19" t="s">
        <v>1149</v>
      </c>
      <c r="C92" s="20">
        <v>1</v>
      </c>
      <c r="D92" s="20"/>
      <c r="E92" s="7" t="s">
        <v>151</v>
      </c>
      <c r="F92" s="20" t="s">
        <v>1180</v>
      </c>
      <c r="G92" s="20"/>
      <c r="H92" s="20"/>
      <c r="I92" s="20"/>
      <c r="J92" s="20"/>
      <c r="K92" s="20" t="s">
        <v>1171</v>
      </c>
      <c r="L92" s="20"/>
      <c r="M92" s="20"/>
      <c r="N92" s="26">
        <f>GET_OK_GROUPS_COUNT(tbTestEnemy[[#This Row],[Camp]],tbTestEnemy[[#This Row],[Difficulty]],tbTestEnemy[[#This Row],[IsBoss]],tbTestEnemy[[#This Row],[Hero1]:[Soldier3]])</f>
        <v>4</v>
      </c>
      <c r="O92" s="21">
        <v>1</v>
      </c>
      <c r="P92" s="20"/>
      <c r="Q92" s="21"/>
      <c r="R92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93" spans="2:18">
      <c r="B93" s="19" t="s">
        <v>1149</v>
      </c>
      <c r="C93" s="20">
        <v>2</v>
      </c>
      <c r="D93" s="20"/>
      <c r="E93" s="7" t="s">
        <v>151</v>
      </c>
      <c r="F93" s="20" t="s">
        <v>1168</v>
      </c>
      <c r="G93" s="20"/>
      <c r="H93" s="20"/>
      <c r="I93" s="20"/>
      <c r="J93" s="20"/>
      <c r="K93" s="20" t="s">
        <v>1174</v>
      </c>
      <c r="L93" s="20" t="s">
        <v>1176</v>
      </c>
      <c r="M93" s="20"/>
      <c r="N93" s="26">
        <f>GET_OK_GROUPS_COUNT(tbTestEnemy[[#This Row],[Camp]],tbTestEnemy[[#This Row],[Difficulty]],tbTestEnemy[[#This Row],[IsBoss]],tbTestEnemy[[#This Row],[Hero1]:[Soldier3]])</f>
        <v>1</v>
      </c>
      <c r="O93" s="7">
        <v>1</v>
      </c>
      <c r="P93" s="20"/>
      <c r="Q93" s="21"/>
      <c r="R93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94" spans="2:18">
      <c r="B94" s="19" t="s">
        <v>1149</v>
      </c>
      <c r="C94" s="20">
        <v>3</v>
      </c>
      <c r="D94" s="20"/>
      <c r="E94" s="7" t="s">
        <v>151</v>
      </c>
      <c r="F94" s="20" t="s">
        <v>1169</v>
      </c>
      <c r="G94" s="20"/>
      <c r="H94" s="20" t="s">
        <v>1173</v>
      </c>
      <c r="I94" s="20" t="s">
        <v>1167</v>
      </c>
      <c r="J94" s="20"/>
      <c r="K94" s="20"/>
      <c r="L94" s="20"/>
      <c r="M94" s="20"/>
      <c r="N94" s="26">
        <f>GET_OK_GROUPS_COUNT(tbTestEnemy[[#This Row],[Camp]],tbTestEnemy[[#This Row],[Difficulty]],tbTestEnemy[[#This Row],[IsBoss]],tbTestEnemy[[#This Row],[Hero1]:[Soldier3]])</f>
        <v>1</v>
      </c>
      <c r="O94" s="21">
        <v>1</v>
      </c>
      <c r="P94" s="20"/>
      <c r="Q94" s="21"/>
      <c r="R94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95" spans="2:18">
      <c r="B95" s="19" t="s">
        <v>1149</v>
      </c>
      <c r="C95" s="20">
        <v>4</v>
      </c>
      <c r="D95" s="20"/>
      <c r="E95" s="7" t="s">
        <v>151</v>
      </c>
      <c r="F95" s="20" t="s">
        <v>1180</v>
      </c>
      <c r="G95" s="20"/>
      <c r="H95" s="20"/>
      <c r="I95" s="20"/>
      <c r="J95" s="20"/>
      <c r="K95" s="20" t="s">
        <v>1171</v>
      </c>
      <c r="L95" s="20"/>
      <c r="M95" s="20"/>
      <c r="N95" s="26">
        <f>GET_OK_GROUPS_COUNT(tbTestEnemy[[#This Row],[Camp]],tbTestEnemy[[#This Row],[Difficulty]],tbTestEnemy[[#This Row],[IsBoss]],tbTestEnemy[[#This Row],[Hero1]:[Soldier3]])</f>
        <v>4</v>
      </c>
      <c r="O95" s="7">
        <v>1</v>
      </c>
      <c r="P95" s="20"/>
      <c r="Q95" s="21"/>
      <c r="R95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96" spans="2:18">
      <c r="B96" s="19" t="s">
        <v>1150</v>
      </c>
      <c r="C96" s="20">
        <v>1</v>
      </c>
      <c r="D96" s="20"/>
      <c r="E96" s="7" t="s">
        <v>151</v>
      </c>
      <c r="F96" s="20" t="s">
        <v>1168</v>
      </c>
      <c r="G96" s="20"/>
      <c r="H96" s="20"/>
      <c r="I96" s="20"/>
      <c r="J96" s="20"/>
      <c r="K96" s="20" t="s">
        <v>1174</v>
      </c>
      <c r="L96" s="20" t="s">
        <v>1176</v>
      </c>
      <c r="M96" s="20"/>
      <c r="N96" s="26">
        <f>GET_OK_GROUPS_COUNT(tbTestEnemy[[#This Row],[Camp]],tbTestEnemy[[#This Row],[Difficulty]],tbTestEnemy[[#This Row],[IsBoss]],tbTestEnemy[[#This Row],[Hero1]:[Soldier3]])</f>
        <v>1</v>
      </c>
      <c r="O96" s="21">
        <v>1</v>
      </c>
      <c r="P96" s="20"/>
      <c r="Q96" s="21"/>
      <c r="R96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97" spans="2:18">
      <c r="B97" s="19" t="s">
        <v>1150</v>
      </c>
      <c r="C97" s="20">
        <v>2</v>
      </c>
      <c r="D97" s="20"/>
      <c r="E97" s="7" t="s">
        <v>151</v>
      </c>
      <c r="F97" s="20" t="s">
        <v>1168</v>
      </c>
      <c r="G97" s="20"/>
      <c r="H97" s="20"/>
      <c r="I97" s="20"/>
      <c r="J97" s="20"/>
      <c r="K97" s="20" t="s">
        <v>1171</v>
      </c>
      <c r="L97" s="20"/>
      <c r="M97" s="20"/>
      <c r="N97" s="26">
        <f>GET_OK_GROUPS_COUNT(tbTestEnemy[[#This Row],[Camp]],tbTestEnemy[[#This Row],[Difficulty]],tbTestEnemy[[#This Row],[IsBoss]],tbTestEnemy[[#This Row],[Hero1]:[Soldier3]])</f>
        <v>5</v>
      </c>
      <c r="O97" s="7">
        <v>1</v>
      </c>
      <c r="P97" s="20"/>
      <c r="Q97" s="21"/>
      <c r="R97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98" spans="2:18">
      <c r="B98" s="19" t="s">
        <v>1150</v>
      </c>
      <c r="C98" s="20">
        <v>3</v>
      </c>
      <c r="D98" s="20"/>
      <c r="E98" s="7" t="s">
        <v>151</v>
      </c>
      <c r="F98" s="20" t="s">
        <v>1168</v>
      </c>
      <c r="G98" s="20"/>
      <c r="H98" s="20"/>
      <c r="I98" s="20"/>
      <c r="J98" s="20"/>
      <c r="K98" s="20" t="s">
        <v>1171</v>
      </c>
      <c r="L98" s="20" t="s">
        <v>1175</v>
      </c>
      <c r="M98" s="20"/>
      <c r="N98" s="26">
        <f>GET_OK_GROUPS_COUNT(tbTestEnemy[[#This Row],[Camp]],tbTestEnemy[[#This Row],[Difficulty]],tbTestEnemy[[#This Row],[IsBoss]],tbTestEnemy[[#This Row],[Hero1]:[Soldier3]])</f>
        <v>1</v>
      </c>
      <c r="O98" s="21">
        <v>1</v>
      </c>
      <c r="P98" s="20"/>
      <c r="Q98" s="21"/>
      <c r="R98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99" spans="2:18">
      <c r="B99" s="19" t="s">
        <v>1150</v>
      </c>
      <c r="C99" s="20">
        <v>4</v>
      </c>
      <c r="D99" s="20"/>
      <c r="E99" s="7" t="s">
        <v>151</v>
      </c>
      <c r="F99" s="20" t="s">
        <v>1168</v>
      </c>
      <c r="G99" s="20"/>
      <c r="H99" s="20"/>
      <c r="I99" s="20"/>
      <c r="J99" s="20"/>
      <c r="K99" s="20" t="s">
        <v>1171</v>
      </c>
      <c r="L99" s="20"/>
      <c r="M99" s="20"/>
      <c r="N99" s="26">
        <f>GET_OK_GROUPS_COUNT(tbTestEnemy[[#This Row],[Camp]],tbTestEnemy[[#This Row],[Difficulty]],tbTestEnemy[[#This Row],[IsBoss]],tbTestEnemy[[#This Row],[Hero1]:[Soldier3]])</f>
        <v>5</v>
      </c>
      <c r="O99" s="7">
        <v>1</v>
      </c>
      <c r="P99" s="20"/>
      <c r="Q99" s="21"/>
      <c r="R99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00" spans="2:18">
      <c r="B100" s="19" t="s">
        <v>1151</v>
      </c>
      <c r="C100" s="20">
        <v>1</v>
      </c>
      <c r="D100" s="20"/>
      <c r="E100" s="7" t="s">
        <v>151</v>
      </c>
      <c r="F100" s="20" t="s">
        <v>1168</v>
      </c>
      <c r="G100" s="20"/>
      <c r="H100" s="20"/>
      <c r="I100" s="20"/>
      <c r="J100" s="20"/>
      <c r="K100" s="20" t="s">
        <v>1174</v>
      </c>
      <c r="L100" s="20" t="s">
        <v>1176</v>
      </c>
      <c r="M100" s="20"/>
      <c r="N100" s="26">
        <f>GET_OK_GROUPS_COUNT(tbTestEnemy[[#This Row],[Camp]],tbTestEnemy[[#This Row],[Difficulty]],tbTestEnemy[[#This Row],[IsBoss]],tbTestEnemy[[#This Row],[Hero1]:[Soldier3]])</f>
        <v>1</v>
      </c>
      <c r="O100" s="21">
        <v>1</v>
      </c>
      <c r="P100" s="20"/>
      <c r="Q100" s="21"/>
      <c r="R100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101" spans="2:18">
      <c r="B101" s="19" t="s">
        <v>1151</v>
      </c>
      <c r="C101" s="20">
        <v>2</v>
      </c>
      <c r="D101" s="20"/>
      <c r="E101" s="7" t="s">
        <v>151</v>
      </c>
      <c r="F101" s="20" t="s">
        <v>1169</v>
      </c>
      <c r="G101" s="20"/>
      <c r="H101" s="20"/>
      <c r="I101" s="20"/>
      <c r="J101" s="20"/>
      <c r="K101" s="20" t="s">
        <v>1171</v>
      </c>
      <c r="L101" s="20" t="s">
        <v>1175</v>
      </c>
      <c r="M101" s="20"/>
      <c r="N101" s="26">
        <f>GET_OK_GROUPS_COUNT(tbTestEnemy[[#This Row],[Camp]],tbTestEnemy[[#This Row],[Difficulty]],tbTestEnemy[[#This Row],[IsBoss]],tbTestEnemy[[#This Row],[Hero1]:[Soldier3]])</f>
        <v>5</v>
      </c>
      <c r="O101" s="7">
        <v>1</v>
      </c>
      <c r="P101" s="20"/>
      <c r="Q101" s="21"/>
      <c r="R101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102" spans="2:18">
      <c r="B102" s="19" t="s">
        <v>1151</v>
      </c>
      <c r="C102" s="20">
        <v>3</v>
      </c>
      <c r="D102" s="20"/>
      <c r="E102" s="7" t="s">
        <v>151</v>
      </c>
      <c r="F102" s="20" t="s">
        <v>1168</v>
      </c>
      <c r="G102" s="20"/>
      <c r="H102" s="20"/>
      <c r="I102" s="20"/>
      <c r="J102" s="20"/>
      <c r="K102" s="20" t="s">
        <v>1171</v>
      </c>
      <c r="L102" s="20"/>
      <c r="M102" s="20"/>
      <c r="N102" s="26">
        <f>GET_OK_GROUPS_COUNT(tbTestEnemy[[#This Row],[Camp]],tbTestEnemy[[#This Row],[Difficulty]],tbTestEnemy[[#This Row],[IsBoss]],tbTestEnemy[[#This Row],[Hero1]:[Soldier3]])</f>
        <v>5</v>
      </c>
      <c r="O102" s="21">
        <v>1</v>
      </c>
      <c r="P102" s="20"/>
      <c r="Q102" s="21"/>
      <c r="R102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03" spans="2:18">
      <c r="B103" s="19" t="s">
        <v>1151</v>
      </c>
      <c r="C103" s="20">
        <v>4</v>
      </c>
      <c r="D103" s="20"/>
      <c r="E103" s="7" t="s">
        <v>151</v>
      </c>
      <c r="F103" s="20" t="s">
        <v>1168</v>
      </c>
      <c r="G103" s="20"/>
      <c r="H103" s="20"/>
      <c r="I103" s="20"/>
      <c r="J103" s="20"/>
      <c r="K103" s="20" t="s">
        <v>1171</v>
      </c>
      <c r="L103" s="20" t="s">
        <v>1175</v>
      </c>
      <c r="M103" s="20"/>
      <c r="N103" s="26">
        <f>GET_OK_GROUPS_COUNT(tbTestEnemy[[#This Row],[Camp]],tbTestEnemy[[#This Row],[Difficulty]],tbTestEnemy[[#This Row],[IsBoss]],tbTestEnemy[[#This Row],[Hero1]:[Soldier3]])</f>
        <v>1</v>
      </c>
      <c r="O103" s="7">
        <v>1</v>
      </c>
      <c r="P103" s="20"/>
      <c r="Q103" s="21"/>
      <c r="R103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104" spans="2:18">
      <c r="B104" s="19" t="s">
        <v>1152</v>
      </c>
      <c r="C104" s="20">
        <v>1</v>
      </c>
      <c r="D104" s="20"/>
      <c r="E104" s="7" t="s">
        <v>151</v>
      </c>
      <c r="F104" s="20" t="s">
        <v>1168</v>
      </c>
      <c r="G104" s="20"/>
      <c r="H104" s="20"/>
      <c r="I104" s="20"/>
      <c r="J104" s="20"/>
      <c r="K104" s="20" t="s">
        <v>1174</v>
      </c>
      <c r="L104" s="20" t="s">
        <v>1176</v>
      </c>
      <c r="M104" s="20"/>
      <c r="N104" s="26">
        <f>GET_OK_GROUPS_COUNT(tbTestEnemy[[#This Row],[Camp]],tbTestEnemy[[#This Row],[Difficulty]],tbTestEnemy[[#This Row],[IsBoss]],tbTestEnemy[[#This Row],[Hero1]:[Soldier3]])</f>
        <v>1</v>
      </c>
      <c r="O104" s="21">
        <v>1</v>
      </c>
      <c r="P104" s="20"/>
      <c r="Q104" s="21"/>
      <c r="R104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105" spans="2:18">
      <c r="B105" s="19" t="s">
        <v>1152</v>
      </c>
      <c r="C105" s="20">
        <v>2</v>
      </c>
      <c r="D105" s="20"/>
      <c r="E105" s="7" t="s">
        <v>151</v>
      </c>
      <c r="F105" s="20" t="s">
        <v>1169</v>
      </c>
      <c r="G105" s="20"/>
      <c r="H105" s="20"/>
      <c r="I105" s="20"/>
      <c r="J105" s="20"/>
      <c r="K105" s="20" t="s">
        <v>1171</v>
      </c>
      <c r="L105" s="20" t="s">
        <v>1175</v>
      </c>
      <c r="M105" s="20"/>
      <c r="N105" s="26">
        <f>GET_OK_GROUPS_COUNT(tbTestEnemy[[#This Row],[Camp]],tbTestEnemy[[#This Row],[Difficulty]],tbTestEnemy[[#This Row],[IsBoss]],tbTestEnemy[[#This Row],[Hero1]:[Soldier3]])</f>
        <v>5</v>
      </c>
      <c r="O105" s="7">
        <v>1</v>
      </c>
      <c r="P105" s="20"/>
      <c r="Q105" s="21"/>
      <c r="R105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106" spans="2:18">
      <c r="B106" s="19" t="s">
        <v>1152</v>
      </c>
      <c r="C106" s="20">
        <v>3</v>
      </c>
      <c r="D106" s="20"/>
      <c r="E106" s="7" t="s">
        <v>151</v>
      </c>
      <c r="F106" s="20" t="s">
        <v>1169</v>
      </c>
      <c r="G106" s="20"/>
      <c r="H106" s="20"/>
      <c r="I106" s="20"/>
      <c r="J106" s="20"/>
      <c r="K106" s="20" t="s">
        <v>1171</v>
      </c>
      <c r="L106" s="20" t="s">
        <v>1175</v>
      </c>
      <c r="M106" s="20"/>
      <c r="N106" s="26">
        <f>GET_OK_GROUPS_COUNT(tbTestEnemy[[#This Row],[Camp]],tbTestEnemy[[#This Row],[Difficulty]],tbTestEnemy[[#This Row],[IsBoss]],tbTestEnemy[[#This Row],[Hero1]:[Soldier3]])</f>
        <v>5</v>
      </c>
      <c r="O106" s="21">
        <v>1</v>
      </c>
      <c r="P106" s="20"/>
      <c r="Q106" s="21"/>
      <c r="R106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107" spans="2:18">
      <c r="B107" s="19" t="s">
        <v>1152</v>
      </c>
      <c r="C107" s="20">
        <v>4</v>
      </c>
      <c r="D107" s="20"/>
      <c r="E107" s="7" t="s">
        <v>151</v>
      </c>
      <c r="F107" s="20" t="s">
        <v>1168</v>
      </c>
      <c r="G107" s="20"/>
      <c r="H107" s="20"/>
      <c r="I107" s="20"/>
      <c r="J107" s="20"/>
      <c r="K107" s="20" t="s">
        <v>1171</v>
      </c>
      <c r="L107" s="20"/>
      <c r="M107" s="20"/>
      <c r="N107" s="26">
        <f>GET_OK_GROUPS_COUNT(tbTestEnemy[[#This Row],[Camp]],tbTestEnemy[[#This Row],[Difficulty]],tbTestEnemy[[#This Row],[IsBoss]],tbTestEnemy[[#This Row],[Hero1]:[Soldier3]])</f>
        <v>5</v>
      </c>
      <c r="O107" s="7">
        <v>1</v>
      </c>
      <c r="P107" s="20"/>
      <c r="Q107" s="21"/>
      <c r="R107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08" spans="2:18">
      <c r="B108" s="19" t="s">
        <v>1153</v>
      </c>
      <c r="C108" s="20">
        <v>1</v>
      </c>
      <c r="D108" s="20"/>
      <c r="E108" s="7" t="s">
        <v>151</v>
      </c>
      <c r="F108" s="20" t="s">
        <v>1180</v>
      </c>
      <c r="G108" s="20"/>
      <c r="H108" s="20"/>
      <c r="I108" s="20"/>
      <c r="J108" s="20"/>
      <c r="K108" s="20" t="s">
        <v>1171</v>
      </c>
      <c r="L108" s="20"/>
      <c r="M108" s="20"/>
      <c r="N108" s="26">
        <f>GET_OK_GROUPS_COUNT(tbTestEnemy[[#This Row],[Camp]],tbTestEnemy[[#This Row],[Difficulty]],tbTestEnemy[[#This Row],[IsBoss]],tbTestEnemy[[#This Row],[Hero1]:[Soldier3]])</f>
        <v>4</v>
      </c>
      <c r="O108" s="21">
        <v>1</v>
      </c>
      <c r="P108" s="20"/>
      <c r="Q108" s="21"/>
      <c r="R108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109" spans="2:18">
      <c r="B109" s="19" t="s">
        <v>1153</v>
      </c>
      <c r="C109" s="20">
        <v>2</v>
      </c>
      <c r="D109" s="20"/>
      <c r="E109" s="7" t="s">
        <v>151</v>
      </c>
      <c r="F109" s="20" t="s">
        <v>1168</v>
      </c>
      <c r="G109" s="20"/>
      <c r="H109" s="20" t="s">
        <v>1173</v>
      </c>
      <c r="I109" s="20"/>
      <c r="J109" s="20"/>
      <c r="K109" s="20"/>
      <c r="L109" s="20"/>
      <c r="M109" s="20"/>
      <c r="N109" s="26">
        <f>GET_OK_GROUPS_COUNT(tbTestEnemy[[#This Row],[Camp]],tbTestEnemy[[#This Row],[Difficulty]],tbTestEnemy[[#This Row],[IsBoss]],tbTestEnemy[[#This Row],[Hero1]:[Soldier3]])</f>
        <v>5</v>
      </c>
      <c r="O109" s="7">
        <v>1</v>
      </c>
      <c r="P109" s="20"/>
      <c r="Q109" s="21"/>
      <c r="R109" s="26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110" spans="2:18">
      <c r="B110" s="19" t="s">
        <v>1153</v>
      </c>
      <c r="C110" s="20">
        <v>3</v>
      </c>
      <c r="D110" s="20"/>
      <c r="E110" s="7" t="s">
        <v>151</v>
      </c>
      <c r="F110" s="20" t="s">
        <v>1169</v>
      </c>
      <c r="G110" s="20"/>
      <c r="H110" s="20" t="s">
        <v>1173</v>
      </c>
      <c r="I110" s="20" t="s">
        <v>1167</v>
      </c>
      <c r="J110" s="20"/>
      <c r="K110" s="20"/>
      <c r="L110" s="20"/>
      <c r="M110" s="20"/>
      <c r="N110" s="26">
        <f>GET_OK_GROUPS_COUNT(tbTestEnemy[[#This Row],[Camp]],tbTestEnemy[[#This Row],[Difficulty]],tbTestEnemy[[#This Row],[IsBoss]],tbTestEnemy[[#This Row],[Hero1]:[Soldier3]])</f>
        <v>1</v>
      </c>
      <c r="O110" s="21">
        <v>1</v>
      </c>
      <c r="P110" s="20"/>
      <c r="Q110" s="21"/>
      <c r="R110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1" spans="2:18">
      <c r="B111" s="19" t="s">
        <v>1154</v>
      </c>
      <c r="C111" s="20">
        <v>1</v>
      </c>
      <c r="D111" s="20"/>
      <c r="E111" s="7" t="s">
        <v>151</v>
      </c>
      <c r="F111" s="20" t="s">
        <v>1168</v>
      </c>
      <c r="G111" s="20"/>
      <c r="H111" s="20"/>
      <c r="I111" s="20"/>
      <c r="J111" s="20"/>
      <c r="K111" s="20" t="s">
        <v>1174</v>
      </c>
      <c r="L111" s="20" t="s">
        <v>1176</v>
      </c>
      <c r="M111" s="20"/>
      <c r="N111" s="26">
        <f>GET_OK_GROUPS_COUNT(tbTestEnemy[[#This Row],[Camp]],tbTestEnemy[[#This Row],[Difficulty]],tbTestEnemy[[#This Row],[IsBoss]],tbTestEnemy[[#This Row],[Hero1]:[Soldier3]])</f>
        <v>1</v>
      </c>
      <c r="O111" s="7">
        <v>1</v>
      </c>
      <c r="P111" s="20"/>
      <c r="Q111" s="21"/>
      <c r="R111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112" spans="2:18">
      <c r="B112" s="19" t="s">
        <v>1154</v>
      </c>
      <c r="C112" s="20">
        <v>2</v>
      </c>
      <c r="D112" s="20"/>
      <c r="E112" s="7" t="s">
        <v>151</v>
      </c>
      <c r="F112" s="20" t="s">
        <v>1168</v>
      </c>
      <c r="G112" s="20"/>
      <c r="H112" s="20" t="s">
        <v>1173</v>
      </c>
      <c r="I112" s="20"/>
      <c r="J112" s="20"/>
      <c r="K112" s="20"/>
      <c r="L112" s="20"/>
      <c r="M112" s="20"/>
      <c r="N112" s="26">
        <f>GET_OK_GROUPS_COUNT(tbTestEnemy[[#This Row],[Camp]],tbTestEnemy[[#This Row],[Difficulty]],tbTestEnemy[[#This Row],[IsBoss]],tbTestEnemy[[#This Row],[Hero1]:[Soldier3]])</f>
        <v>5</v>
      </c>
      <c r="O112" s="21">
        <v>1</v>
      </c>
      <c r="P112" s="20"/>
      <c r="Q112" s="21"/>
      <c r="R112" s="26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113" spans="2:18">
      <c r="B113" s="19" t="s">
        <v>1154</v>
      </c>
      <c r="C113" s="20">
        <v>3</v>
      </c>
      <c r="D113" s="20"/>
      <c r="E113" s="7" t="s">
        <v>151</v>
      </c>
      <c r="F113" s="20" t="s">
        <v>1169</v>
      </c>
      <c r="G113" s="20"/>
      <c r="H113" s="20" t="s">
        <v>1173</v>
      </c>
      <c r="I113" s="20" t="s">
        <v>1167</v>
      </c>
      <c r="J113" s="20"/>
      <c r="K113" s="20"/>
      <c r="L113" s="20"/>
      <c r="M113" s="20"/>
      <c r="N113" s="26">
        <f>GET_OK_GROUPS_COUNT(tbTestEnemy[[#This Row],[Camp]],tbTestEnemy[[#This Row],[Difficulty]],tbTestEnemy[[#This Row],[IsBoss]],tbTestEnemy[[#This Row],[Hero1]:[Soldier3]])</f>
        <v>1</v>
      </c>
      <c r="O113" s="7">
        <v>1</v>
      </c>
      <c r="P113" s="20"/>
      <c r="Q113" s="21"/>
      <c r="R113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4" spans="2:18">
      <c r="B114" s="19" t="s">
        <v>1155</v>
      </c>
      <c r="C114" s="20">
        <v>1</v>
      </c>
      <c r="D114" s="20"/>
      <c r="E114" s="7" t="s">
        <v>151</v>
      </c>
      <c r="F114" s="20" t="s">
        <v>1168</v>
      </c>
      <c r="G114" s="20"/>
      <c r="H114" s="20" t="s">
        <v>1173</v>
      </c>
      <c r="I114" s="20"/>
      <c r="J114" s="20"/>
      <c r="K114" s="20"/>
      <c r="L114" s="20"/>
      <c r="M114" s="20"/>
      <c r="N114" s="26">
        <f>GET_OK_GROUPS_COUNT(tbTestEnemy[[#This Row],[Camp]],tbTestEnemy[[#This Row],[Difficulty]],tbTestEnemy[[#This Row],[IsBoss]],tbTestEnemy[[#This Row],[Hero1]:[Soldier3]])</f>
        <v>5</v>
      </c>
      <c r="O114" s="21">
        <v>1</v>
      </c>
      <c r="P114" s="20"/>
      <c r="Q114" s="21"/>
      <c r="R114" s="26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115" spans="2:18">
      <c r="B115" s="19" t="s">
        <v>1155</v>
      </c>
      <c r="C115" s="20">
        <v>2</v>
      </c>
      <c r="D115" s="20"/>
      <c r="E115" s="7" t="s">
        <v>151</v>
      </c>
      <c r="F115" s="20" t="s">
        <v>1169</v>
      </c>
      <c r="G115" s="20"/>
      <c r="H115" s="20" t="s">
        <v>1173</v>
      </c>
      <c r="I115" s="20" t="s">
        <v>1167</v>
      </c>
      <c r="J115" s="20"/>
      <c r="K115" s="20"/>
      <c r="L115" s="20"/>
      <c r="M115" s="20"/>
      <c r="N115" s="26">
        <f>GET_OK_GROUPS_COUNT(tbTestEnemy[[#This Row],[Camp]],tbTestEnemy[[#This Row],[Difficulty]],tbTestEnemy[[#This Row],[IsBoss]],tbTestEnemy[[#This Row],[Hero1]:[Soldier3]])</f>
        <v>1</v>
      </c>
      <c r="O115" s="7">
        <v>1</v>
      </c>
      <c r="P115" s="20"/>
      <c r="Q115" s="21"/>
      <c r="R115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6" spans="2:18">
      <c r="B116" s="19" t="s">
        <v>1155</v>
      </c>
      <c r="C116" s="20">
        <v>3</v>
      </c>
      <c r="D116" s="20"/>
      <c r="E116" s="7" t="s">
        <v>151</v>
      </c>
      <c r="F116" s="20" t="s">
        <v>1170</v>
      </c>
      <c r="G116" s="20"/>
      <c r="H116" s="20" t="s">
        <v>1173</v>
      </c>
      <c r="I116" s="20" t="s">
        <v>1166</v>
      </c>
      <c r="J116" s="20" t="s">
        <v>1179</v>
      </c>
      <c r="K116" s="20"/>
      <c r="L116" s="20"/>
      <c r="M116" s="20"/>
      <c r="N116" s="26">
        <f>GET_OK_GROUPS_COUNT(tbTestEnemy[[#This Row],[Camp]],tbTestEnemy[[#This Row],[Difficulty]],tbTestEnemy[[#This Row],[IsBoss]],tbTestEnemy[[#This Row],[Hero1]:[Soldier3]])</f>
        <v>1</v>
      </c>
      <c r="O116" s="21">
        <v>1</v>
      </c>
      <c r="P116" s="20"/>
      <c r="Q116" s="21"/>
      <c r="R116" s="26" t="str">
        <f>GET_OK_GROUP(tbTestEnemy[[#This Row],[Camp]],tbTestEnemy[[#This Row],[Difficulty]],tbTestEnemy[[#This Row],[IsBoss]],tbTestEnemy[[#This Row],[Hero1]:[Soldier3]],tbTestEnemy[[#This Row],[GroupID]])</f>
        <v>三国-超难-铁英+炼英+法英</v>
      </c>
    </row>
    <row r="117" spans="2:18">
      <c r="B117" s="19" t="s">
        <v>1156</v>
      </c>
      <c r="C117" s="20">
        <v>1</v>
      </c>
      <c r="D117" s="20"/>
      <c r="E117" s="7" t="s">
        <v>151</v>
      </c>
      <c r="F117" s="20" t="s">
        <v>1169</v>
      </c>
      <c r="G117" s="20"/>
      <c r="H117" s="20" t="s">
        <v>1167</v>
      </c>
      <c r="I117" s="20"/>
      <c r="J117" s="20"/>
      <c r="K117" s="20"/>
      <c r="L117" s="20"/>
      <c r="M117" s="20"/>
      <c r="N117" s="26">
        <f>GET_OK_GROUPS_COUNT(tbTestEnemy[[#This Row],[Camp]],tbTestEnemy[[#This Row],[Difficulty]],tbTestEnemy[[#This Row],[IsBoss]],tbTestEnemy[[#This Row],[Hero1]:[Soldier3]])</f>
        <v>3</v>
      </c>
      <c r="O117" s="7">
        <v>1</v>
      </c>
      <c r="P117" s="20"/>
      <c r="Q117" s="21"/>
      <c r="R117" s="26" t="str">
        <f>GET_OK_GROUP(tbTestEnemy[[#This Row],[Camp]],tbTestEnemy[[#This Row],[Difficulty]],tbTestEnemy[[#This Row],[IsBoss]],tbTestEnemy[[#This Row],[Hero1]:[Soldier3]],tbTestEnemy[[#This Row],[GroupID]])</f>
        <v>三国-困难-强英+铁兵</v>
      </c>
    </row>
    <row r="118" spans="2:18">
      <c r="B118" s="19" t="s">
        <v>1156</v>
      </c>
      <c r="C118" s="20">
        <v>2</v>
      </c>
      <c r="D118" s="20"/>
      <c r="E118" s="7" t="s">
        <v>151</v>
      </c>
      <c r="F118" s="20" t="s">
        <v>1169</v>
      </c>
      <c r="G118" s="20"/>
      <c r="H118" s="20" t="s">
        <v>1173</v>
      </c>
      <c r="I118" s="20" t="s">
        <v>1167</v>
      </c>
      <c r="J118" s="20"/>
      <c r="K118" s="20"/>
      <c r="L118" s="20"/>
      <c r="M118" s="20"/>
      <c r="N118" s="26">
        <f>GET_OK_GROUPS_COUNT(tbTestEnemy[[#This Row],[Camp]],tbTestEnemy[[#This Row],[Difficulty]],tbTestEnemy[[#This Row],[IsBoss]],tbTestEnemy[[#This Row],[Hero1]:[Soldier3]])</f>
        <v>1</v>
      </c>
      <c r="O118" s="21">
        <v>1</v>
      </c>
      <c r="P118" s="20"/>
      <c r="Q118" s="21"/>
      <c r="R118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9" spans="2:18">
      <c r="B119" s="19" t="s">
        <v>1156</v>
      </c>
      <c r="C119" s="20">
        <v>3</v>
      </c>
      <c r="D119" s="20"/>
      <c r="E119" s="7" t="s">
        <v>151</v>
      </c>
      <c r="F119" s="20" t="s">
        <v>1170</v>
      </c>
      <c r="G119" s="20"/>
      <c r="H119" s="20" t="s">
        <v>1177</v>
      </c>
      <c r="I119" s="20" t="s">
        <v>1167</v>
      </c>
      <c r="J119" s="20"/>
      <c r="K119" s="20"/>
      <c r="L119" s="20"/>
      <c r="M119" s="20"/>
      <c r="N119" s="26">
        <f>GET_OK_GROUPS_COUNT(tbTestEnemy[[#This Row],[Camp]],tbTestEnemy[[#This Row],[Difficulty]],tbTestEnemy[[#This Row],[IsBoss]],tbTestEnemy[[#This Row],[Hero1]:[Soldier3]])</f>
        <v>1</v>
      </c>
      <c r="O119" s="7">
        <v>1</v>
      </c>
      <c r="P119" s="20"/>
      <c r="Q119" s="21"/>
      <c r="R119" s="26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  <row r="120" spans="2:18">
      <c r="B120" s="19" t="s">
        <v>1157</v>
      </c>
      <c r="C120" s="20">
        <v>1</v>
      </c>
      <c r="D120" s="20"/>
      <c r="E120" s="7" t="s">
        <v>151</v>
      </c>
      <c r="F120" s="20" t="s">
        <v>1169</v>
      </c>
      <c r="G120" s="20" t="b">
        <v>1</v>
      </c>
      <c r="H120" s="20" t="s">
        <v>1179</v>
      </c>
      <c r="I120" s="20" t="s">
        <v>1179</v>
      </c>
      <c r="J120" s="20"/>
      <c r="K120" s="20"/>
      <c r="L120" s="20"/>
      <c r="M120" s="20"/>
      <c r="N120" s="26">
        <f>GET_OK_GROUPS_COUNT(tbTestEnemy[[#This Row],[Camp]],tbTestEnemy[[#This Row],[Difficulty]],tbTestEnemy[[#This Row],[IsBoss]],tbTestEnemy[[#This Row],[Hero1]:[Soldier3]])</f>
        <v>1</v>
      </c>
      <c r="O120" s="21">
        <v>1</v>
      </c>
      <c r="P120" s="20"/>
      <c r="Q120" s="21"/>
      <c r="R120" s="26" t="str">
        <f>GET_OK_GROUP(tbTestEnemy[[#This Row],[Camp]],tbTestEnemy[[#This Row],[Difficulty]],tbTestEnemy[[#This Row],[IsBoss]],tbTestEnemy[[#This Row],[Hero1]:[Soldier3]],tbTestEnemy[[#This Row],[GroupID]])</f>
        <v>三国-困难-[B]炼英+炼英</v>
      </c>
    </row>
    <row r="121" spans="2:18">
      <c r="B121" s="19" t="s">
        <v>1157</v>
      </c>
      <c r="C121" s="20">
        <v>2</v>
      </c>
      <c r="D121" s="20"/>
      <c r="E121" s="7" t="s">
        <v>151</v>
      </c>
      <c r="F121" s="20" t="s">
        <v>1169</v>
      </c>
      <c r="G121" s="20" t="b">
        <v>1</v>
      </c>
      <c r="H121" s="20" t="s">
        <v>1177</v>
      </c>
      <c r="I121" s="20"/>
      <c r="J121" s="20"/>
      <c r="K121" s="20" t="s">
        <v>1175</v>
      </c>
      <c r="L121" s="20"/>
      <c r="M121" s="20"/>
      <c r="N121" s="26">
        <f>GET_OK_GROUPS_COUNT(tbTestEnemy[[#This Row],[Camp]],tbTestEnemy[[#This Row],[Difficulty]],tbTestEnemy[[#This Row],[IsBoss]],tbTestEnemy[[#This Row],[Hero1]:[Soldier3]])</f>
        <v>1</v>
      </c>
      <c r="O121" s="7">
        <v>1</v>
      </c>
      <c r="P121" s="20"/>
      <c r="Q121" s="21"/>
      <c r="R121" s="26" t="str">
        <f>GET_OK_GROUP(tbTestEnemy[[#This Row],[Camp]],tbTestEnemy[[#This Row],[Difficulty]],tbTestEnemy[[#This Row],[IsBoss]],tbTestEnemy[[#This Row],[Hero1]:[Soldier3]],tbTestEnemy[[#This Row],[GroupID]])</f>
        <v>三国-困难-[B]盾英+强兵</v>
      </c>
    </row>
    <row r="122" spans="2:18">
      <c r="B122" s="19" t="s">
        <v>1158</v>
      </c>
      <c r="C122" s="20">
        <v>1</v>
      </c>
      <c r="D122" s="20"/>
      <c r="E122" s="7" t="s">
        <v>151</v>
      </c>
      <c r="F122" s="20" t="s">
        <v>1169</v>
      </c>
      <c r="G122" s="20" t="b">
        <v>1</v>
      </c>
      <c r="H122" s="20" t="s">
        <v>1166</v>
      </c>
      <c r="I122" s="20"/>
      <c r="J122" s="20"/>
      <c r="K122" s="20" t="s">
        <v>1171</v>
      </c>
      <c r="L122" s="20"/>
      <c r="M122" s="20"/>
      <c r="N122" s="26">
        <f>GET_OK_GROUPS_COUNT(tbTestEnemy[[#This Row],[Camp]],tbTestEnemy[[#This Row],[Difficulty]],tbTestEnemy[[#This Row],[IsBoss]],tbTestEnemy[[#This Row],[Hero1]:[Soldier3]])</f>
        <v>1</v>
      </c>
      <c r="O122" s="21">
        <v>1</v>
      </c>
      <c r="P122" s="20"/>
      <c r="Q122" s="21"/>
      <c r="R122" s="26" t="str">
        <f>GET_OK_GROUP(tbTestEnemy[[#This Row],[Camp]],tbTestEnemy[[#This Row],[Difficulty]],tbTestEnemy[[#This Row],[IsBoss]],tbTestEnemy[[#This Row],[Hero1]:[Soldier3]],tbTestEnemy[[#This Row],[GroupID]])</f>
        <v>三国-困难-[B]法英+铁兵</v>
      </c>
    </row>
    <row r="123" spans="2:18">
      <c r="B123" s="19" t="s">
        <v>1158</v>
      </c>
      <c r="C123" s="20">
        <v>2</v>
      </c>
      <c r="D123" s="20"/>
      <c r="E123" s="7" t="s">
        <v>151</v>
      </c>
      <c r="F123" s="20" t="s">
        <v>1170</v>
      </c>
      <c r="G123" s="20" t="b">
        <v>1</v>
      </c>
      <c r="H123" s="20" t="s">
        <v>1173</v>
      </c>
      <c r="I123" s="20" t="s">
        <v>1179</v>
      </c>
      <c r="J123" s="20"/>
      <c r="K123" s="20"/>
      <c r="L123" s="20"/>
      <c r="M123" s="20"/>
      <c r="N123" s="26">
        <f>GET_OK_GROUPS_COUNT(tbTestEnemy[[#This Row],[Camp]],tbTestEnemy[[#This Row],[Difficulty]],tbTestEnemy[[#This Row],[IsBoss]],tbTestEnemy[[#This Row],[Hero1]:[Soldier3]])</f>
        <v>1</v>
      </c>
      <c r="O123" s="7">
        <v>1</v>
      </c>
      <c r="P123" s="20"/>
      <c r="Q123" s="21"/>
      <c r="R123" s="26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24" spans="2:18">
      <c r="B124" s="19" t="s">
        <v>1159</v>
      </c>
      <c r="C124" s="20">
        <v>1</v>
      </c>
      <c r="D124" s="20"/>
      <c r="E124" s="7" t="s">
        <v>151</v>
      </c>
      <c r="F124" s="20" t="s">
        <v>1169</v>
      </c>
      <c r="G124" s="20" t="b">
        <v>1</v>
      </c>
      <c r="H124" s="20" t="s">
        <v>1177</v>
      </c>
      <c r="I124" s="20" t="s">
        <v>1178</v>
      </c>
      <c r="J124" s="20"/>
      <c r="K124" s="20"/>
      <c r="L124" s="20"/>
      <c r="M124" s="20"/>
      <c r="N124" s="26">
        <f>GET_OK_GROUPS_COUNT(tbTestEnemy[[#This Row],[Camp]],tbTestEnemy[[#This Row],[Difficulty]],tbTestEnemy[[#This Row],[IsBoss]],tbTestEnemy[[#This Row],[Hero1]:[Soldier3]])</f>
        <v>1</v>
      </c>
      <c r="O124" s="21">
        <v>1</v>
      </c>
      <c r="P124" s="20"/>
      <c r="Q124" s="21"/>
      <c r="R124" s="26" t="str">
        <f>GET_OK_GROUP(tbTestEnemy[[#This Row],[Camp]],tbTestEnemy[[#This Row],[Difficulty]],tbTestEnemy[[#This Row],[IsBoss]],tbTestEnemy[[#This Row],[Hero1]:[Soldier3]],tbTestEnemy[[#This Row],[GroupID]])</f>
        <v>三国-困难-[B]盾英+刺英</v>
      </c>
    </row>
    <row r="125" spans="2:18">
      <c r="B125" s="19" t="s">
        <v>1160</v>
      </c>
      <c r="C125" s="20">
        <v>1</v>
      </c>
      <c r="D125" s="20"/>
      <c r="E125" s="7" t="s">
        <v>151</v>
      </c>
      <c r="F125" s="20" t="s">
        <v>1170</v>
      </c>
      <c r="G125" s="20" t="b">
        <v>1</v>
      </c>
      <c r="H125" s="20" t="s">
        <v>1173</v>
      </c>
      <c r="I125" s="20" t="s">
        <v>1179</v>
      </c>
      <c r="J125" s="20"/>
      <c r="K125" s="20"/>
      <c r="L125" s="20"/>
      <c r="M125" s="20"/>
      <c r="N125" s="26">
        <f>GET_OK_GROUPS_COUNT(tbTestEnemy[[#This Row],[Camp]],tbTestEnemy[[#This Row],[Difficulty]],tbTestEnemy[[#This Row],[IsBoss]],tbTestEnemy[[#This Row],[Hero1]:[Soldier3]])</f>
        <v>1</v>
      </c>
      <c r="O125" s="7">
        <v>1</v>
      </c>
      <c r="P125" s="20"/>
      <c r="Q125" s="21"/>
      <c r="R125" s="26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26" spans="2:18">
      <c r="B126" s="19" t="s">
        <v>1161</v>
      </c>
      <c r="C126" s="20">
        <v>1</v>
      </c>
      <c r="D126" s="20"/>
      <c r="E126" s="7" t="s">
        <v>151</v>
      </c>
      <c r="F126" s="20" t="s">
        <v>1169</v>
      </c>
      <c r="G126" s="20" t="b">
        <v>1</v>
      </c>
      <c r="H126" s="20" t="s">
        <v>1177</v>
      </c>
      <c r="I126" s="20" t="s">
        <v>1178</v>
      </c>
      <c r="J126" s="20"/>
      <c r="K126" s="20"/>
      <c r="L126" s="20"/>
      <c r="M126" s="20"/>
      <c r="N126" s="26">
        <f>GET_OK_GROUPS_COUNT(tbTestEnemy[[#This Row],[Camp]],tbTestEnemy[[#This Row],[Difficulty]],tbTestEnemy[[#This Row],[IsBoss]],tbTestEnemy[[#This Row],[Hero1]:[Soldier3]])</f>
        <v>1</v>
      </c>
      <c r="O126" s="21">
        <v>1</v>
      </c>
      <c r="P126" s="20"/>
      <c r="Q126" s="21"/>
      <c r="R126" s="26" t="str">
        <f>GET_OK_GROUP(tbTestEnemy[[#This Row],[Camp]],tbTestEnemy[[#This Row],[Difficulty]],tbTestEnemy[[#This Row],[IsBoss]],tbTestEnemy[[#This Row],[Hero1]:[Soldier3]],tbTestEnemy[[#This Row],[GroupID]])</f>
        <v>三国-困难-[B]盾英+刺英</v>
      </c>
    </row>
    <row r="127" spans="2:18">
      <c r="B127" s="19" t="s">
        <v>1162</v>
      </c>
      <c r="C127" s="20">
        <v>1</v>
      </c>
      <c r="D127" s="20"/>
      <c r="E127" s="7" t="s">
        <v>151</v>
      </c>
      <c r="F127" s="20" t="s">
        <v>1170</v>
      </c>
      <c r="G127" s="20" t="b">
        <v>1</v>
      </c>
      <c r="H127" s="20" t="s">
        <v>1173</v>
      </c>
      <c r="I127" s="20" t="s">
        <v>1179</v>
      </c>
      <c r="J127" s="20"/>
      <c r="K127" s="20"/>
      <c r="L127" s="20"/>
      <c r="M127" s="20"/>
      <c r="N127" s="26">
        <f>GET_OK_GROUPS_COUNT(tbTestEnemy[[#This Row],[Camp]],tbTestEnemy[[#This Row],[Difficulty]],tbTestEnemy[[#This Row],[IsBoss]],tbTestEnemy[[#This Row],[Hero1]:[Soldier3]])</f>
        <v>1</v>
      </c>
      <c r="O127" s="7">
        <v>1</v>
      </c>
      <c r="P127" s="20"/>
      <c r="Q127" s="21"/>
      <c r="R127" s="26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28" spans="2:18">
      <c r="B128" s="19" t="s">
        <v>1163</v>
      </c>
      <c r="C128" s="20">
        <v>1</v>
      </c>
      <c r="D128" s="20"/>
      <c r="E128" s="7" t="s">
        <v>151</v>
      </c>
      <c r="F128" s="20" t="s">
        <v>1169</v>
      </c>
      <c r="G128" s="20"/>
      <c r="H128" s="20"/>
      <c r="I128" s="20"/>
      <c r="J128" s="20"/>
      <c r="K128" s="20" t="s">
        <v>1174</v>
      </c>
      <c r="L128" s="20" t="s">
        <v>1175</v>
      </c>
      <c r="M128" s="20"/>
      <c r="N128" s="26">
        <f>GET_OK_GROUPS_COUNT(tbTestEnemy[[#This Row],[Camp]],tbTestEnemy[[#This Row],[Difficulty]],tbTestEnemy[[#This Row],[IsBoss]],tbTestEnemy[[#This Row],[Hero1]:[Soldier3]])</f>
        <v>5</v>
      </c>
      <c r="O128" s="21">
        <v>1</v>
      </c>
      <c r="P128" s="20"/>
      <c r="Q128" s="21"/>
      <c r="R128" s="26" t="str">
        <f>GET_OK_GROUP(tbTestEnemy[[#This Row],[Camp]],tbTestEnemy[[#This Row],[Difficulty]],tbTestEnemy[[#This Row],[IsBoss]],tbTestEnemy[[#This Row],[Hero1]:[Soldier3]],tbTestEnemy[[#This Row],[GroupID]])</f>
        <v>三国-困难-盾兵+强兵</v>
      </c>
    </row>
    <row r="129" spans="2:18">
      <c r="B129" s="19" t="s">
        <v>1163</v>
      </c>
      <c r="C129" s="20">
        <v>2</v>
      </c>
      <c r="D129" s="20"/>
      <c r="E129" s="7" t="s">
        <v>151</v>
      </c>
      <c r="F129" s="20" t="s">
        <v>1169</v>
      </c>
      <c r="G129" s="20"/>
      <c r="H129" s="20" t="s">
        <v>1173</v>
      </c>
      <c r="I129" s="20" t="s">
        <v>1166</v>
      </c>
      <c r="J129" s="20"/>
      <c r="K129" s="20"/>
      <c r="L129" s="20"/>
      <c r="M129" s="20"/>
      <c r="N129" s="26">
        <f>GET_OK_GROUPS_COUNT(tbTestEnemy[[#This Row],[Camp]],tbTestEnemy[[#This Row],[Difficulty]],tbTestEnemy[[#This Row],[IsBoss]],tbTestEnemy[[#This Row],[Hero1]:[Soldier3]])</f>
        <v>1</v>
      </c>
      <c r="O129" s="7">
        <v>1</v>
      </c>
      <c r="P129" s="20"/>
      <c r="Q129" s="21"/>
      <c r="R129" s="26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30" spans="2:18">
      <c r="B130" s="19" t="s">
        <v>1163</v>
      </c>
      <c r="C130" s="20">
        <v>3</v>
      </c>
      <c r="D130" s="20"/>
      <c r="E130" s="7" t="s">
        <v>151</v>
      </c>
      <c r="F130" s="20" t="s">
        <v>1168</v>
      </c>
      <c r="G130" s="20"/>
      <c r="H130" s="20"/>
      <c r="I130" s="20"/>
      <c r="J130" s="20"/>
      <c r="K130" s="20" t="s">
        <v>1171</v>
      </c>
      <c r="L130" s="20"/>
      <c r="M130" s="20"/>
      <c r="N130" s="26">
        <f>GET_OK_GROUPS_COUNT(tbTestEnemy[[#This Row],[Camp]],tbTestEnemy[[#This Row],[Difficulty]],tbTestEnemy[[#This Row],[IsBoss]],tbTestEnemy[[#This Row],[Hero1]:[Soldier3]])</f>
        <v>5</v>
      </c>
      <c r="O130" s="21">
        <v>1</v>
      </c>
      <c r="P130" s="20"/>
      <c r="Q130" s="21"/>
      <c r="R130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31" spans="2:18">
      <c r="B131" s="19" t="s">
        <v>1163</v>
      </c>
      <c r="C131" s="20">
        <v>4</v>
      </c>
      <c r="D131" s="20"/>
      <c r="E131" s="7" t="s">
        <v>151</v>
      </c>
      <c r="F131" s="20" t="s">
        <v>1169</v>
      </c>
      <c r="G131" s="20"/>
      <c r="H131" s="20" t="s">
        <v>1173</v>
      </c>
      <c r="I131" s="20" t="s">
        <v>1167</v>
      </c>
      <c r="J131" s="20"/>
      <c r="K131" s="20"/>
      <c r="L131" s="20"/>
      <c r="M131" s="20"/>
      <c r="N131" s="26">
        <f>GET_OK_GROUPS_COUNT(tbTestEnemy[[#This Row],[Camp]],tbTestEnemy[[#This Row],[Difficulty]],tbTestEnemy[[#This Row],[IsBoss]],tbTestEnemy[[#This Row],[Hero1]:[Soldier3]])</f>
        <v>1</v>
      </c>
      <c r="O131" s="7">
        <v>1</v>
      </c>
      <c r="P131" s="20"/>
      <c r="Q131" s="21"/>
      <c r="R131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32" spans="2:18">
      <c r="B132" s="19" t="s">
        <v>1163</v>
      </c>
      <c r="C132" s="20">
        <v>5</v>
      </c>
      <c r="D132" s="20"/>
      <c r="E132" s="7" t="s">
        <v>151</v>
      </c>
      <c r="F132" s="20" t="s">
        <v>1169</v>
      </c>
      <c r="G132" s="20"/>
      <c r="H132" s="20" t="s">
        <v>1173</v>
      </c>
      <c r="I132" s="20" t="s">
        <v>1166</v>
      </c>
      <c r="J132" s="20"/>
      <c r="K132" s="20"/>
      <c r="L132" s="20"/>
      <c r="M132" s="20"/>
      <c r="N132" s="26">
        <f>GET_OK_GROUPS_COUNT(tbTestEnemy[[#This Row],[Camp]],tbTestEnemy[[#This Row],[Difficulty]],tbTestEnemy[[#This Row],[IsBoss]],tbTestEnemy[[#This Row],[Hero1]:[Soldier3]])</f>
        <v>1</v>
      </c>
      <c r="O132" s="21">
        <v>1</v>
      </c>
      <c r="P132" s="20"/>
      <c r="Q132" s="21"/>
      <c r="R132" s="26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33" spans="2:18">
      <c r="B133" s="19" t="s">
        <v>1164</v>
      </c>
      <c r="C133" s="20">
        <v>1</v>
      </c>
      <c r="D133" s="20"/>
      <c r="E133" s="7" t="s">
        <v>151</v>
      </c>
      <c r="F133" s="20" t="s">
        <v>1169</v>
      </c>
      <c r="G133" s="20"/>
      <c r="H133" s="20"/>
      <c r="I133" s="20"/>
      <c r="J133" s="20"/>
      <c r="K133" s="20" t="s">
        <v>1174</v>
      </c>
      <c r="L133" s="20" t="s">
        <v>1175</v>
      </c>
      <c r="M133" s="20"/>
      <c r="N133" s="26">
        <f>GET_OK_GROUPS_COUNT(tbTestEnemy[[#This Row],[Camp]],tbTestEnemy[[#This Row],[Difficulty]],tbTestEnemy[[#This Row],[IsBoss]],tbTestEnemy[[#This Row],[Hero1]:[Soldier3]])</f>
        <v>5</v>
      </c>
      <c r="O133" s="7">
        <v>1</v>
      </c>
      <c r="P133" s="20"/>
      <c r="Q133" s="21"/>
      <c r="R133" s="26" t="str">
        <f>GET_OK_GROUP(tbTestEnemy[[#This Row],[Camp]],tbTestEnemy[[#This Row],[Difficulty]],tbTestEnemy[[#This Row],[IsBoss]],tbTestEnemy[[#This Row],[Hero1]:[Soldier3]],tbTestEnemy[[#This Row],[GroupID]])</f>
        <v>三国-困难-盾兵+强兵</v>
      </c>
    </row>
    <row r="134" spans="2:18">
      <c r="B134" s="19" t="s">
        <v>1164</v>
      </c>
      <c r="C134" s="20">
        <v>2</v>
      </c>
      <c r="D134" s="20"/>
      <c r="E134" s="7" t="s">
        <v>151</v>
      </c>
      <c r="F134" s="20" t="s">
        <v>1170</v>
      </c>
      <c r="G134" s="20" t="b">
        <v>1</v>
      </c>
      <c r="H134" s="20" t="s">
        <v>1177</v>
      </c>
      <c r="I134" s="20" t="s">
        <v>1179</v>
      </c>
      <c r="J134" s="20" t="s">
        <v>1179</v>
      </c>
      <c r="K134" s="20"/>
      <c r="L134" s="20"/>
      <c r="M134" s="20"/>
      <c r="N134" s="26">
        <f>GET_OK_GROUPS_COUNT(tbTestEnemy[[#This Row],[Camp]],tbTestEnemy[[#This Row],[Difficulty]],tbTestEnemy[[#This Row],[IsBoss]],tbTestEnemy[[#This Row],[Hero1]:[Soldier3]])</f>
        <v>1</v>
      </c>
      <c r="O134" s="21">
        <v>1</v>
      </c>
      <c r="P134" s="20"/>
      <c r="Q134" s="21"/>
      <c r="R134" s="26" t="str">
        <f>GET_OK_GROUP(tbTestEnemy[[#This Row],[Camp]],tbTestEnemy[[#This Row],[Difficulty]],tbTestEnemy[[#This Row],[IsBoss]],tbTestEnemy[[#This Row],[Hero1]:[Soldier3]],tbTestEnemy[[#This Row],[GroupID]])</f>
        <v>三国-超难-[B]盾英+炼英+炼英</v>
      </c>
    </row>
    <row r="135" spans="2:18">
      <c r="B135" s="19" t="s">
        <v>1164</v>
      </c>
      <c r="C135" s="20">
        <v>3</v>
      </c>
      <c r="D135" s="20"/>
      <c r="E135" s="7" t="s">
        <v>151</v>
      </c>
      <c r="F135" s="20" t="s">
        <v>1168</v>
      </c>
      <c r="G135" s="20"/>
      <c r="H135" s="20"/>
      <c r="I135" s="20"/>
      <c r="J135" s="20"/>
      <c r="K135" s="20" t="s">
        <v>1174</v>
      </c>
      <c r="L135" s="20" t="s">
        <v>1182</v>
      </c>
      <c r="M135" s="20"/>
      <c r="N135" s="26">
        <f>GET_OK_GROUPS_COUNT(tbTestEnemy[[#This Row],[Camp]],tbTestEnemy[[#This Row],[Difficulty]],tbTestEnemy[[#This Row],[IsBoss]],tbTestEnemy[[#This Row],[Hero1]:[Soldier3]])</f>
        <v>1</v>
      </c>
      <c r="O135" s="7">
        <v>1</v>
      </c>
      <c r="P135" s="20"/>
      <c r="Q135" s="21"/>
      <c r="R135" s="26" t="str">
        <f>GET_OK_GROUP(tbTestEnemy[[#This Row],[Camp]],tbTestEnemy[[#This Row],[Difficulty]],tbTestEnemy[[#This Row],[IsBoss]],tbTestEnemy[[#This Row],[Hero1]:[Soldier3]],tbTestEnemy[[#This Row],[GroupID]])</f>
        <v>三国-普通-盾兵+刺兵</v>
      </c>
    </row>
    <row r="136" spans="2:18">
      <c r="B136" s="19" t="s">
        <v>1164</v>
      </c>
      <c r="C136" s="20">
        <v>4</v>
      </c>
      <c r="D136" s="20"/>
      <c r="E136" s="7" t="s">
        <v>151</v>
      </c>
      <c r="F136" s="20" t="s">
        <v>1169</v>
      </c>
      <c r="G136" s="20"/>
      <c r="H136" s="20" t="s">
        <v>1173</v>
      </c>
      <c r="I136" s="20" t="s">
        <v>1167</v>
      </c>
      <c r="J136" s="20"/>
      <c r="K136" s="20"/>
      <c r="L136" s="20"/>
      <c r="M136" s="20"/>
      <c r="N136" s="26">
        <f>GET_OK_GROUPS_COUNT(tbTestEnemy[[#This Row],[Camp]],tbTestEnemy[[#This Row],[Difficulty]],tbTestEnemy[[#This Row],[IsBoss]],tbTestEnemy[[#This Row],[Hero1]:[Soldier3]])</f>
        <v>1</v>
      </c>
      <c r="O136" s="21">
        <v>1</v>
      </c>
      <c r="P136" s="20"/>
      <c r="Q136" s="21"/>
      <c r="R136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37" spans="2:18">
      <c r="B137" s="19" t="s">
        <v>1164</v>
      </c>
      <c r="C137" s="20">
        <v>5</v>
      </c>
      <c r="D137" s="20"/>
      <c r="E137" s="7" t="s">
        <v>151</v>
      </c>
      <c r="F137" s="20" t="s">
        <v>1170</v>
      </c>
      <c r="G137" s="20" t="b">
        <v>1</v>
      </c>
      <c r="H137" s="20" t="s">
        <v>1177</v>
      </c>
      <c r="I137" s="20" t="s">
        <v>1179</v>
      </c>
      <c r="J137" s="20"/>
      <c r="K137" s="20"/>
      <c r="L137" s="20"/>
      <c r="M137" s="20"/>
      <c r="N137" s="26">
        <f>GET_OK_GROUPS_COUNT(tbTestEnemy[[#This Row],[Camp]],tbTestEnemy[[#This Row],[Difficulty]],tbTestEnemy[[#This Row],[IsBoss]],tbTestEnemy[[#This Row],[Hero1]:[Soldier3]])</f>
        <v>1</v>
      </c>
      <c r="O137" s="7">
        <v>1</v>
      </c>
      <c r="P137" s="20"/>
      <c r="Q137" s="21"/>
      <c r="R137" s="26" t="str">
        <f>GET_OK_GROUP(tbTestEnemy[[#This Row],[Camp]],tbTestEnemy[[#This Row],[Difficulty]],tbTestEnemy[[#This Row],[IsBoss]],tbTestEnemy[[#This Row],[Hero1]:[Soldier3]],tbTestEnemy[[#This Row],[GroupID]])</f>
        <v>三国-超难-[B]盾英+炼英</v>
      </c>
    </row>
    <row r="138" spans="2:18">
      <c r="B138" s="19" t="s">
        <v>1165</v>
      </c>
      <c r="C138" s="20">
        <v>1</v>
      </c>
      <c r="D138" s="20"/>
      <c r="E138" s="7" t="s">
        <v>151</v>
      </c>
      <c r="F138" s="20" t="s">
        <v>1169</v>
      </c>
      <c r="G138" s="20"/>
      <c r="H138" s="20" t="s">
        <v>1173</v>
      </c>
      <c r="I138" s="20" t="s">
        <v>1167</v>
      </c>
      <c r="J138" s="20"/>
      <c r="K138" s="20"/>
      <c r="L138" s="20"/>
      <c r="M138" s="20"/>
      <c r="N138" s="26">
        <f>GET_OK_GROUPS_COUNT(tbTestEnemy[[#This Row],[Camp]],tbTestEnemy[[#This Row],[Difficulty]],tbTestEnemy[[#This Row],[IsBoss]],tbTestEnemy[[#This Row],[Hero1]:[Soldier3]])</f>
        <v>1</v>
      </c>
      <c r="O138" s="21">
        <v>1</v>
      </c>
      <c r="P138" s="20"/>
      <c r="Q138" s="21"/>
      <c r="R138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39" spans="2:18">
      <c r="B139" s="19" t="s">
        <v>1165</v>
      </c>
      <c r="C139" s="20">
        <v>2</v>
      </c>
      <c r="D139" s="20"/>
      <c r="E139" s="7" t="s">
        <v>151</v>
      </c>
      <c r="F139" s="20" t="s">
        <v>1170</v>
      </c>
      <c r="G139" s="20"/>
      <c r="H139" s="20" t="s">
        <v>1177</v>
      </c>
      <c r="I139" s="20" t="s">
        <v>1167</v>
      </c>
      <c r="J139" s="20"/>
      <c r="K139" s="20"/>
      <c r="L139" s="20"/>
      <c r="M139" s="20"/>
      <c r="N139" s="26">
        <f>GET_OK_GROUPS_COUNT(tbTestEnemy[[#This Row],[Camp]],tbTestEnemy[[#This Row],[Difficulty]],tbTestEnemy[[#This Row],[IsBoss]],tbTestEnemy[[#This Row],[Hero1]:[Soldier3]])</f>
        <v>1</v>
      </c>
      <c r="O139" s="7">
        <v>1</v>
      </c>
      <c r="P139" s="20"/>
      <c r="Q139" s="21"/>
      <c r="R139" s="26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</sheetData>
  <phoneticPr fontId="28" type="noConversion"/>
  <conditionalFormatting sqref="O5:O139">
    <cfRule type="expression" dxfId="3" priority="2">
      <formula>O5&gt;N5</formula>
    </cfRule>
  </conditionalFormatting>
  <conditionalFormatting sqref="N5:N139">
    <cfRule type="cellIs" dxfId="2" priority="1" operator="equal">
      <formula>0</formula>
    </cfRule>
  </conditionalFormatting>
  <dataValidations count="5">
    <dataValidation type="list" allowBlank="1" showInputMessage="1" showErrorMessage="1" sqref="H5:J139">
      <formula1>UnitNames</formula1>
    </dataValidation>
    <dataValidation type="list" allowBlank="1" showInputMessage="1" showErrorMessage="1" sqref="K5:M139">
      <formula1>SoldierNames</formula1>
    </dataValidation>
    <dataValidation type="list" allowBlank="1" showInputMessage="1" showErrorMessage="1" sqref="E5:E139">
      <formula1>"三国,黄巾"</formula1>
    </dataValidation>
    <dataValidation type="list" allowBlank="1" showInputMessage="1" showErrorMessage="1" sqref="G5:G139">
      <formula1>"TRUE,FALSE"</formula1>
    </dataValidation>
    <dataValidation type="list" allowBlank="1" showInputMessage="1" showErrorMessage="1" sqref="F5:F139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UpdateTest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A354"/>
  <sheetViews>
    <sheetView zoomScale="90" zoomScaleNormal="90" workbookViewId="0">
      <pane xSplit="3" ySplit="2" topLeftCell="D3" activePane="bottomRight" state="frozen"/>
      <selection pane="topRight" activeCell="F1" sqref="F1"/>
      <selection pane="bottomLeft" activeCell="A2" sqref="A2"/>
      <selection pane="bottomRight" activeCell="A3" sqref="A3"/>
    </sheetView>
  </sheetViews>
  <sheetFormatPr defaultColWidth="9" defaultRowHeight="16.5"/>
  <cols>
    <col min="1" max="1" width="34.25" style="1" bestFit="1" customWidth="1"/>
    <col min="2" max="2" width="11.375" style="1" customWidth="1"/>
    <col min="3" max="3" width="11.25" style="1" bestFit="1" customWidth="1"/>
    <col min="4" max="27" width="11.125" style="1" customWidth="1"/>
    <col min="28" max="16384" width="9" style="1"/>
  </cols>
  <sheetData>
    <row r="1" spans="1:27">
      <c r="A1" s="1" t="s">
        <v>0</v>
      </c>
      <c r="B1" s="5" t="s">
        <v>125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1200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1202</v>
      </c>
      <c r="X1" s="1" t="s">
        <v>20</v>
      </c>
      <c r="Y1" s="1" t="s">
        <v>21</v>
      </c>
      <c r="Z1" s="1" t="s">
        <v>22</v>
      </c>
      <c r="AA1" s="1" t="s">
        <v>23</v>
      </c>
    </row>
    <row r="2" spans="1:27">
      <c r="A2" s="1" t="s">
        <v>126</v>
      </c>
      <c r="B2" s="1" t="s">
        <v>127</v>
      </c>
      <c r="C2" s="1" t="s">
        <v>128</v>
      </c>
      <c r="D2" s="1" t="s">
        <v>129</v>
      </c>
      <c r="E2" s="1" t="s">
        <v>130</v>
      </c>
      <c r="F2" s="1" t="s">
        <v>131</v>
      </c>
      <c r="G2" s="1" t="s">
        <v>132</v>
      </c>
      <c r="H2" s="1" t="s">
        <v>133</v>
      </c>
      <c r="I2" s="1" t="s">
        <v>134</v>
      </c>
      <c r="J2" s="1" t="s">
        <v>135</v>
      </c>
      <c r="K2" s="1" t="s">
        <v>136</v>
      </c>
      <c r="L2" s="1" t="s">
        <v>137</v>
      </c>
      <c r="M2" s="1" t="s">
        <v>1201</v>
      </c>
      <c r="N2" s="1" t="s">
        <v>138</v>
      </c>
      <c r="O2" s="1" t="s">
        <v>139</v>
      </c>
      <c r="P2" s="1" t="s">
        <v>140</v>
      </c>
      <c r="Q2" s="1" t="s">
        <v>141</v>
      </c>
      <c r="R2" s="1" t="s">
        <v>142</v>
      </c>
      <c r="S2" s="1" t="s">
        <v>143</v>
      </c>
      <c r="T2" s="1" t="s">
        <v>144</v>
      </c>
      <c r="U2" s="1" t="s">
        <v>145</v>
      </c>
      <c r="V2" s="1" t="s">
        <v>146</v>
      </c>
      <c r="W2" s="1" t="s">
        <v>1203</v>
      </c>
      <c r="X2" s="1" t="s">
        <v>147</v>
      </c>
      <c r="Y2" s="1" t="s">
        <v>148</v>
      </c>
      <c r="Z2" s="1" t="s">
        <v>149</v>
      </c>
      <c r="AA2" s="1" t="s">
        <v>150</v>
      </c>
    </row>
    <row r="3" spans="1:27">
      <c r="A3" s="1" t="s">
        <v>39</v>
      </c>
      <c r="B3" s="1">
        <v>2</v>
      </c>
      <c r="C3" s="1" t="s">
        <v>903</v>
      </c>
      <c r="D3" s="1" t="s">
        <v>31</v>
      </c>
      <c r="E3" s="1" t="s">
        <v>31</v>
      </c>
      <c r="F3" s="1" t="s">
        <v>31</v>
      </c>
      <c r="G3" s="1" t="s">
        <v>31</v>
      </c>
    </row>
    <row r="4" spans="1:27">
      <c r="A4" s="1" t="s">
        <v>43</v>
      </c>
      <c r="B4" s="1">
        <v>1</v>
      </c>
      <c r="C4" s="8" t="s">
        <v>1266</v>
      </c>
      <c r="D4" s="8" t="s">
        <v>32</v>
      </c>
      <c r="E4" s="8" t="s">
        <v>32</v>
      </c>
      <c r="F4" s="8" t="s">
        <v>32</v>
      </c>
      <c r="G4" s="8" t="s">
        <v>32</v>
      </c>
      <c r="H4" s="8" t="s">
        <v>32</v>
      </c>
      <c r="I4" s="8" t="s">
        <v>32</v>
      </c>
      <c r="J4" s="8" t="s">
        <v>32</v>
      </c>
      <c r="K4" s="8" t="s">
        <v>32</v>
      </c>
      <c r="L4" s="8"/>
      <c r="M4" s="8"/>
      <c r="N4" s="8"/>
      <c r="O4" s="8"/>
      <c r="P4" s="8"/>
      <c r="Q4" s="8"/>
      <c r="R4" s="8"/>
      <c r="S4" s="8"/>
    </row>
    <row r="5" spans="1:27">
      <c r="A5" s="1" t="s">
        <v>44</v>
      </c>
      <c r="B5" s="1">
        <v>1</v>
      </c>
      <c r="C5" s="8" t="s">
        <v>903</v>
      </c>
      <c r="D5" s="8" t="s">
        <v>30</v>
      </c>
      <c r="E5" s="8" t="s">
        <v>30</v>
      </c>
      <c r="F5" s="8" t="s">
        <v>30</v>
      </c>
      <c r="G5" s="8" t="s">
        <v>30</v>
      </c>
      <c r="H5" s="8" t="s">
        <v>30</v>
      </c>
      <c r="I5" s="8" t="s">
        <v>30</v>
      </c>
      <c r="J5" s="8" t="s">
        <v>30</v>
      </c>
      <c r="K5" s="8" t="s">
        <v>30</v>
      </c>
      <c r="L5" s="8" t="s">
        <v>30</v>
      </c>
      <c r="M5" s="8" t="s">
        <v>30</v>
      </c>
      <c r="N5" s="8" t="s">
        <v>30</v>
      </c>
      <c r="O5" s="8" t="s">
        <v>30</v>
      </c>
      <c r="P5" s="8" t="s">
        <v>30</v>
      </c>
      <c r="Q5" s="8" t="s">
        <v>30</v>
      </c>
      <c r="R5" s="8"/>
      <c r="S5" s="8"/>
    </row>
    <row r="6" spans="1:27">
      <c r="A6" s="1" t="s">
        <v>45</v>
      </c>
      <c r="B6" s="1">
        <v>1</v>
      </c>
      <c r="C6" s="8" t="s">
        <v>903</v>
      </c>
      <c r="D6" s="8" t="s">
        <v>307</v>
      </c>
      <c r="E6" s="8" t="s">
        <v>307</v>
      </c>
      <c r="F6" s="8" t="s">
        <v>307</v>
      </c>
      <c r="G6" s="8" t="s">
        <v>307</v>
      </c>
      <c r="H6" s="8" t="s">
        <v>307</v>
      </c>
      <c r="I6" s="8" t="s">
        <v>307</v>
      </c>
      <c r="J6" s="8"/>
      <c r="K6" s="8"/>
      <c r="L6" s="8"/>
      <c r="M6" s="8"/>
      <c r="N6" s="8"/>
      <c r="O6" s="8"/>
      <c r="P6" s="8"/>
      <c r="Q6" s="8"/>
      <c r="R6" s="8"/>
      <c r="S6" s="8"/>
    </row>
    <row r="7" spans="1:27">
      <c r="A7" s="1" t="s">
        <v>598</v>
      </c>
      <c r="B7" s="1">
        <v>1</v>
      </c>
      <c r="C7" s="8" t="s">
        <v>40</v>
      </c>
      <c r="D7" s="8" t="s">
        <v>379</v>
      </c>
      <c r="E7" s="8" t="s">
        <v>32</v>
      </c>
      <c r="F7" s="8" t="s">
        <v>32</v>
      </c>
      <c r="G7" s="8" t="s">
        <v>32</v>
      </c>
      <c r="H7" s="8" t="s">
        <v>32</v>
      </c>
      <c r="I7" s="8" t="s">
        <v>32</v>
      </c>
      <c r="J7" s="8" t="s">
        <v>32</v>
      </c>
      <c r="K7" s="8"/>
      <c r="L7" s="8"/>
      <c r="M7" s="8"/>
      <c r="N7" s="8"/>
      <c r="O7" s="8"/>
      <c r="P7" s="8"/>
      <c r="Q7" s="8"/>
      <c r="R7" s="8"/>
      <c r="S7" s="8"/>
    </row>
    <row r="8" spans="1:27">
      <c r="A8" s="1" t="s">
        <v>46</v>
      </c>
      <c r="B8" s="1">
        <v>1</v>
      </c>
      <c r="C8" s="8" t="s">
        <v>40</v>
      </c>
      <c r="D8" s="8" t="s">
        <v>31</v>
      </c>
      <c r="E8" s="8" t="s">
        <v>31</v>
      </c>
      <c r="F8" s="8" t="s">
        <v>31</v>
      </c>
      <c r="G8" s="8" t="s">
        <v>31</v>
      </c>
      <c r="H8" s="8" t="s">
        <v>32</v>
      </c>
      <c r="I8" s="8" t="s">
        <v>32</v>
      </c>
      <c r="J8" s="8" t="s">
        <v>32</v>
      </c>
      <c r="K8" s="8" t="s">
        <v>32</v>
      </c>
      <c r="L8" s="8"/>
      <c r="M8" s="8"/>
      <c r="N8" s="8"/>
      <c r="O8" s="8"/>
      <c r="P8" s="8"/>
      <c r="Q8" s="8"/>
      <c r="R8" s="8"/>
      <c r="S8" s="8"/>
    </row>
    <row r="9" spans="1:27">
      <c r="A9" s="1" t="s">
        <v>47</v>
      </c>
      <c r="B9" s="1">
        <v>1</v>
      </c>
      <c r="C9" s="8" t="s">
        <v>40</v>
      </c>
      <c r="D9" s="8" t="s">
        <v>31</v>
      </c>
      <c r="E9" s="8" t="s">
        <v>31</v>
      </c>
      <c r="F9" s="8" t="s">
        <v>307</v>
      </c>
      <c r="G9" s="8" t="s">
        <v>307</v>
      </c>
      <c r="H9" s="8" t="s">
        <v>307</v>
      </c>
      <c r="I9" s="8" t="s">
        <v>307</v>
      </c>
      <c r="J9" s="8"/>
      <c r="K9" s="8"/>
      <c r="L9" s="8"/>
      <c r="M9" s="8"/>
      <c r="N9" s="8"/>
      <c r="O9" s="8"/>
      <c r="P9" s="8"/>
      <c r="Q9" s="8"/>
      <c r="R9" s="8"/>
      <c r="S9" s="8"/>
    </row>
    <row r="10" spans="1:27">
      <c r="A10" s="1" t="s">
        <v>48</v>
      </c>
      <c r="B10" s="1">
        <v>1</v>
      </c>
      <c r="C10" s="8" t="s">
        <v>40</v>
      </c>
      <c r="D10" s="8" t="s">
        <v>386</v>
      </c>
      <c r="E10" s="8" t="s">
        <v>31</v>
      </c>
      <c r="F10" s="8" t="s">
        <v>31</v>
      </c>
      <c r="G10" s="8" t="s">
        <v>31</v>
      </c>
      <c r="H10" s="8" t="s">
        <v>31</v>
      </c>
      <c r="I10" s="8" t="s">
        <v>31</v>
      </c>
      <c r="J10" s="8" t="s">
        <v>31</v>
      </c>
      <c r="K10" s="8" t="s">
        <v>31</v>
      </c>
      <c r="L10" s="8" t="s">
        <v>31</v>
      </c>
      <c r="M10" s="8"/>
      <c r="N10" s="8"/>
      <c r="O10" s="8"/>
      <c r="P10" s="8"/>
      <c r="Q10" s="8"/>
      <c r="R10" s="8"/>
      <c r="S10" s="8"/>
    </row>
    <row r="11" spans="1:27">
      <c r="A11" s="1" t="s">
        <v>616</v>
      </c>
      <c r="B11" s="1">
        <v>1</v>
      </c>
      <c r="C11" s="8" t="s">
        <v>40</v>
      </c>
      <c r="D11" s="8" t="s">
        <v>379</v>
      </c>
      <c r="E11" s="8" t="s">
        <v>32</v>
      </c>
      <c r="F11" s="8" t="s">
        <v>32</v>
      </c>
      <c r="G11" s="8" t="s">
        <v>32</v>
      </c>
      <c r="H11" s="8" t="s">
        <v>32</v>
      </c>
      <c r="I11" s="8" t="s">
        <v>32</v>
      </c>
      <c r="J11" s="8" t="s">
        <v>32</v>
      </c>
      <c r="K11" s="8" t="s">
        <v>32</v>
      </c>
      <c r="L11" s="8" t="s">
        <v>32</v>
      </c>
      <c r="M11" s="8" t="s">
        <v>32</v>
      </c>
      <c r="N11" s="8" t="s">
        <v>32</v>
      </c>
      <c r="O11" s="8" t="s">
        <v>32</v>
      </c>
      <c r="P11" s="8" t="s">
        <v>32</v>
      </c>
      <c r="Q11" s="8"/>
      <c r="R11" s="8"/>
      <c r="S11" s="8"/>
    </row>
    <row r="12" spans="1:27">
      <c r="A12" s="1" t="s">
        <v>599</v>
      </c>
      <c r="B12" s="1">
        <v>1</v>
      </c>
      <c r="C12" s="8" t="s">
        <v>40</v>
      </c>
      <c r="D12" s="8" t="s">
        <v>617</v>
      </c>
      <c r="E12" s="8" t="s">
        <v>32</v>
      </c>
      <c r="F12" s="8" t="s">
        <v>32</v>
      </c>
      <c r="G12" s="8" t="s">
        <v>307</v>
      </c>
      <c r="H12" s="8" t="s">
        <v>307</v>
      </c>
      <c r="I12" s="8" t="s">
        <v>307</v>
      </c>
      <c r="J12" s="8" t="s">
        <v>307</v>
      </c>
      <c r="K12" s="8" t="s">
        <v>307</v>
      </c>
      <c r="L12" s="8" t="s">
        <v>307</v>
      </c>
      <c r="M12" s="8"/>
      <c r="N12" s="8"/>
      <c r="O12" s="8"/>
      <c r="P12" s="8"/>
      <c r="Q12" s="8"/>
      <c r="R12" s="8"/>
      <c r="S12" s="8"/>
    </row>
    <row r="13" spans="1:27">
      <c r="A13" s="1" t="s">
        <v>600</v>
      </c>
      <c r="B13" s="1">
        <v>1</v>
      </c>
      <c r="C13" s="8" t="s">
        <v>40</v>
      </c>
      <c r="D13" s="8" t="s">
        <v>617</v>
      </c>
      <c r="E13" s="8" t="s">
        <v>32</v>
      </c>
      <c r="F13" s="8" t="s">
        <v>32</v>
      </c>
      <c r="G13" s="8" t="s">
        <v>32</v>
      </c>
      <c r="H13" s="8" t="s">
        <v>32</v>
      </c>
      <c r="I13" s="8" t="s">
        <v>32</v>
      </c>
      <c r="J13" s="8" t="s">
        <v>32</v>
      </c>
      <c r="K13" s="8" t="s">
        <v>32</v>
      </c>
      <c r="L13" s="8" t="s">
        <v>32</v>
      </c>
      <c r="M13" s="8" t="s">
        <v>32</v>
      </c>
      <c r="N13" s="8" t="s">
        <v>32</v>
      </c>
      <c r="O13" s="8"/>
      <c r="P13" s="8"/>
      <c r="Q13" s="8"/>
      <c r="R13" s="8"/>
      <c r="S13" s="8"/>
    </row>
    <row r="14" spans="1:27">
      <c r="A14" s="1" t="s">
        <v>601</v>
      </c>
      <c r="B14" s="1">
        <v>1</v>
      </c>
      <c r="C14" s="8" t="s">
        <v>40</v>
      </c>
      <c r="D14" s="8" t="s">
        <v>618</v>
      </c>
      <c r="E14" s="8" t="s">
        <v>31</v>
      </c>
      <c r="F14" s="8" t="s">
        <v>31</v>
      </c>
      <c r="G14" s="8" t="s">
        <v>31</v>
      </c>
      <c r="H14" s="8" t="s">
        <v>31</v>
      </c>
      <c r="I14" s="8" t="s">
        <v>617</v>
      </c>
      <c r="J14" s="8" t="s">
        <v>32</v>
      </c>
      <c r="K14" s="8" t="s">
        <v>32</v>
      </c>
      <c r="L14" s="8"/>
      <c r="M14" s="8"/>
      <c r="N14" s="8"/>
      <c r="O14" s="8"/>
      <c r="P14" s="8"/>
      <c r="Q14" s="8"/>
      <c r="R14" s="8"/>
      <c r="S14" s="8"/>
    </row>
    <row r="15" spans="1:27">
      <c r="A15" s="1" t="s">
        <v>602</v>
      </c>
      <c r="B15" s="1">
        <v>1</v>
      </c>
      <c r="C15" s="8" t="s">
        <v>40</v>
      </c>
      <c r="D15" s="8" t="s">
        <v>618</v>
      </c>
      <c r="E15" s="8" t="s">
        <v>31</v>
      </c>
      <c r="F15" s="8" t="s">
        <v>31</v>
      </c>
      <c r="G15" s="8" t="s">
        <v>31</v>
      </c>
      <c r="H15" s="8" t="s">
        <v>31</v>
      </c>
      <c r="I15" s="8" t="s">
        <v>31</v>
      </c>
      <c r="J15" s="8" t="s">
        <v>31</v>
      </c>
      <c r="K15" s="8" t="s">
        <v>31</v>
      </c>
      <c r="L15" s="8" t="s">
        <v>31</v>
      </c>
      <c r="M15" s="8" t="s">
        <v>31</v>
      </c>
      <c r="N15" s="8" t="s">
        <v>31</v>
      </c>
      <c r="O15" s="8" t="s">
        <v>31</v>
      </c>
      <c r="P15" s="8" t="s">
        <v>31</v>
      </c>
      <c r="Q15" s="8" t="s">
        <v>31</v>
      </c>
      <c r="R15" s="8" t="s">
        <v>31</v>
      </c>
      <c r="S15" s="8"/>
    </row>
    <row r="16" spans="1:27">
      <c r="A16" s="1" t="s">
        <v>41</v>
      </c>
      <c r="B16" s="1">
        <v>1</v>
      </c>
      <c r="C16" s="8" t="s">
        <v>40</v>
      </c>
      <c r="D16" s="8" t="s">
        <v>31</v>
      </c>
      <c r="E16" s="8" t="s">
        <v>31</v>
      </c>
      <c r="F16" s="8" t="s">
        <v>32</v>
      </c>
      <c r="G16" s="8" t="s">
        <v>32</v>
      </c>
      <c r="H16" s="8" t="s">
        <v>32</v>
      </c>
      <c r="I16" s="8" t="s">
        <v>32</v>
      </c>
      <c r="J16" s="8" t="s">
        <v>32</v>
      </c>
      <c r="K16" s="8" t="s">
        <v>32</v>
      </c>
      <c r="L16" s="8" t="s">
        <v>32</v>
      </c>
      <c r="M16" s="8" t="s">
        <v>32</v>
      </c>
      <c r="N16" s="8" t="s">
        <v>32</v>
      </c>
      <c r="O16" s="8" t="s">
        <v>32</v>
      </c>
      <c r="P16" s="8" t="s">
        <v>32</v>
      </c>
      <c r="Q16" s="8" t="s">
        <v>32</v>
      </c>
      <c r="R16" s="8"/>
      <c r="S16" s="8"/>
    </row>
    <row r="17" spans="1:19">
      <c r="A17" s="1" t="s">
        <v>42</v>
      </c>
      <c r="B17" s="1">
        <v>1</v>
      </c>
      <c r="C17" s="8" t="s">
        <v>40</v>
      </c>
      <c r="D17" s="8" t="s">
        <v>386</v>
      </c>
      <c r="E17" s="8" t="s">
        <v>31</v>
      </c>
      <c r="F17" s="8" t="s">
        <v>31</v>
      </c>
      <c r="G17" s="8" t="s">
        <v>31</v>
      </c>
      <c r="H17" s="8" t="s">
        <v>31</v>
      </c>
      <c r="I17" s="8" t="s">
        <v>31</v>
      </c>
      <c r="J17" s="8" t="s">
        <v>31</v>
      </c>
      <c r="K17" s="8" t="s">
        <v>31</v>
      </c>
      <c r="L17" s="8" t="s">
        <v>31</v>
      </c>
      <c r="M17" s="8" t="s">
        <v>31</v>
      </c>
      <c r="N17" s="8" t="s">
        <v>31</v>
      </c>
      <c r="O17" s="8" t="s">
        <v>31</v>
      </c>
      <c r="P17" s="8" t="s">
        <v>31</v>
      </c>
      <c r="Q17" s="8"/>
      <c r="R17" s="8"/>
      <c r="S17" s="8"/>
    </row>
    <row r="18" spans="1:19">
      <c r="A18" s="1" t="s">
        <v>63</v>
      </c>
      <c r="B18" s="1">
        <v>2</v>
      </c>
      <c r="C18" s="8" t="s">
        <v>40</v>
      </c>
      <c r="D18" s="8" t="s">
        <v>25</v>
      </c>
      <c r="E18" s="8" t="s">
        <v>25</v>
      </c>
      <c r="F18" s="8" t="s">
        <v>25</v>
      </c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</row>
    <row r="19" spans="1:19">
      <c r="A19" s="1" t="s">
        <v>56</v>
      </c>
      <c r="B19" s="1">
        <v>2</v>
      </c>
      <c r="C19" s="1" t="s">
        <v>40</v>
      </c>
      <c r="D19" s="1" t="s">
        <v>34</v>
      </c>
      <c r="E19" s="1" t="s">
        <v>34</v>
      </c>
      <c r="F19" s="1" t="s">
        <v>34</v>
      </c>
    </row>
    <row r="20" spans="1:19">
      <c r="A20" s="1" t="s">
        <v>62</v>
      </c>
      <c r="B20" s="1">
        <v>2</v>
      </c>
      <c r="C20" s="1" t="s">
        <v>40</v>
      </c>
      <c r="D20" s="1" t="s">
        <v>26</v>
      </c>
      <c r="E20" s="1" t="s">
        <v>26</v>
      </c>
      <c r="F20" s="1" t="s">
        <v>26</v>
      </c>
    </row>
    <row r="21" spans="1:19">
      <c r="A21" s="1" t="s">
        <v>61</v>
      </c>
      <c r="B21" s="1">
        <v>2</v>
      </c>
      <c r="C21" s="1" t="s">
        <v>40</v>
      </c>
      <c r="D21" s="1" t="s">
        <v>447</v>
      </c>
      <c r="E21" s="1" t="s">
        <v>447</v>
      </c>
    </row>
    <row r="22" spans="1:19">
      <c r="A22" s="1" t="s">
        <v>59</v>
      </c>
      <c r="B22" s="1">
        <v>2</v>
      </c>
      <c r="C22" s="1" t="s">
        <v>40</v>
      </c>
      <c r="D22" s="1" t="s">
        <v>28</v>
      </c>
      <c r="E22" s="1" t="s">
        <v>28</v>
      </c>
      <c r="F22" s="1" t="s">
        <v>28</v>
      </c>
    </row>
    <row r="23" spans="1:19">
      <c r="A23" s="1" t="s">
        <v>55</v>
      </c>
      <c r="B23" s="1">
        <v>2</v>
      </c>
      <c r="C23" s="1" t="s">
        <v>40</v>
      </c>
      <c r="D23" s="1" t="s">
        <v>448</v>
      </c>
      <c r="E23" s="1" t="s">
        <v>448</v>
      </c>
    </row>
    <row r="24" spans="1:19">
      <c r="A24" s="1" t="s">
        <v>60</v>
      </c>
      <c r="B24" s="1">
        <v>2</v>
      </c>
      <c r="C24" s="1" t="s">
        <v>40</v>
      </c>
      <c r="D24" s="1" t="s">
        <v>49</v>
      </c>
      <c r="E24" s="1" t="s">
        <v>49</v>
      </c>
      <c r="F24" s="1" t="s">
        <v>49</v>
      </c>
      <c r="G24" s="1" t="s">
        <v>49</v>
      </c>
    </row>
    <row r="25" spans="1:19">
      <c r="A25" s="1" t="s">
        <v>65</v>
      </c>
      <c r="B25" s="1">
        <v>2</v>
      </c>
      <c r="C25" s="1" t="s">
        <v>40</v>
      </c>
      <c r="D25" s="1" t="s">
        <v>25</v>
      </c>
      <c r="E25" s="1" t="s">
        <v>447</v>
      </c>
      <c r="F25" s="1" t="s">
        <v>447</v>
      </c>
    </row>
    <row r="26" spans="1:19">
      <c r="A26" s="1" t="s">
        <v>66</v>
      </c>
      <c r="B26" s="1">
        <v>2</v>
      </c>
      <c r="C26" s="1" t="s">
        <v>40</v>
      </c>
      <c r="D26" s="1" t="s">
        <v>25</v>
      </c>
      <c r="E26" s="1" t="s">
        <v>26</v>
      </c>
      <c r="F26" s="1" t="s">
        <v>26</v>
      </c>
    </row>
    <row r="27" spans="1:19">
      <c r="A27" s="1" t="s">
        <v>64</v>
      </c>
      <c r="B27" s="1">
        <v>2</v>
      </c>
      <c r="C27" s="1" t="s">
        <v>40</v>
      </c>
      <c r="D27" s="1" t="s">
        <v>25</v>
      </c>
      <c r="E27" s="1" t="s">
        <v>28</v>
      </c>
      <c r="F27" s="1" t="s">
        <v>28</v>
      </c>
    </row>
    <row r="28" spans="1:19">
      <c r="A28" s="1" t="s">
        <v>58</v>
      </c>
      <c r="B28" s="1">
        <v>2</v>
      </c>
      <c r="C28" s="1" t="s">
        <v>40</v>
      </c>
      <c r="D28" s="1" t="s">
        <v>34</v>
      </c>
      <c r="E28" s="1" t="s">
        <v>447</v>
      </c>
    </row>
    <row r="29" spans="1:19">
      <c r="A29" s="1" t="s">
        <v>199</v>
      </c>
      <c r="B29" s="1">
        <v>2</v>
      </c>
      <c r="C29" s="1" t="s">
        <v>40</v>
      </c>
      <c r="D29" s="1" t="s">
        <v>34</v>
      </c>
      <c r="E29" s="1" t="s">
        <v>26</v>
      </c>
      <c r="F29" s="1" t="s">
        <v>26</v>
      </c>
    </row>
    <row r="30" spans="1:19">
      <c r="A30" s="1" t="s">
        <v>57</v>
      </c>
      <c r="B30" s="1">
        <v>2</v>
      </c>
      <c r="C30" s="1" t="s">
        <v>40</v>
      </c>
      <c r="D30" s="1" t="s">
        <v>34</v>
      </c>
      <c r="E30" s="1" t="s">
        <v>34</v>
      </c>
      <c r="F30" s="1" t="s">
        <v>28</v>
      </c>
    </row>
    <row r="31" spans="1:19">
      <c r="A31" s="1" t="s">
        <v>117</v>
      </c>
      <c r="B31" s="1">
        <v>2</v>
      </c>
      <c r="C31" s="1" t="s">
        <v>40</v>
      </c>
      <c r="D31" s="1" t="s">
        <v>25</v>
      </c>
      <c r="E31" s="1" t="s">
        <v>25</v>
      </c>
      <c r="F31" s="1" t="s">
        <v>25</v>
      </c>
      <c r="G31" s="1" t="s">
        <v>25</v>
      </c>
    </row>
    <row r="32" spans="1:19">
      <c r="A32" s="1" t="s">
        <v>98</v>
      </c>
      <c r="B32" s="1">
        <v>2</v>
      </c>
      <c r="C32" s="1" t="s">
        <v>40</v>
      </c>
      <c r="D32" s="1" t="s">
        <v>34</v>
      </c>
      <c r="E32" s="1" t="s">
        <v>34</v>
      </c>
      <c r="F32" s="1" t="s">
        <v>34</v>
      </c>
      <c r="G32" s="1" t="s">
        <v>34</v>
      </c>
      <c r="H32" s="1" t="s">
        <v>34</v>
      </c>
      <c r="I32" s="1" t="s">
        <v>34</v>
      </c>
    </row>
    <row r="33" spans="1:9">
      <c r="A33" s="1" t="s">
        <v>113</v>
      </c>
      <c r="B33" s="1">
        <v>2</v>
      </c>
      <c r="C33" s="1" t="s">
        <v>40</v>
      </c>
      <c r="D33" s="1" t="s">
        <v>26</v>
      </c>
      <c r="E33" s="1" t="s">
        <v>26</v>
      </c>
      <c r="F33" s="1" t="s">
        <v>26</v>
      </c>
      <c r="G33" s="1" t="s">
        <v>26</v>
      </c>
    </row>
    <row r="34" spans="1:9">
      <c r="A34" s="1" t="s">
        <v>110</v>
      </c>
      <c r="B34" s="1">
        <v>2</v>
      </c>
      <c r="C34" s="1" t="s">
        <v>40</v>
      </c>
      <c r="D34" s="1" t="s">
        <v>447</v>
      </c>
      <c r="E34" s="1" t="s">
        <v>447</v>
      </c>
      <c r="F34" s="1" t="s">
        <v>447</v>
      </c>
      <c r="G34" s="1" t="s">
        <v>447</v>
      </c>
    </row>
    <row r="35" spans="1:9">
      <c r="A35" s="1" t="s">
        <v>106</v>
      </c>
      <c r="B35" s="1">
        <v>2</v>
      </c>
      <c r="C35" s="1" t="s">
        <v>40</v>
      </c>
      <c r="D35" s="1" t="s">
        <v>28</v>
      </c>
      <c r="E35" s="1" t="s">
        <v>28</v>
      </c>
      <c r="F35" s="1" t="s">
        <v>28</v>
      </c>
      <c r="G35" s="1" t="s">
        <v>28</v>
      </c>
    </row>
    <row r="36" spans="1:9">
      <c r="A36" s="1" t="s">
        <v>97</v>
      </c>
      <c r="B36" s="1">
        <v>2</v>
      </c>
      <c r="C36" s="1" t="s">
        <v>40</v>
      </c>
      <c r="D36" s="1" t="s">
        <v>448</v>
      </c>
      <c r="E36" s="1" t="s">
        <v>448</v>
      </c>
      <c r="F36" s="1" t="s">
        <v>448</v>
      </c>
      <c r="G36" s="1" t="s">
        <v>448</v>
      </c>
    </row>
    <row r="37" spans="1:9">
      <c r="A37" s="1" t="s">
        <v>109</v>
      </c>
      <c r="B37" s="1">
        <v>2</v>
      </c>
      <c r="C37" s="1" t="s">
        <v>40</v>
      </c>
      <c r="D37" s="1" t="s">
        <v>49</v>
      </c>
      <c r="E37" s="1" t="s">
        <v>49</v>
      </c>
      <c r="F37" s="1" t="s">
        <v>49</v>
      </c>
      <c r="G37" s="1" t="s">
        <v>49</v>
      </c>
      <c r="H37" s="1" t="s">
        <v>49</v>
      </c>
      <c r="I37" s="1" t="s">
        <v>49</v>
      </c>
    </row>
    <row r="38" spans="1:9">
      <c r="A38" s="1" t="s">
        <v>119</v>
      </c>
      <c r="B38" s="1">
        <v>2</v>
      </c>
      <c r="C38" s="1" t="s">
        <v>40</v>
      </c>
      <c r="D38" s="1" t="s">
        <v>25</v>
      </c>
      <c r="E38" s="1" t="s">
        <v>25</v>
      </c>
      <c r="F38" s="1" t="s">
        <v>447</v>
      </c>
      <c r="G38" s="1" t="s">
        <v>447</v>
      </c>
    </row>
    <row r="39" spans="1:9">
      <c r="A39" s="1" t="s">
        <v>120</v>
      </c>
      <c r="B39" s="1">
        <v>2</v>
      </c>
      <c r="C39" s="1" t="s">
        <v>40</v>
      </c>
      <c r="D39" s="1" t="s">
        <v>25</v>
      </c>
      <c r="E39" s="1" t="s">
        <v>25</v>
      </c>
      <c r="F39" s="1" t="s">
        <v>26</v>
      </c>
      <c r="G39" s="1" t="s">
        <v>26</v>
      </c>
    </row>
    <row r="40" spans="1:9">
      <c r="A40" s="1" t="s">
        <v>118</v>
      </c>
      <c r="B40" s="1">
        <v>2</v>
      </c>
      <c r="C40" s="1" t="s">
        <v>40</v>
      </c>
      <c r="D40" s="1" t="s">
        <v>25</v>
      </c>
      <c r="E40" s="1" t="s">
        <v>25</v>
      </c>
      <c r="F40" s="1" t="s">
        <v>25</v>
      </c>
      <c r="G40" s="1" t="s">
        <v>25</v>
      </c>
      <c r="H40" s="1" t="s">
        <v>28</v>
      </c>
      <c r="I40" s="1" t="s">
        <v>28</v>
      </c>
    </row>
    <row r="41" spans="1:9">
      <c r="A41" s="1" t="s">
        <v>100</v>
      </c>
      <c r="B41" s="1">
        <v>2</v>
      </c>
      <c r="C41" s="1" t="s">
        <v>40</v>
      </c>
      <c r="D41" s="1" t="s">
        <v>34</v>
      </c>
      <c r="E41" s="1" t="s">
        <v>34</v>
      </c>
      <c r="F41" s="1" t="s">
        <v>447</v>
      </c>
      <c r="G41" s="1" t="s">
        <v>447</v>
      </c>
    </row>
    <row r="42" spans="1:9">
      <c r="A42" s="1" t="s">
        <v>101</v>
      </c>
      <c r="B42" s="1">
        <v>2</v>
      </c>
      <c r="C42" s="1" t="s">
        <v>40</v>
      </c>
      <c r="D42" s="1" t="s">
        <v>34</v>
      </c>
      <c r="E42" s="1" t="s">
        <v>34</v>
      </c>
      <c r="F42" s="1" t="s">
        <v>26</v>
      </c>
      <c r="G42" s="1" t="s">
        <v>26</v>
      </c>
    </row>
    <row r="43" spans="1:9">
      <c r="A43" s="1" t="s">
        <v>99</v>
      </c>
      <c r="B43" s="1">
        <v>2</v>
      </c>
      <c r="C43" s="1" t="s">
        <v>40</v>
      </c>
      <c r="D43" s="1" t="s">
        <v>34</v>
      </c>
      <c r="E43" s="1" t="s">
        <v>34</v>
      </c>
      <c r="F43" s="1" t="s">
        <v>28</v>
      </c>
      <c r="G43" s="1" t="s">
        <v>28</v>
      </c>
    </row>
    <row r="44" spans="1:9">
      <c r="A44" s="1" t="s">
        <v>121</v>
      </c>
      <c r="B44" s="1">
        <v>2</v>
      </c>
      <c r="C44" s="1" t="s">
        <v>40</v>
      </c>
      <c r="D44" s="1" t="s">
        <v>382</v>
      </c>
      <c r="E44" s="1" t="s">
        <v>25</v>
      </c>
      <c r="F44" s="1" t="s">
        <v>25</v>
      </c>
      <c r="G44" s="1" t="s">
        <v>25</v>
      </c>
      <c r="H44" s="1" t="s">
        <v>25</v>
      </c>
    </row>
    <row r="45" spans="1:9">
      <c r="A45" s="1" t="s">
        <v>102</v>
      </c>
      <c r="B45" s="1">
        <v>2</v>
      </c>
      <c r="C45" s="1" t="s">
        <v>40</v>
      </c>
      <c r="D45" s="1" t="s">
        <v>380</v>
      </c>
      <c r="E45" s="1" t="s">
        <v>34</v>
      </c>
      <c r="F45" s="1" t="s">
        <v>34</v>
      </c>
      <c r="G45" s="1" t="s">
        <v>34</v>
      </c>
      <c r="H45" s="1" t="s">
        <v>34</v>
      </c>
    </row>
    <row r="46" spans="1:9">
      <c r="A46" s="1" t="s">
        <v>114</v>
      </c>
      <c r="B46" s="1">
        <v>2</v>
      </c>
      <c r="C46" s="1" t="s">
        <v>40</v>
      </c>
      <c r="D46" s="1" t="s">
        <v>381</v>
      </c>
      <c r="E46" s="1" t="s">
        <v>26</v>
      </c>
      <c r="F46" s="1" t="s">
        <v>26</v>
      </c>
      <c r="G46" s="1" t="s">
        <v>26</v>
      </c>
      <c r="H46" s="1" t="s">
        <v>26</v>
      </c>
    </row>
    <row r="47" spans="1:9">
      <c r="A47" s="1" t="s">
        <v>200</v>
      </c>
      <c r="B47" s="1">
        <v>2</v>
      </c>
      <c r="C47" s="1" t="s">
        <v>40</v>
      </c>
      <c r="D47" s="1" t="s">
        <v>383</v>
      </c>
      <c r="E47" s="1" t="s">
        <v>447</v>
      </c>
      <c r="F47" s="1" t="s">
        <v>447</v>
      </c>
    </row>
    <row r="48" spans="1:9">
      <c r="A48" s="1" t="s">
        <v>201</v>
      </c>
      <c r="B48" s="1">
        <v>2</v>
      </c>
      <c r="C48" s="1" t="s">
        <v>40</v>
      </c>
      <c r="D48" s="1" t="s">
        <v>384</v>
      </c>
      <c r="E48" s="1" t="s">
        <v>28</v>
      </c>
      <c r="F48" s="1" t="s">
        <v>28</v>
      </c>
      <c r="G48" s="1" t="s">
        <v>28</v>
      </c>
      <c r="H48" s="1" t="s">
        <v>28</v>
      </c>
    </row>
    <row r="49" spans="1:11">
      <c r="A49" s="1" t="s">
        <v>202</v>
      </c>
      <c r="B49" s="1">
        <v>2</v>
      </c>
      <c r="C49" s="1" t="s">
        <v>40</v>
      </c>
      <c r="D49" s="1" t="s">
        <v>385</v>
      </c>
      <c r="E49" s="1" t="s">
        <v>448</v>
      </c>
      <c r="F49" s="1" t="s">
        <v>448</v>
      </c>
    </row>
    <row r="50" spans="1:11">
      <c r="A50" s="1" t="s">
        <v>124</v>
      </c>
      <c r="B50" s="1">
        <v>2</v>
      </c>
      <c r="C50" s="1" t="s">
        <v>40</v>
      </c>
      <c r="D50" s="1" t="s">
        <v>382</v>
      </c>
      <c r="E50" s="1" t="s">
        <v>25</v>
      </c>
      <c r="F50" s="1" t="s">
        <v>25</v>
      </c>
      <c r="G50" s="1" t="s">
        <v>26</v>
      </c>
      <c r="H50" s="1" t="s">
        <v>26</v>
      </c>
    </row>
    <row r="51" spans="1:11">
      <c r="A51" s="1" t="s">
        <v>123</v>
      </c>
      <c r="B51" s="1">
        <v>2</v>
      </c>
      <c r="C51" s="1" t="s">
        <v>40</v>
      </c>
      <c r="D51" s="1" t="s">
        <v>382</v>
      </c>
      <c r="E51" s="1" t="s">
        <v>25</v>
      </c>
      <c r="F51" s="1" t="s">
        <v>25</v>
      </c>
      <c r="G51" s="1" t="s">
        <v>447</v>
      </c>
      <c r="H51" s="1" t="s">
        <v>447</v>
      </c>
    </row>
    <row r="52" spans="1:11">
      <c r="A52" s="1" t="s">
        <v>122</v>
      </c>
      <c r="B52" s="1">
        <v>2</v>
      </c>
      <c r="C52" s="1" t="s">
        <v>40</v>
      </c>
      <c r="D52" s="1" t="s">
        <v>382</v>
      </c>
      <c r="E52" s="1" t="s">
        <v>25</v>
      </c>
      <c r="F52" s="1" t="s">
        <v>25</v>
      </c>
      <c r="G52" s="1" t="s">
        <v>28</v>
      </c>
      <c r="H52" s="1" t="s">
        <v>28</v>
      </c>
    </row>
    <row r="53" spans="1:11">
      <c r="A53" s="1" t="s">
        <v>105</v>
      </c>
      <c r="B53" s="1">
        <v>2</v>
      </c>
      <c r="C53" s="1" t="s">
        <v>40</v>
      </c>
      <c r="D53" s="1" t="s">
        <v>380</v>
      </c>
      <c r="E53" s="1" t="s">
        <v>34</v>
      </c>
      <c r="F53" s="1" t="s">
        <v>34</v>
      </c>
      <c r="G53" s="1" t="s">
        <v>26</v>
      </c>
      <c r="H53" s="1" t="s">
        <v>26</v>
      </c>
    </row>
    <row r="54" spans="1:11">
      <c r="A54" s="1" t="s">
        <v>104</v>
      </c>
      <c r="B54" s="1">
        <v>2</v>
      </c>
      <c r="C54" s="1" t="s">
        <v>40</v>
      </c>
      <c r="D54" s="1" t="s">
        <v>380</v>
      </c>
      <c r="E54" s="1" t="s">
        <v>34</v>
      </c>
      <c r="F54" s="1" t="s">
        <v>34</v>
      </c>
      <c r="G54" s="1" t="s">
        <v>447</v>
      </c>
    </row>
    <row r="55" spans="1:11">
      <c r="A55" s="1" t="s">
        <v>103</v>
      </c>
      <c r="B55" s="1">
        <v>2</v>
      </c>
      <c r="C55" s="1" t="s">
        <v>40</v>
      </c>
      <c r="D55" s="1" t="s">
        <v>380</v>
      </c>
      <c r="E55" s="1" t="s">
        <v>34</v>
      </c>
      <c r="F55" s="1" t="s">
        <v>34</v>
      </c>
      <c r="G55" s="1" t="s">
        <v>28</v>
      </c>
      <c r="H55" s="1" t="s">
        <v>28</v>
      </c>
    </row>
    <row r="56" spans="1:11">
      <c r="A56" s="1" t="s">
        <v>116</v>
      </c>
      <c r="B56" s="1">
        <v>2</v>
      </c>
      <c r="C56" s="1" t="s">
        <v>40</v>
      </c>
      <c r="D56" s="1" t="s">
        <v>381</v>
      </c>
      <c r="E56" s="1" t="s">
        <v>26</v>
      </c>
      <c r="F56" s="1" t="s">
        <v>26</v>
      </c>
      <c r="G56" s="1" t="s">
        <v>25</v>
      </c>
      <c r="H56" s="1" t="s">
        <v>25</v>
      </c>
    </row>
    <row r="57" spans="1:11">
      <c r="A57" s="1" t="s">
        <v>115</v>
      </c>
      <c r="B57" s="1">
        <v>2</v>
      </c>
      <c r="C57" s="1" t="s">
        <v>40</v>
      </c>
      <c r="D57" s="1" t="s">
        <v>381</v>
      </c>
      <c r="E57" s="1" t="s">
        <v>26</v>
      </c>
      <c r="F57" s="1" t="s">
        <v>26</v>
      </c>
      <c r="G57" s="1" t="s">
        <v>34</v>
      </c>
      <c r="H57" s="1" t="s">
        <v>34</v>
      </c>
      <c r="I57" s="1" t="s">
        <v>34</v>
      </c>
    </row>
    <row r="58" spans="1:11">
      <c r="A58" s="1" t="s">
        <v>108</v>
      </c>
      <c r="B58" s="1">
        <v>2</v>
      </c>
      <c r="C58" s="1" t="s">
        <v>40</v>
      </c>
      <c r="D58" s="1" t="s">
        <v>384</v>
      </c>
      <c r="E58" s="1" t="s">
        <v>28</v>
      </c>
      <c r="F58" s="1" t="s">
        <v>28</v>
      </c>
      <c r="G58" s="1" t="s">
        <v>25</v>
      </c>
      <c r="H58" s="1" t="s">
        <v>25</v>
      </c>
    </row>
    <row r="59" spans="1:11">
      <c r="A59" s="1" t="s">
        <v>107</v>
      </c>
      <c r="B59" s="1">
        <v>2</v>
      </c>
      <c r="C59" s="1" t="s">
        <v>40</v>
      </c>
      <c r="D59" s="1" t="s">
        <v>384</v>
      </c>
      <c r="E59" s="1" t="s">
        <v>28</v>
      </c>
      <c r="F59" s="1" t="s">
        <v>28</v>
      </c>
      <c r="G59" s="1" t="s">
        <v>34</v>
      </c>
      <c r="H59" s="1" t="s">
        <v>34</v>
      </c>
    </row>
    <row r="60" spans="1:11">
      <c r="A60" s="1" t="s">
        <v>112</v>
      </c>
      <c r="B60" s="1">
        <v>2</v>
      </c>
      <c r="C60" s="1" t="s">
        <v>40</v>
      </c>
      <c r="D60" s="1" t="s">
        <v>383</v>
      </c>
      <c r="E60" s="1" t="s">
        <v>447</v>
      </c>
      <c r="F60" s="1" t="s">
        <v>447</v>
      </c>
      <c r="G60" s="1" t="s">
        <v>25</v>
      </c>
      <c r="H60" s="1" t="s">
        <v>25</v>
      </c>
    </row>
    <row r="61" spans="1:11">
      <c r="A61" s="1" t="s">
        <v>111</v>
      </c>
      <c r="B61" s="1">
        <v>2</v>
      </c>
      <c r="C61" s="1" t="s">
        <v>40</v>
      </c>
      <c r="D61" s="1" t="s">
        <v>383</v>
      </c>
      <c r="E61" s="1" t="s">
        <v>447</v>
      </c>
      <c r="F61" s="1" t="s">
        <v>447</v>
      </c>
      <c r="G61" s="1" t="s">
        <v>34</v>
      </c>
      <c r="H61" s="1" t="s">
        <v>34</v>
      </c>
    </row>
    <row r="62" spans="1:11">
      <c r="A62" s="1" t="s">
        <v>86</v>
      </c>
      <c r="B62" s="1">
        <v>2</v>
      </c>
      <c r="C62" s="1" t="s">
        <v>40</v>
      </c>
      <c r="D62" s="1" t="s">
        <v>25</v>
      </c>
      <c r="E62" s="1" t="s">
        <v>25</v>
      </c>
      <c r="F62" s="1" t="s">
        <v>25</v>
      </c>
      <c r="G62" s="1" t="s">
        <v>25</v>
      </c>
      <c r="H62" s="1" t="s">
        <v>25</v>
      </c>
      <c r="I62" s="1" t="s">
        <v>25</v>
      </c>
      <c r="J62" s="1" t="s">
        <v>447</v>
      </c>
      <c r="K62" s="1" t="s">
        <v>447</v>
      </c>
    </row>
    <row r="63" spans="1:11">
      <c r="A63" s="1" t="s">
        <v>87</v>
      </c>
      <c r="B63" s="1">
        <v>2</v>
      </c>
      <c r="C63" s="1" t="s">
        <v>40</v>
      </c>
      <c r="D63" s="1" t="s">
        <v>25</v>
      </c>
      <c r="E63" s="1" t="s">
        <v>25</v>
      </c>
      <c r="F63" s="1" t="s">
        <v>25</v>
      </c>
      <c r="G63" s="1" t="s">
        <v>25</v>
      </c>
      <c r="H63" s="1" t="s">
        <v>26</v>
      </c>
      <c r="I63" s="1" t="s">
        <v>26</v>
      </c>
      <c r="J63" s="1" t="s">
        <v>26</v>
      </c>
      <c r="K63" s="1" t="s">
        <v>26</v>
      </c>
    </row>
    <row r="64" spans="1:11">
      <c r="A64" s="1" t="s">
        <v>85</v>
      </c>
      <c r="B64" s="1">
        <v>2</v>
      </c>
      <c r="C64" s="1" t="s">
        <v>40</v>
      </c>
      <c r="D64" s="1" t="s">
        <v>25</v>
      </c>
      <c r="E64" s="1" t="s">
        <v>25</v>
      </c>
      <c r="F64" s="1" t="s">
        <v>25</v>
      </c>
      <c r="G64" s="1" t="s">
        <v>25</v>
      </c>
      <c r="H64" s="1" t="s">
        <v>28</v>
      </c>
      <c r="I64" s="1" t="s">
        <v>28</v>
      </c>
      <c r="J64" s="1" t="s">
        <v>28</v>
      </c>
      <c r="K64" s="1" t="s">
        <v>28</v>
      </c>
    </row>
    <row r="65" spans="1:11">
      <c r="A65" s="1" t="s">
        <v>203</v>
      </c>
      <c r="B65" s="1">
        <v>2</v>
      </c>
      <c r="C65" s="1" t="s">
        <v>40</v>
      </c>
      <c r="D65" s="1" t="s">
        <v>34</v>
      </c>
      <c r="E65" s="1" t="s">
        <v>34</v>
      </c>
      <c r="F65" s="1" t="s">
        <v>34</v>
      </c>
      <c r="G65" s="1" t="s">
        <v>34</v>
      </c>
      <c r="H65" s="1" t="s">
        <v>34</v>
      </c>
      <c r="I65" s="1" t="s">
        <v>34</v>
      </c>
      <c r="J65" s="1" t="s">
        <v>447</v>
      </c>
      <c r="K65" s="1" t="s">
        <v>447</v>
      </c>
    </row>
    <row r="66" spans="1:11">
      <c r="A66" s="1" t="s">
        <v>68</v>
      </c>
      <c r="B66" s="1">
        <v>2</v>
      </c>
      <c r="C66" s="1" t="s">
        <v>40</v>
      </c>
      <c r="D66" s="1" t="s">
        <v>34</v>
      </c>
      <c r="E66" s="1" t="s">
        <v>34</v>
      </c>
      <c r="F66" s="1" t="s">
        <v>34</v>
      </c>
      <c r="G66" s="1" t="s">
        <v>34</v>
      </c>
      <c r="H66" s="1" t="s">
        <v>26</v>
      </c>
      <c r="I66" s="1" t="s">
        <v>26</v>
      </c>
      <c r="J66" s="1" t="s">
        <v>26</v>
      </c>
      <c r="K66" s="1" t="s">
        <v>26</v>
      </c>
    </row>
    <row r="67" spans="1:11">
      <c r="A67" s="1" t="s">
        <v>67</v>
      </c>
      <c r="B67" s="1">
        <v>2</v>
      </c>
      <c r="C67" s="1" t="s">
        <v>40</v>
      </c>
      <c r="D67" s="1" t="s">
        <v>34</v>
      </c>
      <c r="E67" s="1" t="s">
        <v>34</v>
      </c>
      <c r="F67" s="1" t="s">
        <v>34</v>
      </c>
      <c r="G67" s="1" t="s">
        <v>34</v>
      </c>
      <c r="H67" s="1" t="s">
        <v>34</v>
      </c>
      <c r="I67" s="1" t="s">
        <v>34</v>
      </c>
      <c r="J67" s="1" t="s">
        <v>28</v>
      </c>
      <c r="K67" s="1" t="s">
        <v>28</v>
      </c>
    </row>
    <row r="68" spans="1:11">
      <c r="A68" s="1" t="s">
        <v>204</v>
      </c>
      <c r="B68" s="1">
        <v>2</v>
      </c>
      <c r="C68" s="1" t="s">
        <v>40</v>
      </c>
      <c r="D68" s="1" t="s">
        <v>25</v>
      </c>
      <c r="E68" s="1" t="s">
        <v>25</v>
      </c>
      <c r="F68" s="1" t="s">
        <v>25</v>
      </c>
      <c r="G68" s="1" t="s">
        <v>25</v>
      </c>
      <c r="H68" s="1" t="s">
        <v>34</v>
      </c>
      <c r="I68" s="1" t="s">
        <v>34</v>
      </c>
      <c r="J68" s="1" t="s">
        <v>26</v>
      </c>
      <c r="K68" s="1" t="s">
        <v>26</v>
      </c>
    </row>
    <row r="69" spans="1:11">
      <c r="A69" s="1" t="s">
        <v>205</v>
      </c>
      <c r="B69" s="1">
        <v>2</v>
      </c>
      <c r="C69" s="1" t="s">
        <v>40</v>
      </c>
      <c r="D69" s="1" t="s">
        <v>25</v>
      </c>
      <c r="E69" s="1" t="s">
        <v>25</v>
      </c>
      <c r="F69" s="1" t="s">
        <v>25</v>
      </c>
      <c r="G69" s="1" t="s">
        <v>25</v>
      </c>
      <c r="H69" s="1" t="s">
        <v>34</v>
      </c>
      <c r="I69" s="1" t="s">
        <v>34</v>
      </c>
      <c r="J69" s="1" t="s">
        <v>447</v>
      </c>
      <c r="K69" s="1" t="s">
        <v>447</v>
      </c>
    </row>
    <row r="70" spans="1:11">
      <c r="A70" s="1" t="s">
        <v>206</v>
      </c>
      <c r="B70" s="1">
        <v>2</v>
      </c>
      <c r="C70" s="1" t="s">
        <v>40</v>
      </c>
      <c r="D70" s="1" t="s">
        <v>25</v>
      </c>
      <c r="E70" s="1" t="s">
        <v>25</v>
      </c>
      <c r="F70" s="1" t="s">
        <v>25</v>
      </c>
      <c r="G70" s="1" t="s">
        <v>25</v>
      </c>
      <c r="H70" s="1" t="s">
        <v>34</v>
      </c>
      <c r="I70" s="1" t="s">
        <v>34</v>
      </c>
      <c r="J70" s="1" t="s">
        <v>28</v>
      </c>
      <c r="K70" s="1" t="s">
        <v>28</v>
      </c>
    </row>
    <row r="71" spans="1:11">
      <c r="A71" s="1" t="s">
        <v>207</v>
      </c>
      <c r="B71" s="1">
        <v>2</v>
      </c>
      <c r="C71" s="1" t="s">
        <v>40</v>
      </c>
      <c r="D71" s="1" t="s">
        <v>34</v>
      </c>
      <c r="E71" s="1" t="s">
        <v>34</v>
      </c>
      <c r="F71" s="1" t="s">
        <v>26</v>
      </c>
      <c r="G71" s="1" t="s">
        <v>26</v>
      </c>
      <c r="H71" s="1" t="s">
        <v>447</v>
      </c>
      <c r="I71" s="1" t="s">
        <v>447</v>
      </c>
      <c r="J71" s="1" t="s">
        <v>447</v>
      </c>
      <c r="K71" s="1" t="s">
        <v>447</v>
      </c>
    </row>
    <row r="72" spans="1:11">
      <c r="A72" s="1" t="s">
        <v>208</v>
      </c>
      <c r="B72" s="1">
        <v>2</v>
      </c>
      <c r="C72" s="1" t="s">
        <v>40</v>
      </c>
      <c r="D72" s="1" t="s">
        <v>34</v>
      </c>
      <c r="E72" s="1" t="s">
        <v>34</v>
      </c>
      <c r="F72" s="1" t="s">
        <v>26</v>
      </c>
      <c r="G72" s="1" t="s">
        <v>26</v>
      </c>
      <c r="H72" s="1" t="s">
        <v>26</v>
      </c>
      <c r="I72" s="1" t="s">
        <v>26</v>
      </c>
      <c r="J72" s="1" t="s">
        <v>28</v>
      </c>
      <c r="K72" s="1" t="s">
        <v>28</v>
      </c>
    </row>
    <row r="73" spans="1:11">
      <c r="A73" s="1" t="s">
        <v>209</v>
      </c>
      <c r="B73" s="1">
        <v>2</v>
      </c>
      <c r="C73" s="1" t="s">
        <v>40</v>
      </c>
      <c r="D73" s="1" t="s">
        <v>34</v>
      </c>
      <c r="E73" s="1" t="s">
        <v>34</v>
      </c>
      <c r="F73" s="1" t="s">
        <v>447</v>
      </c>
      <c r="G73" s="1" t="s">
        <v>447</v>
      </c>
      <c r="H73" s="1" t="s">
        <v>28</v>
      </c>
      <c r="I73" s="1" t="s">
        <v>28</v>
      </c>
      <c r="J73" s="1" t="s">
        <v>28</v>
      </c>
      <c r="K73" s="1" t="s">
        <v>28</v>
      </c>
    </row>
    <row r="74" spans="1:11">
      <c r="A74" s="1" t="s">
        <v>210</v>
      </c>
      <c r="B74" s="1">
        <v>2</v>
      </c>
      <c r="C74" s="1" t="s">
        <v>40</v>
      </c>
      <c r="D74" s="1" t="s">
        <v>25</v>
      </c>
      <c r="E74" s="1" t="s">
        <v>25</v>
      </c>
      <c r="F74" s="1" t="s">
        <v>25</v>
      </c>
      <c r="G74" s="1" t="s">
        <v>25</v>
      </c>
      <c r="H74" s="1" t="s">
        <v>26</v>
      </c>
      <c r="I74" s="1" t="s">
        <v>26</v>
      </c>
      <c r="J74" s="1" t="s">
        <v>447</v>
      </c>
      <c r="K74" s="1" t="s">
        <v>447</v>
      </c>
    </row>
    <row r="75" spans="1:11">
      <c r="A75" s="1" t="s">
        <v>88</v>
      </c>
      <c r="B75" s="1">
        <v>2</v>
      </c>
      <c r="C75" s="1" t="s">
        <v>40</v>
      </c>
      <c r="D75" s="1" t="s">
        <v>25</v>
      </c>
      <c r="E75" s="1" t="s">
        <v>25</v>
      </c>
      <c r="F75" s="1" t="s">
        <v>25</v>
      </c>
      <c r="G75" s="1" t="s">
        <v>25</v>
      </c>
      <c r="H75" s="1" t="s">
        <v>26</v>
      </c>
      <c r="I75" s="1" t="s">
        <v>26</v>
      </c>
      <c r="J75" s="1" t="s">
        <v>28</v>
      </c>
      <c r="K75" s="1" t="s">
        <v>28</v>
      </c>
    </row>
    <row r="76" spans="1:11">
      <c r="A76" s="1" t="s">
        <v>211</v>
      </c>
      <c r="B76" s="1">
        <v>2</v>
      </c>
      <c r="C76" s="1" t="s">
        <v>40</v>
      </c>
      <c r="D76" s="1" t="s">
        <v>25</v>
      </c>
      <c r="E76" s="1" t="s">
        <v>25</v>
      </c>
      <c r="F76" s="1" t="s">
        <v>447</v>
      </c>
      <c r="G76" s="1" t="s">
        <v>447</v>
      </c>
      <c r="H76" s="1" t="s">
        <v>447</v>
      </c>
      <c r="I76" s="1" t="s">
        <v>447</v>
      </c>
      <c r="J76" s="1" t="s">
        <v>28</v>
      </c>
      <c r="K76" s="1" t="s">
        <v>28</v>
      </c>
    </row>
    <row r="77" spans="1:11">
      <c r="A77" s="1" t="s">
        <v>94</v>
      </c>
      <c r="B77" s="1">
        <v>2</v>
      </c>
      <c r="C77" s="1" t="s">
        <v>40</v>
      </c>
      <c r="D77" s="1" t="s">
        <v>382</v>
      </c>
      <c r="E77" s="1" t="s">
        <v>25</v>
      </c>
      <c r="F77" s="1" t="s">
        <v>25</v>
      </c>
      <c r="G77" s="1" t="s">
        <v>26</v>
      </c>
      <c r="H77" s="1" t="s">
        <v>26</v>
      </c>
      <c r="I77" s="1" t="s">
        <v>26</v>
      </c>
      <c r="J77" s="1" t="s">
        <v>26</v>
      </c>
    </row>
    <row r="78" spans="1:11">
      <c r="A78" s="1" t="s">
        <v>92</v>
      </c>
      <c r="B78" s="1">
        <v>2</v>
      </c>
      <c r="C78" s="1" t="s">
        <v>40</v>
      </c>
      <c r="D78" s="1" t="s">
        <v>382</v>
      </c>
      <c r="E78" s="1" t="s">
        <v>25</v>
      </c>
      <c r="F78" s="1" t="s">
        <v>25</v>
      </c>
      <c r="G78" s="1" t="s">
        <v>447</v>
      </c>
      <c r="H78" s="1" t="s">
        <v>447</v>
      </c>
      <c r="I78" s="1" t="s">
        <v>447</v>
      </c>
      <c r="J78" s="1" t="s">
        <v>447</v>
      </c>
    </row>
    <row r="79" spans="1:11">
      <c r="A79" s="1" t="s">
        <v>90</v>
      </c>
      <c r="B79" s="1">
        <v>2</v>
      </c>
      <c r="C79" s="1" t="s">
        <v>40</v>
      </c>
      <c r="D79" s="1" t="s">
        <v>382</v>
      </c>
      <c r="E79" s="1" t="s">
        <v>25</v>
      </c>
      <c r="F79" s="1" t="s">
        <v>25</v>
      </c>
      <c r="G79" s="1" t="s">
        <v>28</v>
      </c>
      <c r="H79" s="1" t="s">
        <v>28</v>
      </c>
      <c r="I79" s="1" t="s">
        <v>28</v>
      </c>
      <c r="J79" s="1" t="s">
        <v>28</v>
      </c>
    </row>
    <row r="80" spans="1:11">
      <c r="A80" s="1" t="s">
        <v>74</v>
      </c>
      <c r="B80" s="1">
        <v>2</v>
      </c>
      <c r="C80" s="1" t="s">
        <v>40</v>
      </c>
      <c r="D80" s="1" t="s">
        <v>380</v>
      </c>
      <c r="E80" s="1" t="s">
        <v>34</v>
      </c>
      <c r="F80" s="1" t="s">
        <v>34</v>
      </c>
      <c r="G80" s="1" t="s">
        <v>26</v>
      </c>
      <c r="H80" s="1" t="s">
        <v>26</v>
      </c>
      <c r="I80" s="1" t="s">
        <v>26</v>
      </c>
    </row>
    <row r="81" spans="1:12">
      <c r="A81" s="1" t="s">
        <v>73</v>
      </c>
      <c r="B81" s="1">
        <v>2</v>
      </c>
      <c r="C81" s="1" t="s">
        <v>40</v>
      </c>
      <c r="D81" s="1" t="s">
        <v>380</v>
      </c>
      <c r="E81" s="1" t="s">
        <v>34</v>
      </c>
      <c r="F81" s="1" t="s">
        <v>34</v>
      </c>
      <c r="G81" s="1" t="s">
        <v>34</v>
      </c>
      <c r="H81" s="1" t="s">
        <v>34</v>
      </c>
      <c r="I81" s="1" t="s">
        <v>447</v>
      </c>
      <c r="J81" s="1" t="s">
        <v>447</v>
      </c>
    </row>
    <row r="82" spans="1:12">
      <c r="A82" s="1" t="s">
        <v>71</v>
      </c>
      <c r="B82" s="1">
        <v>2</v>
      </c>
      <c r="C82" s="1" t="s">
        <v>40</v>
      </c>
      <c r="D82" s="1" t="s">
        <v>380</v>
      </c>
      <c r="E82" s="1" t="s">
        <v>34</v>
      </c>
      <c r="F82" s="1" t="s">
        <v>34</v>
      </c>
      <c r="G82" s="1" t="s">
        <v>34</v>
      </c>
      <c r="H82" s="1" t="s">
        <v>34</v>
      </c>
      <c r="I82" s="1" t="s">
        <v>28</v>
      </c>
      <c r="J82" s="1" t="s">
        <v>28</v>
      </c>
    </row>
    <row r="83" spans="1:12">
      <c r="A83" s="1" t="s">
        <v>212</v>
      </c>
      <c r="B83" s="1">
        <v>2</v>
      </c>
      <c r="C83" s="1" t="s">
        <v>40</v>
      </c>
      <c r="D83" s="1" t="s">
        <v>880</v>
      </c>
      <c r="E83" s="1" t="s">
        <v>25</v>
      </c>
      <c r="F83" s="1" t="s">
        <v>25</v>
      </c>
      <c r="G83" s="1" t="s">
        <v>26</v>
      </c>
      <c r="H83" s="1" t="s">
        <v>26</v>
      </c>
      <c r="I83" s="1" t="s">
        <v>26</v>
      </c>
      <c r="J83" s="1" t="s">
        <v>26</v>
      </c>
    </row>
    <row r="84" spans="1:12">
      <c r="A84" s="1" t="s">
        <v>213</v>
      </c>
      <c r="B84" s="1">
        <v>2</v>
      </c>
      <c r="C84" s="1" t="s">
        <v>40</v>
      </c>
      <c r="D84" s="1" t="s">
        <v>880</v>
      </c>
      <c r="E84" s="1" t="s">
        <v>25</v>
      </c>
      <c r="F84" s="1" t="s">
        <v>25</v>
      </c>
      <c r="G84" s="1" t="s">
        <v>447</v>
      </c>
      <c r="H84" s="1" t="s">
        <v>447</v>
      </c>
    </row>
    <row r="85" spans="1:12">
      <c r="A85" s="1" t="s">
        <v>214</v>
      </c>
      <c r="B85" s="1">
        <v>2</v>
      </c>
      <c r="C85" s="1" t="s">
        <v>40</v>
      </c>
      <c r="D85" s="1" t="s">
        <v>880</v>
      </c>
      <c r="E85" s="1" t="s">
        <v>25</v>
      </c>
      <c r="F85" s="1" t="s">
        <v>25</v>
      </c>
      <c r="G85" s="1" t="s">
        <v>25</v>
      </c>
      <c r="H85" s="1" t="s">
        <v>25</v>
      </c>
      <c r="I85" s="1" t="s">
        <v>28</v>
      </c>
      <c r="J85" s="1" t="s">
        <v>28</v>
      </c>
    </row>
    <row r="86" spans="1:12">
      <c r="A86" s="1" t="s">
        <v>215</v>
      </c>
      <c r="B86" s="1">
        <v>2</v>
      </c>
      <c r="C86" s="1" t="s">
        <v>40</v>
      </c>
      <c r="D86" s="1" t="s">
        <v>619</v>
      </c>
      <c r="E86" s="1" t="s">
        <v>34</v>
      </c>
      <c r="F86" s="1" t="s">
        <v>34</v>
      </c>
      <c r="G86" s="1" t="s">
        <v>26</v>
      </c>
      <c r="H86" s="1" t="s">
        <v>26</v>
      </c>
    </row>
    <row r="87" spans="1:12">
      <c r="A87" s="1" t="s">
        <v>216</v>
      </c>
      <c r="B87" s="1">
        <v>2</v>
      </c>
      <c r="C87" s="1" t="s">
        <v>40</v>
      </c>
      <c r="D87" s="1" t="s">
        <v>619</v>
      </c>
      <c r="E87" s="1" t="s">
        <v>34</v>
      </c>
      <c r="F87" s="1" t="s">
        <v>34</v>
      </c>
      <c r="G87" s="1" t="s">
        <v>447</v>
      </c>
      <c r="H87" s="1" t="s">
        <v>447</v>
      </c>
    </row>
    <row r="88" spans="1:12">
      <c r="A88" s="1" t="s">
        <v>217</v>
      </c>
      <c r="B88" s="1">
        <v>2</v>
      </c>
      <c r="C88" s="1" t="s">
        <v>40</v>
      </c>
      <c r="D88" s="1" t="s">
        <v>619</v>
      </c>
      <c r="E88" s="1" t="s">
        <v>34</v>
      </c>
      <c r="F88" s="1" t="s">
        <v>34</v>
      </c>
      <c r="G88" s="1" t="s">
        <v>34</v>
      </c>
      <c r="H88" s="1" t="s">
        <v>34</v>
      </c>
      <c r="I88" s="1" t="s">
        <v>28</v>
      </c>
      <c r="J88" s="1" t="s">
        <v>28</v>
      </c>
    </row>
    <row r="89" spans="1:12">
      <c r="A89" s="1" t="s">
        <v>84</v>
      </c>
      <c r="B89" s="1">
        <v>2</v>
      </c>
      <c r="C89" s="1" t="s">
        <v>40</v>
      </c>
      <c r="D89" s="1" t="s">
        <v>381</v>
      </c>
      <c r="E89" s="1" t="s">
        <v>26</v>
      </c>
      <c r="F89" s="1" t="s">
        <v>26</v>
      </c>
      <c r="G89" s="1" t="s">
        <v>26</v>
      </c>
      <c r="H89" s="1" t="s">
        <v>26</v>
      </c>
      <c r="I89" s="1" t="s">
        <v>25</v>
      </c>
      <c r="J89" s="1" t="s">
        <v>25</v>
      </c>
      <c r="K89" s="1" t="s">
        <v>25</v>
      </c>
      <c r="L89" s="1" t="s">
        <v>25</v>
      </c>
    </row>
    <row r="90" spans="1:12">
      <c r="A90" s="1" t="s">
        <v>82</v>
      </c>
      <c r="B90" s="1">
        <v>2</v>
      </c>
      <c r="C90" s="1" t="s">
        <v>40</v>
      </c>
      <c r="D90" s="1" t="s">
        <v>381</v>
      </c>
      <c r="E90" s="1" t="s">
        <v>26</v>
      </c>
      <c r="F90" s="1" t="s">
        <v>26</v>
      </c>
      <c r="G90" s="1" t="s">
        <v>26</v>
      </c>
      <c r="H90" s="1" t="s">
        <v>26</v>
      </c>
      <c r="I90" s="1" t="s">
        <v>34</v>
      </c>
      <c r="J90" s="1" t="s">
        <v>34</v>
      </c>
      <c r="K90" s="1" t="s">
        <v>34</v>
      </c>
      <c r="L90" s="1" t="s">
        <v>34</v>
      </c>
    </row>
    <row r="91" spans="1:12">
      <c r="A91" s="1" t="s">
        <v>78</v>
      </c>
      <c r="B91" s="1">
        <v>2</v>
      </c>
      <c r="C91" s="1" t="s">
        <v>40</v>
      </c>
      <c r="D91" s="1" t="s">
        <v>384</v>
      </c>
      <c r="E91" s="1" t="s">
        <v>28</v>
      </c>
      <c r="F91" s="1" t="s">
        <v>28</v>
      </c>
      <c r="G91" s="1" t="s">
        <v>25</v>
      </c>
      <c r="H91" s="1" t="s">
        <v>25</v>
      </c>
      <c r="I91" s="1" t="s">
        <v>25</v>
      </c>
      <c r="J91" s="1" t="s">
        <v>25</v>
      </c>
    </row>
    <row r="92" spans="1:12">
      <c r="A92" s="1" t="s">
        <v>76</v>
      </c>
      <c r="B92" s="1">
        <v>2</v>
      </c>
      <c r="C92" s="1" t="s">
        <v>40</v>
      </c>
      <c r="D92" s="1" t="s">
        <v>384</v>
      </c>
      <c r="E92" s="1" t="s">
        <v>28</v>
      </c>
      <c r="F92" s="1" t="s">
        <v>28</v>
      </c>
      <c r="G92" s="1" t="s">
        <v>28</v>
      </c>
      <c r="H92" s="1" t="s">
        <v>28</v>
      </c>
      <c r="I92" s="1" t="s">
        <v>34</v>
      </c>
      <c r="J92" s="1" t="s">
        <v>34</v>
      </c>
      <c r="K92" s="1" t="s">
        <v>34</v>
      </c>
      <c r="L92" s="1" t="s">
        <v>34</v>
      </c>
    </row>
    <row r="93" spans="1:12">
      <c r="A93" s="1" t="s">
        <v>81</v>
      </c>
      <c r="B93" s="1">
        <v>2</v>
      </c>
      <c r="C93" s="1" t="s">
        <v>40</v>
      </c>
      <c r="D93" s="1" t="s">
        <v>383</v>
      </c>
      <c r="E93" s="1" t="s">
        <v>447</v>
      </c>
      <c r="F93" s="1" t="s">
        <v>447</v>
      </c>
      <c r="G93" s="1" t="s">
        <v>25</v>
      </c>
      <c r="H93" s="1" t="s">
        <v>25</v>
      </c>
      <c r="I93" s="1" t="s">
        <v>25</v>
      </c>
      <c r="J93" s="1" t="s">
        <v>25</v>
      </c>
    </row>
    <row r="94" spans="1:12">
      <c r="A94" s="1" t="s">
        <v>79</v>
      </c>
      <c r="B94" s="1">
        <v>2</v>
      </c>
      <c r="C94" s="1" t="s">
        <v>40</v>
      </c>
      <c r="D94" s="1" t="s">
        <v>383</v>
      </c>
      <c r="E94" s="1" t="s">
        <v>447</v>
      </c>
      <c r="F94" s="1" t="s">
        <v>447</v>
      </c>
      <c r="G94" s="1" t="s">
        <v>34</v>
      </c>
      <c r="H94" s="1" t="s">
        <v>34</v>
      </c>
      <c r="I94" s="1" t="s">
        <v>34</v>
      </c>
      <c r="J94" s="1" t="s">
        <v>34</v>
      </c>
    </row>
    <row r="95" spans="1:12">
      <c r="A95" s="1" t="s">
        <v>218</v>
      </c>
      <c r="B95" s="1">
        <v>2</v>
      </c>
      <c r="C95" s="1" t="s">
        <v>40</v>
      </c>
      <c r="D95" s="1" t="s">
        <v>881</v>
      </c>
      <c r="E95" s="1" t="s">
        <v>26</v>
      </c>
      <c r="F95" s="1" t="s">
        <v>26</v>
      </c>
      <c r="G95" s="1" t="s">
        <v>25</v>
      </c>
      <c r="H95" s="1" t="s">
        <v>25</v>
      </c>
      <c r="I95" s="1" t="s">
        <v>25</v>
      </c>
      <c r="J95" s="1" t="s">
        <v>25</v>
      </c>
    </row>
    <row r="96" spans="1:12">
      <c r="A96" s="1" t="s">
        <v>219</v>
      </c>
      <c r="B96" s="1">
        <v>2</v>
      </c>
      <c r="C96" s="1" t="s">
        <v>40</v>
      </c>
      <c r="D96" s="1" t="s">
        <v>881</v>
      </c>
      <c r="E96" s="1" t="s">
        <v>26</v>
      </c>
      <c r="F96" s="1" t="s">
        <v>26</v>
      </c>
      <c r="G96" s="1" t="s">
        <v>34</v>
      </c>
      <c r="H96" s="1" t="s">
        <v>34</v>
      </c>
      <c r="I96" s="1" t="s">
        <v>34</v>
      </c>
      <c r="J96" s="1" t="s">
        <v>34</v>
      </c>
    </row>
    <row r="97" spans="1:12">
      <c r="A97" s="1" t="s">
        <v>220</v>
      </c>
      <c r="B97" s="1">
        <v>2</v>
      </c>
      <c r="C97" s="1" t="s">
        <v>40</v>
      </c>
      <c r="D97" s="1" t="s">
        <v>620</v>
      </c>
      <c r="E97" s="1" t="s">
        <v>28</v>
      </c>
      <c r="F97" s="1" t="s">
        <v>28</v>
      </c>
      <c r="G97" s="1" t="s">
        <v>28</v>
      </c>
      <c r="H97" s="1" t="s">
        <v>28</v>
      </c>
      <c r="I97" s="1" t="s">
        <v>25</v>
      </c>
      <c r="J97" s="1" t="s">
        <v>25</v>
      </c>
      <c r="K97" s="1" t="s">
        <v>25</v>
      </c>
      <c r="L97" s="1" t="s">
        <v>25</v>
      </c>
    </row>
    <row r="98" spans="1:12">
      <c r="A98" s="1" t="s">
        <v>221</v>
      </c>
      <c r="B98" s="1">
        <v>2</v>
      </c>
      <c r="C98" s="1" t="s">
        <v>40</v>
      </c>
      <c r="D98" s="1" t="s">
        <v>620</v>
      </c>
      <c r="E98" s="1" t="s">
        <v>28</v>
      </c>
      <c r="F98" s="1" t="s">
        <v>28</v>
      </c>
      <c r="G98" s="1" t="s">
        <v>28</v>
      </c>
      <c r="H98" s="1" t="s">
        <v>28</v>
      </c>
      <c r="I98" s="1" t="s">
        <v>34</v>
      </c>
      <c r="J98" s="1" t="s">
        <v>34</v>
      </c>
      <c r="K98" s="1" t="s">
        <v>34</v>
      </c>
      <c r="L98" s="1" t="s">
        <v>34</v>
      </c>
    </row>
    <row r="99" spans="1:12">
      <c r="A99" s="1" t="s">
        <v>222</v>
      </c>
      <c r="B99" s="1">
        <v>2</v>
      </c>
      <c r="C99" s="1" t="s">
        <v>40</v>
      </c>
      <c r="D99" s="1" t="s">
        <v>882</v>
      </c>
      <c r="E99" s="1" t="s">
        <v>447</v>
      </c>
      <c r="F99" s="1" t="s">
        <v>447</v>
      </c>
      <c r="G99" s="1" t="s">
        <v>25</v>
      </c>
      <c r="H99" s="1" t="s">
        <v>25</v>
      </c>
      <c r="I99" s="1" t="s">
        <v>25</v>
      </c>
      <c r="J99" s="1" t="s">
        <v>25</v>
      </c>
    </row>
    <row r="100" spans="1:12">
      <c r="A100" s="1" t="s">
        <v>223</v>
      </c>
      <c r="B100" s="1">
        <v>2</v>
      </c>
      <c r="C100" s="1" t="s">
        <v>40</v>
      </c>
      <c r="D100" s="1" t="s">
        <v>882</v>
      </c>
      <c r="E100" s="1" t="s">
        <v>447</v>
      </c>
      <c r="F100" s="1" t="s">
        <v>447</v>
      </c>
      <c r="G100" s="1" t="s">
        <v>34</v>
      </c>
      <c r="H100" s="1" t="s">
        <v>34</v>
      </c>
      <c r="I100" s="1" t="s">
        <v>34</v>
      </c>
      <c r="J100" s="1" t="s">
        <v>34</v>
      </c>
    </row>
    <row r="101" spans="1:12">
      <c r="A101" s="1" t="s">
        <v>96</v>
      </c>
      <c r="B101" s="1">
        <v>2</v>
      </c>
      <c r="C101" s="1" t="s">
        <v>40</v>
      </c>
      <c r="D101" s="1" t="s">
        <v>382</v>
      </c>
      <c r="E101" s="1" t="s">
        <v>382</v>
      </c>
      <c r="F101" s="1" t="s">
        <v>25</v>
      </c>
      <c r="G101" s="1" t="s">
        <v>25</v>
      </c>
      <c r="H101" s="1" t="s">
        <v>25</v>
      </c>
      <c r="I101" s="1" t="s">
        <v>25</v>
      </c>
      <c r="J101" s="1" t="s">
        <v>25</v>
      </c>
      <c r="K101" s="1" t="s">
        <v>25</v>
      </c>
    </row>
    <row r="102" spans="1:12">
      <c r="A102" s="1" t="s">
        <v>224</v>
      </c>
      <c r="B102" s="1">
        <v>2</v>
      </c>
      <c r="C102" s="1" t="s">
        <v>40</v>
      </c>
      <c r="D102" s="1" t="s">
        <v>382</v>
      </c>
      <c r="E102" s="1" t="s">
        <v>25</v>
      </c>
      <c r="F102" s="1" t="s">
        <v>25</v>
      </c>
      <c r="G102" s="1" t="s">
        <v>380</v>
      </c>
      <c r="H102" s="1" t="s">
        <v>34</v>
      </c>
      <c r="I102" s="1" t="s">
        <v>34</v>
      </c>
    </row>
    <row r="103" spans="1:12">
      <c r="A103" s="1" t="s">
        <v>95</v>
      </c>
      <c r="B103" s="1">
        <v>2</v>
      </c>
      <c r="C103" s="1" t="s">
        <v>40</v>
      </c>
      <c r="D103" s="1" t="s">
        <v>382</v>
      </c>
      <c r="E103" s="1" t="s">
        <v>25</v>
      </c>
      <c r="F103" s="1" t="s">
        <v>25</v>
      </c>
      <c r="G103" s="1" t="s">
        <v>381</v>
      </c>
      <c r="H103" s="1" t="s">
        <v>26</v>
      </c>
      <c r="I103" s="1" t="s">
        <v>26</v>
      </c>
      <c r="J103" s="1" t="s">
        <v>26</v>
      </c>
      <c r="K103" s="1" t="s">
        <v>26</v>
      </c>
    </row>
    <row r="104" spans="1:12">
      <c r="A104" s="1" t="s">
        <v>93</v>
      </c>
      <c r="B104" s="1">
        <v>2</v>
      </c>
      <c r="C104" s="1" t="s">
        <v>40</v>
      </c>
      <c r="D104" s="1" t="s">
        <v>382</v>
      </c>
      <c r="E104" s="1" t="s">
        <v>25</v>
      </c>
      <c r="F104" s="1" t="s">
        <v>25</v>
      </c>
      <c r="G104" s="1" t="s">
        <v>383</v>
      </c>
      <c r="H104" s="1" t="s">
        <v>447</v>
      </c>
      <c r="I104" s="1" t="s">
        <v>447</v>
      </c>
    </row>
    <row r="105" spans="1:12">
      <c r="A105" s="1" t="s">
        <v>91</v>
      </c>
      <c r="B105" s="1">
        <v>2</v>
      </c>
      <c r="C105" s="1" t="s">
        <v>40</v>
      </c>
      <c r="D105" s="1" t="s">
        <v>382</v>
      </c>
      <c r="E105" s="1" t="s">
        <v>25</v>
      </c>
      <c r="F105" s="1" t="s">
        <v>25</v>
      </c>
      <c r="G105" s="1" t="s">
        <v>384</v>
      </c>
      <c r="H105" s="1" t="s">
        <v>28</v>
      </c>
      <c r="I105" s="1" t="s">
        <v>28</v>
      </c>
      <c r="J105" s="1" t="s">
        <v>28</v>
      </c>
      <c r="K105" s="1" t="s">
        <v>28</v>
      </c>
    </row>
    <row r="106" spans="1:12">
      <c r="A106" s="1" t="s">
        <v>89</v>
      </c>
      <c r="B106" s="1">
        <v>2</v>
      </c>
      <c r="C106" s="1" t="s">
        <v>40</v>
      </c>
      <c r="D106" s="1" t="s">
        <v>382</v>
      </c>
      <c r="E106" s="1" t="s">
        <v>25</v>
      </c>
      <c r="F106" s="1" t="s">
        <v>25</v>
      </c>
      <c r="G106" s="1" t="s">
        <v>385</v>
      </c>
      <c r="H106" s="1" t="s">
        <v>448</v>
      </c>
      <c r="I106" s="1" t="s">
        <v>448</v>
      </c>
    </row>
    <row r="107" spans="1:12">
      <c r="A107" s="1" t="s">
        <v>70</v>
      </c>
      <c r="B107" s="1">
        <v>2</v>
      </c>
      <c r="C107" s="1" t="s">
        <v>40</v>
      </c>
      <c r="D107" s="1" t="s">
        <v>380</v>
      </c>
      <c r="E107" s="1" t="s">
        <v>380</v>
      </c>
      <c r="F107" s="1" t="s">
        <v>34</v>
      </c>
      <c r="G107" s="1" t="s">
        <v>34</v>
      </c>
      <c r="H107" s="1" t="s">
        <v>34</v>
      </c>
      <c r="I107" s="1" t="s">
        <v>34</v>
      </c>
      <c r="J107" s="1" t="s">
        <v>34</v>
      </c>
      <c r="K107" s="1" t="s">
        <v>34</v>
      </c>
    </row>
    <row r="108" spans="1:12">
      <c r="A108" s="1" t="s">
        <v>75</v>
      </c>
      <c r="B108" s="1">
        <v>2</v>
      </c>
      <c r="C108" s="1" t="s">
        <v>40</v>
      </c>
      <c r="D108" s="1" t="s">
        <v>380</v>
      </c>
      <c r="E108" s="1" t="s">
        <v>34</v>
      </c>
      <c r="F108" s="1" t="s">
        <v>34</v>
      </c>
      <c r="G108" s="1" t="s">
        <v>381</v>
      </c>
      <c r="H108" s="1" t="s">
        <v>26</v>
      </c>
      <c r="I108" s="1" t="s">
        <v>26</v>
      </c>
    </row>
    <row r="109" spans="1:12">
      <c r="A109" s="1" t="s">
        <v>225</v>
      </c>
      <c r="B109" s="1">
        <v>2</v>
      </c>
      <c r="C109" s="1" t="s">
        <v>40</v>
      </c>
      <c r="D109" s="1" t="s">
        <v>380</v>
      </c>
      <c r="E109" s="1" t="s">
        <v>34</v>
      </c>
      <c r="F109" s="1" t="s">
        <v>34</v>
      </c>
      <c r="G109" s="1" t="s">
        <v>383</v>
      </c>
      <c r="H109" s="1" t="s">
        <v>447</v>
      </c>
      <c r="I109" s="1" t="s">
        <v>447</v>
      </c>
    </row>
    <row r="110" spans="1:12">
      <c r="A110" s="1" t="s">
        <v>72</v>
      </c>
      <c r="B110" s="1">
        <v>2</v>
      </c>
      <c r="C110" s="1" t="s">
        <v>40</v>
      </c>
      <c r="D110" s="1" t="s">
        <v>380</v>
      </c>
      <c r="E110" s="1" t="s">
        <v>34</v>
      </c>
      <c r="F110" s="1" t="s">
        <v>34</v>
      </c>
      <c r="G110" s="1" t="s">
        <v>384</v>
      </c>
      <c r="H110" s="1" t="s">
        <v>28</v>
      </c>
      <c r="I110" s="1" t="s">
        <v>28</v>
      </c>
    </row>
    <row r="111" spans="1:12">
      <c r="A111" s="1" t="s">
        <v>69</v>
      </c>
      <c r="B111" s="1">
        <v>2</v>
      </c>
      <c r="C111" s="1" t="s">
        <v>40</v>
      </c>
      <c r="D111" s="1" t="s">
        <v>380</v>
      </c>
      <c r="E111" s="1" t="s">
        <v>34</v>
      </c>
      <c r="F111" s="1" t="s">
        <v>34</v>
      </c>
      <c r="G111" s="1" t="s">
        <v>385</v>
      </c>
      <c r="H111" s="1" t="s">
        <v>448</v>
      </c>
      <c r="I111" s="1" t="s">
        <v>448</v>
      </c>
    </row>
    <row r="112" spans="1:12">
      <c r="A112" s="1" t="s">
        <v>83</v>
      </c>
      <c r="B112" s="1">
        <v>2</v>
      </c>
      <c r="C112" s="1" t="s">
        <v>40</v>
      </c>
      <c r="D112" s="1" t="s">
        <v>381</v>
      </c>
      <c r="E112" s="1" t="s">
        <v>381</v>
      </c>
      <c r="F112" s="1" t="s">
        <v>26</v>
      </c>
      <c r="G112" s="1" t="s">
        <v>26</v>
      </c>
      <c r="H112" s="1" t="s">
        <v>26</v>
      </c>
      <c r="I112" s="1" t="s">
        <v>26</v>
      </c>
    </row>
    <row r="113" spans="1:11">
      <c r="A113" s="1" t="s">
        <v>226</v>
      </c>
      <c r="B113" s="1">
        <v>2</v>
      </c>
      <c r="C113" s="1" t="s">
        <v>40</v>
      </c>
      <c r="D113" s="1" t="s">
        <v>381</v>
      </c>
      <c r="E113" s="1" t="s">
        <v>26</v>
      </c>
      <c r="F113" s="1" t="s">
        <v>26</v>
      </c>
      <c r="G113" s="1" t="s">
        <v>383</v>
      </c>
      <c r="H113" s="1" t="s">
        <v>447</v>
      </c>
      <c r="I113" s="1" t="s">
        <v>447</v>
      </c>
    </row>
    <row r="114" spans="1:11">
      <c r="A114" s="1" t="s">
        <v>227</v>
      </c>
      <c r="B114" s="1">
        <v>2</v>
      </c>
      <c r="C114" s="1" t="s">
        <v>40</v>
      </c>
      <c r="D114" s="1" t="s">
        <v>381</v>
      </c>
      <c r="E114" s="1" t="s">
        <v>26</v>
      </c>
      <c r="F114" s="1" t="s">
        <v>26</v>
      </c>
      <c r="G114" s="1" t="s">
        <v>384</v>
      </c>
      <c r="H114" s="1" t="s">
        <v>28</v>
      </c>
      <c r="I114" s="1" t="s">
        <v>28</v>
      </c>
    </row>
    <row r="115" spans="1:11">
      <c r="A115" s="1" t="s">
        <v>228</v>
      </c>
      <c r="B115" s="1">
        <v>2</v>
      </c>
      <c r="C115" s="1" t="s">
        <v>40</v>
      </c>
      <c r="D115" s="1" t="s">
        <v>381</v>
      </c>
      <c r="E115" s="1" t="s">
        <v>26</v>
      </c>
      <c r="F115" s="1" t="s">
        <v>26</v>
      </c>
      <c r="G115" s="1" t="s">
        <v>385</v>
      </c>
      <c r="H115" s="1" t="s">
        <v>448</v>
      </c>
      <c r="I115" s="1" t="s">
        <v>448</v>
      </c>
    </row>
    <row r="116" spans="1:11">
      <c r="A116" s="1" t="s">
        <v>80</v>
      </c>
      <c r="B116" s="1">
        <v>2</v>
      </c>
      <c r="C116" s="1" t="s">
        <v>40</v>
      </c>
      <c r="D116" s="1" t="s">
        <v>383</v>
      </c>
      <c r="E116" s="1" t="s">
        <v>447</v>
      </c>
      <c r="F116" s="1" t="s">
        <v>447</v>
      </c>
      <c r="G116" s="1" t="s">
        <v>383</v>
      </c>
      <c r="H116" s="1" t="s">
        <v>447</v>
      </c>
      <c r="I116" s="1" t="s">
        <v>447</v>
      </c>
      <c r="J116" s="1" t="s">
        <v>447</v>
      </c>
      <c r="K116" s="1" t="s">
        <v>447</v>
      </c>
    </row>
    <row r="117" spans="1:11">
      <c r="A117" s="1" t="s">
        <v>229</v>
      </c>
      <c r="B117" s="1">
        <v>2</v>
      </c>
      <c r="C117" s="1" t="s">
        <v>40</v>
      </c>
      <c r="D117" s="1" t="s">
        <v>383</v>
      </c>
      <c r="E117" s="1" t="s">
        <v>447</v>
      </c>
      <c r="F117" s="1" t="s">
        <v>447</v>
      </c>
      <c r="G117" s="1" t="s">
        <v>384</v>
      </c>
      <c r="H117" s="1" t="s">
        <v>28</v>
      </c>
      <c r="I117" s="1" t="s">
        <v>28</v>
      </c>
    </row>
    <row r="118" spans="1:11">
      <c r="A118" s="1" t="s">
        <v>230</v>
      </c>
      <c r="B118" s="1">
        <v>2</v>
      </c>
      <c r="C118" s="1" t="s">
        <v>40</v>
      </c>
      <c r="D118" s="1" t="s">
        <v>383</v>
      </c>
      <c r="E118" s="1" t="s">
        <v>447</v>
      </c>
      <c r="F118" s="1" t="s">
        <v>447</v>
      </c>
      <c r="G118" s="1" t="s">
        <v>385</v>
      </c>
      <c r="H118" s="1" t="s">
        <v>448</v>
      </c>
      <c r="I118" s="1" t="s">
        <v>448</v>
      </c>
    </row>
    <row r="119" spans="1:11">
      <c r="A119" s="1" t="s">
        <v>77</v>
      </c>
      <c r="B119" s="1">
        <v>2</v>
      </c>
      <c r="C119" s="1" t="s">
        <v>40</v>
      </c>
      <c r="D119" s="1" t="s">
        <v>384</v>
      </c>
      <c r="E119" s="1" t="s">
        <v>384</v>
      </c>
      <c r="F119" s="1" t="s">
        <v>28</v>
      </c>
      <c r="G119" s="1" t="s">
        <v>28</v>
      </c>
      <c r="H119" s="1" t="s">
        <v>28</v>
      </c>
      <c r="I119" s="1" t="s">
        <v>28</v>
      </c>
    </row>
    <row r="120" spans="1:11">
      <c r="A120" s="1" t="s">
        <v>231</v>
      </c>
      <c r="B120" s="1">
        <v>2</v>
      </c>
      <c r="C120" s="1" t="s">
        <v>40</v>
      </c>
      <c r="D120" s="1" t="s">
        <v>384</v>
      </c>
      <c r="E120" s="1" t="s">
        <v>28</v>
      </c>
      <c r="F120" s="1" t="s">
        <v>28</v>
      </c>
      <c r="G120" s="1" t="s">
        <v>385</v>
      </c>
      <c r="H120" s="1" t="s">
        <v>448</v>
      </c>
      <c r="I120" s="1" t="s">
        <v>448</v>
      </c>
    </row>
    <row r="121" spans="1:11">
      <c r="A121" s="1" t="s">
        <v>232</v>
      </c>
      <c r="B121" s="1">
        <v>2</v>
      </c>
      <c r="C121" s="1" t="s">
        <v>40</v>
      </c>
      <c r="D121" s="1" t="s">
        <v>385</v>
      </c>
      <c r="E121" s="1" t="s">
        <v>385</v>
      </c>
      <c r="F121" s="1" t="s">
        <v>448</v>
      </c>
      <c r="G121" s="1" t="s">
        <v>448</v>
      </c>
      <c r="H121" s="1" t="s">
        <v>448</v>
      </c>
      <c r="I121" s="1" t="s">
        <v>448</v>
      </c>
    </row>
    <row r="122" spans="1:11">
      <c r="A122" s="1" t="s">
        <v>497</v>
      </c>
      <c r="B122" s="1">
        <v>2</v>
      </c>
      <c r="C122" s="1" t="s">
        <v>40</v>
      </c>
      <c r="D122" s="1" t="s">
        <v>880</v>
      </c>
      <c r="E122" s="1" t="s">
        <v>880</v>
      </c>
      <c r="F122" s="1" t="s">
        <v>25</v>
      </c>
      <c r="G122" s="1" t="s">
        <v>25</v>
      </c>
    </row>
    <row r="123" spans="1:11">
      <c r="A123" s="1" t="s">
        <v>498</v>
      </c>
      <c r="B123" s="1">
        <v>2</v>
      </c>
      <c r="C123" s="1" t="s">
        <v>40</v>
      </c>
      <c r="D123" s="1" t="s">
        <v>880</v>
      </c>
      <c r="E123" s="1" t="s">
        <v>25</v>
      </c>
      <c r="F123" s="1" t="s">
        <v>619</v>
      </c>
      <c r="G123" s="1" t="s">
        <v>34</v>
      </c>
    </row>
    <row r="124" spans="1:11">
      <c r="A124" s="1" t="s">
        <v>499</v>
      </c>
      <c r="B124" s="1">
        <v>2</v>
      </c>
      <c r="C124" s="1" t="s">
        <v>40</v>
      </c>
      <c r="D124" s="1" t="s">
        <v>880</v>
      </c>
      <c r="E124" s="1" t="s">
        <v>881</v>
      </c>
      <c r="F124" s="1" t="s">
        <v>26</v>
      </c>
      <c r="G124" s="1" t="s">
        <v>26</v>
      </c>
    </row>
    <row r="125" spans="1:11">
      <c r="A125" s="1" t="s">
        <v>500</v>
      </c>
      <c r="B125" s="1">
        <v>2</v>
      </c>
      <c r="C125" s="1" t="s">
        <v>40</v>
      </c>
      <c r="D125" s="1" t="s">
        <v>880</v>
      </c>
      <c r="E125" s="1" t="s">
        <v>25</v>
      </c>
      <c r="F125" s="1" t="s">
        <v>25</v>
      </c>
      <c r="G125" s="1" t="s">
        <v>882</v>
      </c>
      <c r="H125" s="1" t="s">
        <v>447</v>
      </c>
      <c r="I125" s="1" t="s">
        <v>447</v>
      </c>
    </row>
    <row r="126" spans="1:11">
      <c r="A126" s="1" t="s">
        <v>501</v>
      </c>
      <c r="B126" s="1">
        <v>2</v>
      </c>
      <c r="C126" s="1" t="s">
        <v>40</v>
      </c>
      <c r="D126" s="1" t="s">
        <v>880</v>
      </c>
      <c r="E126" s="1" t="s">
        <v>25</v>
      </c>
      <c r="F126" s="1" t="s">
        <v>25</v>
      </c>
      <c r="G126" s="1" t="s">
        <v>620</v>
      </c>
      <c r="H126" s="1" t="s">
        <v>28</v>
      </c>
      <c r="I126" s="1" t="s">
        <v>28</v>
      </c>
    </row>
    <row r="127" spans="1:11">
      <c r="A127" s="1" t="s">
        <v>502</v>
      </c>
      <c r="B127" s="1">
        <v>2</v>
      </c>
      <c r="C127" s="1" t="s">
        <v>40</v>
      </c>
      <c r="D127" s="1" t="s">
        <v>880</v>
      </c>
      <c r="E127" s="1" t="s">
        <v>621</v>
      </c>
      <c r="F127" s="1" t="s">
        <v>448</v>
      </c>
      <c r="G127" s="1" t="s">
        <v>448</v>
      </c>
    </row>
    <row r="128" spans="1:11">
      <c r="A128" s="1" t="s">
        <v>503</v>
      </c>
      <c r="B128" s="1">
        <v>2</v>
      </c>
      <c r="C128" s="1" t="s">
        <v>40</v>
      </c>
      <c r="D128" s="1" t="s">
        <v>619</v>
      </c>
      <c r="E128" s="1" t="s">
        <v>619</v>
      </c>
      <c r="F128" s="1" t="s">
        <v>34</v>
      </c>
      <c r="G128" s="1" t="s">
        <v>34</v>
      </c>
      <c r="H128" s="1" t="s">
        <v>34</v>
      </c>
      <c r="I128" s="1" t="s">
        <v>34</v>
      </c>
    </row>
    <row r="129" spans="1:13">
      <c r="A129" s="1" t="s">
        <v>504</v>
      </c>
      <c r="B129" s="1">
        <v>2</v>
      </c>
      <c r="C129" s="1" t="s">
        <v>40</v>
      </c>
      <c r="D129" s="1" t="s">
        <v>619</v>
      </c>
      <c r="E129" s="1" t="s">
        <v>881</v>
      </c>
      <c r="F129" s="1" t="s">
        <v>26</v>
      </c>
      <c r="G129" s="1" t="s">
        <v>26</v>
      </c>
    </row>
    <row r="130" spans="1:13">
      <c r="A130" s="1" t="s">
        <v>505</v>
      </c>
      <c r="B130" s="1">
        <v>2</v>
      </c>
      <c r="C130" s="1" t="s">
        <v>40</v>
      </c>
      <c r="D130" s="1" t="s">
        <v>619</v>
      </c>
      <c r="E130" s="1" t="s">
        <v>882</v>
      </c>
      <c r="F130" s="1" t="s">
        <v>447</v>
      </c>
      <c r="G130" s="1" t="s">
        <v>447</v>
      </c>
    </row>
    <row r="131" spans="1:13">
      <c r="A131" s="1" t="s">
        <v>506</v>
      </c>
      <c r="B131" s="1">
        <v>2</v>
      </c>
      <c r="C131" s="1" t="s">
        <v>40</v>
      </c>
      <c r="D131" s="1" t="s">
        <v>619</v>
      </c>
      <c r="E131" s="1" t="s">
        <v>620</v>
      </c>
      <c r="F131" s="1" t="s">
        <v>28</v>
      </c>
      <c r="G131" s="1" t="s">
        <v>28</v>
      </c>
    </row>
    <row r="132" spans="1:13">
      <c r="A132" s="1" t="s">
        <v>507</v>
      </c>
      <c r="B132" s="1">
        <v>2</v>
      </c>
      <c r="C132" s="1" t="s">
        <v>40</v>
      </c>
      <c r="D132" s="1" t="s">
        <v>619</v>
      </c>
      <c r="E132" s="1" t="s">
        <v>34</v>
      </c>
      <c r="F132" s="1" t="s">
        <v>34</v>
      </c>
      <c r="G132" s="1" t="s">
        <v>621</v>
      </c>
      <c r="H132" s="1" t="s">
        <v>448</v>
      </c>
      <c r="I132" s="1" t="s">
        <v>448</v>
      </c>
    </row>
    <row r="133" spans="1:13">
      <c r="A133" s="1" t="s">
        <v>508</v>
      </c>
      <c r="B133" s="1">
        <v>2</v>
      </c>
      <c r="C133" s="1" t="s">
        <v>40</v>
      </c>
      <c r="D133" s="1" t="s">
        <v>881</v>
      </c>
      <c r="E133" s="1" t="s">
        <v>881</v>
      </c>
      <c r="F133" s="1" t="s">
        <v>26</v>
      </c>
      <c r="G133" s="1" t="s">
        <v>26</v>
      </c>
    </row>
    <row r="134" spans="1:13">
      <c r="A134" s="1" t="s">
        <v>509</v>
      </c>
      <c r="B134" s="1">
        <v>2</v>
      </c>
      <c r="C134" s="1" t="s">
        <v>40</v>
      </c>
      <c r="D134" s="1" t="s">
        <v>881</v>
      </c>
      <c r="E134" s="1" t="s">
        <v>26</v>
      </c>
      <c r="F134" s="1" t="s">
        <v>26</v>
      </c>
      <c r="G134" s="1" t="s">
        <v>882</v>
      </c>
      <c r="H134" s="1" t="s">
        <v>447</v>
      </c>
      <c r="I134" s="1" t="s">
        <v>447</v>
      </c>
    </row>
    <row r="135" spans="1:13">
      <c r="A135" s="1" t="s">
        <v>510</v>
      </c>
      <c r="B135" s="1">
        <v>2</v>
      </c>
      <c r="C135" s="1" t="s">
        <v>40</v>
      </c>
      <c r="D135" s="1" t="s">
        <v>881</v>
      </c>
      <c r="E135" s="1" t="s">
        <v>26</v>
      </c>
      <c r="F135" s="1" t="s">
        <v>26</v>
      </c>
      <c r="G135" s="1" t="s">
        <v>620</v>
      </c>
      <c r="H135" s="1" t="s">
        <v>28</v>
      </c>
      <c r="I135" s="1" t="s">
        <v>28</v>
      </c>
    </row>
    <row r="136" spans="1:13">
      <c r="A136" s="1" t="s">
        <v>511</v>
      </c>
      <c r="B136" s="1">
        <v>2</v>
      </c>
      <c r="C136" s="1" t="s">
        <v>40</v>
      </c>
      <c r="D136" s="1" t="s">
        <v>881</v>
      </c>
      <c r="E136" s="1" t="s">
        <v>621</v>
      </c>
    </row>
    <row r="137" spans="1:13">
      <c r="A137" s="1" t="s">
        <v>512</v>
      </c>
      <c r="B137" s="1">
        <v>2</v>
      </c>
      <c r="C137" s="1" t="s">
        <v>40</v>
      </c>
      <c r="D137" s="1" t="s">
        <v>882</v>
      </c>
      <c r="E137" s="1" t="s">
        <v>882</v>
      </c>
      <c r="F137" s="1" t="s">
        <v>447</v>
      </c>
      <c r="G137" s="1" t="s">
        <v>447</v>
      </c>
    </row>
    <row r="138" spans="1:13">
      <c r="A138" s="1" t="s">
        <v>513</v>
      </c>
      <c r="B138" s="1">
        <v>2</v>
      </c>
      <c r="C138" s="1" t="s">
        <v>40</v>
      </c>
      <c r="D138" s="1" t="s">
        <v>882</v>
      </c>
      <c r="E138" s="1" t="s">
        <v>447</v>
      </c>
      <c r="F138" s="1" t="s">
        <v>447</v>
      </c>
      <c r="G138" s="1" t="s">
        <v>620</v>
      </c>
      <c r="H138" s="1" t="s">
        <v>28</v>
      </c>
      <c r="I138" s="1" t="s">
        <v>28</v>
      </c>
    </row>
    <row r="139" spans="1:13">
      <c r="A139" s="1" t="s">
        <v>514</v>
      </c>
      <c r="B139" s="1">
        <v>2</v>
      </c>
      <c r="C139" s="1" t="s">
        <v>40</v>
      </c>
      <c r="D139" s="1" t="s">
        <v>882</v>
      </c>
      <c r="E139" s="1" t="s">
        <v>447</v>
      </c>
      <c r="F139" s="1" t="s">
        <v>621</v>
      </c>
      <c r="G139" s="1" t="s">
        <v>448</v>
      </c>
    </row>
    <row r="140" spans="1:13">
      <c r="A140" s="1" t="s">
        <v>515</v>
      </c>
      <c r="B140" s="1">
        <v>2</v>
      </c>
      <c r="C140" s="1" t="s">
        <v>40</v>
      </c>
      <c r="D140" s="1" t="s">
        <v>620</v>
      </c>
      <c r="E140" s="1" t="s">
        <v>620</v>
      </c>
      <c r="F140" s="1" t="s">
        <v>28</v>
      </c>
      <c r="G140" s="1" t="s">
        <v>28</v>
      </c>
      <c r="H140" s="1" t="s">
        <v>28</v>
      </c>
      <c r="I140" s="1" t="s">
        <v>28</v>
      </c>
    </row>
    <row r="141" spans="1:13">
      <c r="A141" s="1" t="s">
        <v>516</v>
      </c>
      <c r="B141" s="1">
        <v>2</v>
      </c>
      <c r="C141" s="1" t="s">
        <v>40</v>
      </c>
      <c r="D141" s="1" t="s">
        <v>620</v>
      </c>
      <c r="E141" s="1" t="s">
        <v>28</v>
      </c>
      <c r="F141" s="1" t="s">
        <v>621</v>
      </c>
      <c r="G141" s="1" t="s">
        <v>448</v>
      </c>
    </row>
    <row r="142" spans="1:13">
      <c r="A142" s="1" t="s">
        <v>517</v>
      </c>
      <c r="B142" s="1">
        <v>2</v>
      </c>
      <c r="C142" s="1" t="s">
        <v>40</v>
      </c>
      <c r="D142" s="1" t="s">
        <v>621</v>
      </c>
      <c r="E142" s="1" t="s">
        <v>448</v>
      </c>
      <c r="F142" s="1" t="s">
        <v>621</v>
      </c>
      <c r="G142" s="1" t="s">
        <v>448</v>
      </c>
    </row>
    <row r="143" spans="1:13">
      <c r="A143" s="1" t="s">
        <v>233</v>
      </c>
      <c r="B143" s="1">
        <v>2</v>
      </c>
      <c r="C143" s="1" t="s">
        <v>40</v>
      </c>
      <c r="D143" s="1" t="s">
        <v>382</v>
      </c>
      <c r="E143" s="1" t="s">
        <v>25</v>
      </c>
      <c r="F143" s="1" t="s">
        <v>382</v>
      </c>
      <c r="G143" s="1" t="s">
        <v>25</v>
      </c>
      <c r="H143" s="1" t="s">
        <v>25</v>
      </c>
      <c r="I143" s="1" t="s">
        <v>25</v>
      </c>
      <c r="J143" s="1" t="s">
        <v>25</v>
      </c>
      <c r="K143" s="1" t="s">
        <v>25</v>
      </c>
      <c r="L143" s="1" t="s">
        <v>25</v>
      </c>
      <c r="M143" s="1" t="s">
        <v>25</v>
      </c>
    </row>
    <row r="144" spans="1:13">
      <c r="A144" s="1" t="s">
        <v>234</v>
      </c>
      <c r="B144" s="1">
        <v>2</v>
      </c>
      <c r="C144" s="1" t="s">
        <v>40</v>
      </c>
      <c r="D144" s="1" t="s">
        <v>382</v>
      </c>
      <c r="E144" s="1" t="s">
        <v>25</v>
      </c>
      <c r="F144" s="1" t="s">
        <v>25</v>
      </c>
      <c r="G144" s="1" t="s">
        <v>25</v>
      </c>
      <c r="H144" s="1" t="s">
        <v>380</v>
      </c>
      <c r="I144" s="1" t="s">
        <v>34</v>
      </c>
      <c r="J144" s="1" t="s">
        <v>34</v>
      </c>
      <c r="K144" s="1" t="s">
        <v>34</v>
      </c>
      <c r="L144" s="1" t="s">
        <v>34</v>
      </c>
      <c r="M144" s="1" t="s">
        <v>34</v>
      </c>
    </row>
    <row r="145" spans="1:17">
      <c r="A145" s="1" t="s">
        <v>235</v>
      </c>
      <c r="B145" s="1">
        <v>2</v>
      </c>
      <c r="C145" s="1" t="s">
        <v>40</v>
      </c>
      <c r="D145" s="1" t="s">
        <v>382</v>
      </c>
      <c r="E145" s="1" t="s">
        <v>25</v>
      </c>
      <c r="F145" s="1" t="s">
        <v>25</v>
      </c>
      <c r="G145" s="1" t="s">
        <v>25</v>
      </c>
      <c r="H145" s="1" t="s">
        <v>25</v>
      </c>
      <c r="I145" s="1" t="s">
        <v>381</v>
      </c>
      <c r="J145" s="1" t="s">
        <v>26</v>
      </c>
      <c r="K145" s="1" t="s">
        <v>26</v>
      </c>
      <c r="L145" s="1" t="s">
        <v>26</v>
      </c>
      <c r="M145" s="1" t="s">
        <v>26</v>
      </c>
    </row>
    <row r="146" spans="1:17">
      <c r="A146" s="1" t="s">
        <v>236</v>
      </c>
      <c r="B146" s="1">
        <v>2</v>
      </c>
      <c r="C146" s="1" t="s">
        <v>40</v>
      </c>
      <c r="D146" s="1" t="s">
        <v>382</v>
      </c>
      <c r="E146" s="1" t="s">
        <v>25</v>
      </c>
      <c r="F146" s="1" t="s">
        <v>25</v>
      </c>
      <c r="G146" s="1" t="s">
        <v>25</v>
      </c>
      <c r="H146" s="1" t="s">
        <v>25</v>
      </c>
      <c r="I146" s="1" t="s">
        <v>383</v>
      </c>
      <c r="J146" s="1" t="s">
        <v>447</v>
      </c>
      <c r="K146" s="1" t="s">
        <v>447</v>
      </c>
      <c r="L146" s="1" t="s">
        <v>447</v>
      </c>
      <c r="M146" s="1" t="s">
        <v>447</v>
      </c>
    </row>
    <row r="147" spans="1:17">
      <c r="A147" s="1" t="s">
        <v>51</v>
      </c>
      <c r="B147" s="1">
        <v>2</v>
      </c>
      <c r="C147" s="1" t="s">
        <v>40</v>
      </c>
      <c r="D147" s="1" t="s">
        <v>382</v>
      </c>
      <c r="E147" s="1" t="s">
        <v>25</v>
      </c>
      <c r="F147" s="1" t="s">
        <v>25</v>
      </c>
      <c r="G147" s="1" t="s">
        <v>25</v>
      </c>
      <c r="H147" s="1" t="s">
        <v>25</v>
      </c>
      <c r="I147" s="1" t="s">
        <v>384</v>
      </c>
      <c r="J147" s="1" t="s">
        <v>28</v>
      </c>
      <c r="K147" s="1" t="s">
        <v>28</v>
      </c>
      <c r="L147" s="1" t="s">
        <v>28</v>
      </c>
      <c r="M147" s="1" t="s">
        <v>28</v>
      </c>
      <c r="N147" s="1" t="s">
        <v>28</v>
      </c>
      <c r="O147" s="1" t="s">
        <v>28</v>
      </c>
    </row>
    <row r="148" spans="1:17">
      <c r="A148" s="1" t="s">
        <v>237</v>
      </c>
      <c r="B148" s="1">
        <v>2</v>
      </c>
      <c r="C148" s="1" t="s">
        <v>40</v>
      </c>
      <c r="D148" s="1" t="s">
        <v>382</v>
      </c>
      <c r="E148" s="1" t="s">
        <v>25</v>
      </c>
      <c r="F148" s="1" t="s">
        <v>25</v>
      </c>
      <c r="G148" s="1" t="s">
        <v>25</v>
      </c>
      <c r="H148" s="1" t="s">
        <v>25</v>
      </c>
      <c r="I148" s="1" t="s">
        <v>385</v>
      </c>
      <c r="J148" s="1" t="s">
        <v>448</v>
      </c>
      <c r="K148" s="1" t="s">
        <v>448</v>
      </c>
      <c r="L148" s="1" t="s">
        <v>448</v>
      </c>
      <c r="M148" s="1" t="s">
        <v>448</v>
      </c>
    </row>
    <row r="149" spans="1:17">
      <c r="A149" s="1" t="s">
        <v>238</v>
      </c>
      <c r="B149" s="1">
        <v>2</v>
      </c>
      <c r="C149" s="1" t="s">
        <v>40</v>
      </c>
      <c r="D149" s="1" t="s">
        <v>380</v>
      </c>
      <c r="E149" s="1" t="s">
        <v>34</v>
      </c>
      <c r="F149" s="1" t="s">
        <v>34</v>
      </c>
      <c r="G149" s="1" t="s">
        <v>34</v>
      </c>
      <c r="H149" s="1" t="s">
        <v>380</v>
      </c>
      <c r="I149" s="1" t="s">
        <v>34</v>
      </c>
      <c r="J149" s="1" t="s">
        <v>34</v>
      </c>
      <c r="K149" s="1" t="s">
        <v>34</v>
      </c>
      <c r="L149" s="1" t="s">
        <v>34</v>
      </c>
      <c r="M149" s="1" t="s">
        <v>34</v>
      </c>
      <c r="N149" s="1" t="s">
        <v>34</v>
      </c>
      <c r="O149" s="1" t="s">
        <v>34</v>
      </c>
    </row>
    <row r="150" spans="1:17">
      <c r="A150" s="1" t="s">
        <v>239</v>
      </c>
      <c r="B150" s="1">
        <v>2</v>
      </c>
      <c r="C150" s="1" t="s">
        <v>40</v>
      </c>
      <c r="D150" s="1" t="s">
        <v>380</v>
      </c>
      <c r="E150" s="1" t="s">
        <v>34</v>
      </c>
      <c r="F150" s="1" t="s">
        <v>34</v>
      </c>
      <c r="G150" s="1" t="s">
        <v>34</v>
      </c>
      <c r="H150" s="1" t="s">
        <v>34</v>
      </c>
      <c r="I150" s="1" t="s">
        <v>381</v>
      </c>
      <c r="J150" s="1" t="s">
        <v>26</v>
      </c>
      <c r="K150" s="1" t="s">
        <v>26</v>
      </c>
    </row>
    <row r="151" spans="1:17">
      <c r="A151" s="1" t="s">
        <v>240</v>
      </c>
      <c r="B151" s="1">
        <v>2</v>
      </c>
      <c r="C151" s="1" t="s">
        <v>40</v>
      </c>
      <c r="D151" s="1" t="s">
        <v>380</v>
      </c>
      <c r="E151" s="1" t="s">
        <v>34</v>
      </c>
      <c r="F151" s="1" t="s">
        <v>34</v>
      </c>
      <c r="G151" s="1" t="s">
        <v>34</v>
      </c>
      <c r="H151" s="1" t="s">
        <v>34</v>
      </c>
      <c r="I151" s="1" t="s">
        <v>383</v>
      </c>
      <c r="J151" s="1" t="s">
        <v>447</v>
      </c>
      <c r="K151" s="1" t="s">
        <v>447</v>
      </c>
      <c r="L151" s="1" t="s">
        <v>447</v>
      </c>
      <c r="M151" s="1" t="s">
        <v>447</v>
      </c>
    </row>
    <row r="152" spans="1:17">
      <c r="A152" s="1" t="s">
        <v>241</v>
      </c>
      <c r="B152" s="1">
        <v>2</v>
      </c>
      <c r="C152" s="1" t="s">
        <v>40</v>
      </c>
      <c r="D152" s="1" t="s">
        <v>380</v>
      </c>
      <c r="E152" s="1" t="s">
        <v>34</v>
      </c>
      <c r="F152" s="1" t="s">
        <v>34</v>
      </c>
      <c r="G152" s="1" t="s">
        <v>34</v>
      </c>
      <c r="H152" s="1" t="s">
        <v>34</v>
      </c>
      <c r="I152" s="1" t="s">
        <v>384</v>
      </c>
      <c r="J152" s="1" t="s">
        <v>28</v>
      </c>
      <c r="K152" s="1" t="s">
        <v>28</v>
      </c>
      <c r="L152" s="1" t="s">
        <v>28</v>
      </c>
      <c r="M152" s="1" t="s">
        <v>28</v>
      </c>
    </row>
    <row r="153" spans="1:17">
      <c r="A153" s="1" t="s">
        <v>242</v>
      </c>
      <c r="B153" s="1">
        <v>2</v>
      </c>
      <c r="C153" s="1" t="s">
        <v>40</v>
      </c>
      <c r="D153" s="1" t="s">
        <v>380</v>
      </c>
      <c r="E153" s="1" t="s">
        <v>34</v>
      </c>
      <c r="F153" s="1" t="s">
        <v>34</v>
      </c>
      <c r="G153" s="1" t="s">
        <v>34</v>
      </c>
      <c r="H153" s="1" t="s">
        <v>34</v>
      </c>
      <c r="I153" s="1" t="s">
        <v>385</v>
      </c>
      <c r="J153" s="1" t="s">
        <v>448</v>
      </c>
      <c r="K153" s="1" t="s">
        <v>448</v>
      </c>
      <c r="L153" s="1" t="s">
        <v>448</v>
      </c>
      <c r="M153" s="1" t="s">
        <v>448</v>
      </c>
    </row>
    <row r="154" spans="1:17">
      <c r="A154" s="1" t="s">
        <v>243</v>
      </c>
      <c r="B154" s="1">
        <v>2</v>
      </c>
      <c r="C154" s="1" t="s">
        <v>40</v>
      </c>
      <c r="D154" s="1" t="s">
        <v>381</v>
      </c>
      <c r="E154" s="1" t="s">
        <v>26</v>
      </c>
      <c r="F154" s="1" t="s">
        <v>381</v>
      </c>
      <c r="G154" s="1" t="s">
        <v>26</v>
      </c>
      <c r="H154" s="1" t="s">
        <v>26</v>
      </c>
      <c r="I154" s="1" t="s">
        <v>26</v>
      </c>
      <c r="J154" s="1" t="s">
        <v>26</v>
      </c>
      <c r="K154" s="1" t="s">
        <v>26</v>
      </c>
      <c r="L154" s="1" t="s">
        <v>26</v>
      </c>
      <c r="M154" s="1" t="s">
        <v>26</v>
      </c>
      <c r="N154" s="1" t="s">
        <v>26</v>
      </c>
      <c r="O154" s="1" t="s">
        <v>26</v>
      </c>
    </row>
    <row r="155" spans="1:17">
      <c r="A155" s="1" t="s">
        <v>244</v>
      </c>
      <c r="B155" s="1">
        <v>2</v>
      </c>
      <c r="C155" s="1" t="s">
        <v>40</v>
      </c>
      <c r="D155" s="1" t="s">
        <v>381</v>
      </c>
      <c r="E155" s="1" t="s">
        <v>26</v>
      </c>
      <c r="F155" s="1" t="s">
        <v>26</v>
      </c>
      <c r="G155" s="1" t="s">
        <v>26</v>
      </c>
      <c r="H155" s="1" t="s">
        <v>383</v>
      </c>
      <c r="I155" s="1" t="s">
        <v>447</v>
      </c>
      <c r="J155" s="1" t="s">
        <v>447</v>
      </c>
      <c r="K155" s="1" t="s">
        <v>447</v>
      </c>
      <c r="L155" s="1" t="s">
        <v>447</v>
      </c>
      <c r="M155" s="1" t="s">
        <v>447</v>
      </c>
      <c r="N155" s="1" t="s">
        <v>447</v>
      </c>
      <c r="O155" s="1" t="s">
        <v>447</v>
      </c>
    </row>
    <row r="156" spans="1:17">
      <c r="A156" s="1" t="s">
        <v>245</v>
      </c>
      <c r="B156" s="1">
        <v>2</v>
      </c>
      <c r="C156" s="1" t="s">
        <v>40</v>
      </c>
      <c r="D156" s="1" t="s">
        <v>381</v>
      </c>
      <c r="E156" s="1" t="s">
        <v>26</v>
      </c>
      <c r="F156" s="1" t="s">
        <v>26</v>
      </c>
      <c r="G156" s="1" t="s">
        <v>26</v>
      </c>
      <c r="H156" s="1" t="s">
        <v>384</v>
      </c>
      <c r="I156" s="1" t="s">
        <v>28</v>
      </c>
      <c r="J156" s="1" t="s">
        <v>28</v>
      </c>
      <c r="K156" s="1" t="s">
        <v>28</v>
      </c>
      <c r="L156" s="1" t="s">
        <v>28</v>
      </c>
      <c r="M156" s="1" t="s">
        <v>28</v>
      </c>
      <c r="N156" s="1" t="s">
        <v>28</v>
      </c>
      <c r="O156" s="1" t="s">
        <v>28</v>
      </c>
    </row>
    <row r="157" spans="1:17">
      <c r="A157" s="1" t="s">
        <v>246</v>
      </c>
      <c r="B157" s="1">
        <v>2</v>
      </c>
      <c r="C157" s="1" t="s">
        <v>40</v>
      </c>
      <c r="D157" s="1" t="s">
        <v>381</v>
      </c>
      <c r="E157" s="1" t="s">
        <v>26</v>
      </c>
      <c r="F157" s="1" t="s">
        <v>26</v>
      </c>
      <c r="G157" s="1" t="s">
        <v>26</v>
      </c>
      <c r="H157" s="1" t="s">
        <v>385</v>
      </c>
      <c r="I157" s="1" t="s">
        <v>448</v>
      </c>
      <c r="J157" s="1" t="s">
        <v>448</v>
      </c>
      <c r="K157" s="1" t="s">
        <v>448</v>
      </c>
    </row>
    <row r="158" spans="1:17">
      <c r="A158" s="1" t="s">
        <v>247</v>
      </c>
      <c r="B158" s="1">
        <v>2</v>
      </c>
      <c r="C158" s="1" t="s">
        <v>40</v>
      </c>
      <c r="D158" s="1" t="s">
        <v>383</v>
      </c>
      <c r="E158" s="1" t="s">
        <v>447</v>
      </c>
      <c r="F158" s="1" t="s">
        <v>447</v>
      </c>
      <c r="G158" s="1" t="s">
        <v>447</v>
      </c>
      <c r="H158" s="1" t="s">
        <v>383</v>
      </c>
      <c r="I158" s="1" t="s">
        <v>447</v>
      </c>
      <c r="J158" s="1" t="s">
        <v>447</v>
      </c>
      <c r="K158" s="1" t="s">
        <v>447</v>
      </c>
      <c r="L158" s="1" t="s">
        <v>447</v>
      </c>
      <c r="M158" s="1" t="s">
        <v>447</v>
      </c>
      <c r="N158" s="1" t="s">
        <v>447</v>
      </c>
      <c r="O158" s="1" t="s">
        <v>447</v>
      </c>
      <c r="P158" s="1" t="s">
        <v>447</v>
      </c>
      <c r="Q158" s="1" t="s">
        <v>447</v>
      </c>
    </row>
    <row r="159" spans="1:17">
      <c r="A159" s="1" t="s">
        <v>248</v>
      </c>
      <c r="B159" s="1">
        <v>2</v>
      </c>
      <c r="C159" s="1" t="s">
        <v>40</v>
      </c>
      <c r="D159" s="1" t="s">
        <v>383</v>
      </c>
      <c r="E159" s="1" t="s">
        <v>447</v>
      </c>
      <c r="F159" s="1" t="s">
        <v>447</v>
      </c>
      <c r="G159" s="1" t="s">
        <v>447</v>
      </c>
      <c r="H159" s="1" t="s">
        <v>384</v>
      </c>
      <c r="I159" s="1" t="s">
        <v>28</v>
      </c>
      <c r="J159" s="1" t="s">
        <v>28</v>
      </c>
      <c r="K159" s="1" t="s">
        <v>28</v>
      </c>
      <c r="L159" s="1" t="s">
        <v>28</v>
      </c>
      <c r="M159" s="1" t="s">
        <v>28</v>
      </c>
      <c r="N159" s="1" t="s">
        <v>28</v>
      </c>
      <c r="O159" s="1" t="s">
        <v>28</v>
      </c>
      <c r="P159" s="1" t="s">
        <v>28</v>
      </c>
    </row>
    <row r="160" spans="1:17">
      <c r="A160" s="1" t="s">
        <v>249</v>
      </c>
      <c r="B160" s="1">
        <v>2</v>
      </c>
      <c r="C160" s="1" t="s">
        <v>40</v>
      </c>
      <c r="D160" s="1" t="s">
        <v>383</v>
      </c>
      <c r="E160" s="1" t="s">
        <v>447</v>
      </c>
      <c r="F160" s="1" t="s">
        <v>447</v>
      </c>
      <c r="G160" s="1" t="s">
        <v>447</v>
      </c>
      <c r="H160" s="1" t="s">
        <v>385</v>
      </c>
      <c r="I160" s="1" t="s">
        <v>448</v>
      </c>
      <c r="J160" s="1" t="s">
        <v>448</v>
      </c>
      <c r="K160" s="1" t="s">
        <v>448</v>
      </c>
    </row>
    <row r="161" spans="1:15">
      <c r="A161" s="1" t="s">
        <v>250</v>
      </c>
      <c r="B161" s="1">
        <v>2</v>
      </c>
      <c r="C161" s="1" t="s">
        <v>40</v>
      </c>
      <c r="D161" s="1" t="s">
        <v>384</v>
      </c>
      <c r="E161" s="1" t="s">
        <v>28</v>
      </c>
      <c r="F161" s="1" t="s">
        <v>384</v>
      </c>
      <c r="G161" s="1" t="s">
        <v>28</v>
      </c>
      <c r="H161" s="1" t="s">
        <v>28</v>
      </c>
      <c r="I161" s="1" t="s">
        <v>28</v>
      </c>
      <c r="J161" s="1" t="s">
        <v>28</v>
      </c>
      <c r="K161" s="1" t="s">
        <v>28</v>
      </c>
      <c r="L161" s="1" t="s">
        <v>28</v>
      </c>
      <c r="M161" s="1" t="s">
        <v>28</v>
      </c>
      <c r="N161" s="1" t="s">
        <v>28</v>
      </c>
      <c r="O161" s="1" t="s">
        <v>28</v>
      </c>
    </row>
    <row r="162" spans="1:15">
      <c r="A162" s="1" t="s">
        <v>251</v>
      </c>
      <c r="B162" s="1">
        <v>2</v>
      </c>
      <c r="C162" s="1" t="s">
        <v>40</v>
      </c>
      <c r="D162" s="1" t="s">
        <v>384</v>
      </c>
      <c r="E162" s="1" t="s">
        <v>28</v>
      </c>
      <c r="F162" s="1" t="s">
        <v>28</v>
      </c>
      <c r="G162" s="1" t="s">
        <v>28</v>
      </c>
      <c r="H162" s="1" t="s">
        <v>385</v>
      </c>
      <c r="I162" s="1" t="s">
        <v>448</v>
      </c>
      <c r="J162" s="1" t="s">
        <v>448</v>
      </c>
      <c r="K162" s="1" t="s">
        <v>448</v>
      </c>
    </row>
    <row r="163" spans="1:15">
      <c r="A163" s="1" t="s">
        <v>50</v>
      </c>
      <c r="B163" s="1">
        <v>2</v>
      </c>
      <c r="C163" s="1" t="s">
        <v>40</v>
      </c>
      <c r="D163" s="1" t="s">
        <v>385</v>
      </c>
      <c r="E163" s="1" t="s">
        <v>448</v>
      </c>
      <c r="F163" s="1" t="s">
        <v>385</v>
      </c>
      <c r="G163" s="1" t="s">
        <v>448</v>
      </c>
      <c r="H163" s="1" t="s">
        <v>448</v>
      </c>
      <c r="I163" s="1" t="s">
        <v>448</v>
      </c>
      <c r="J163" s="1" t="s">
        <v>448</v>
      </c>
      <c r="K163" s="1" t="s">
        <v>448</v>
      </c>
    </row>
    <row r="164" spans="1:15">
      <c r="A164" s="1" t="s">
        <v>518</v>
      </c>
      <c r="B164" s="1">
        <v>2</v>
      </c>
      <c r="C164" s="1" t="s">
        <v>40</v>
      </c>
      <c r="D164" s="1" t="s">
        <v>880</v>
      </c>
      <c r="E164" s="1" t="s">
        <v>25</v>
      </c>
      <c r="F164" s="1" t="s">
        <v>880</v>
      </c>
      <c r="G164" s="1" t="s">
        <v>25</v>
      </c>
      <c r="H164" s="1" t="s">
        <v>25</v>
      </c>
      <c r="I164" s="1" t="s">
        <v>25</v>
      </c>
      <c r="J164" s="1" t="s">
        <v>25</v>
      </c>
      <c r="K164" s="1" t="s">
        <v>25</v>
      </c>
    </row>
    <row r="165" spans="1:15">
      <c r="A165" s="1" t="s">
        <v>519</v>
      </c>
      <c r="B165" s="1">
        <v>2</v>
      </c>
      <c r="C165" s="1" t="s">
        <v>40</v>
      </c>
      <c r="D165" s="1" t="s">
        <v>880</v>
      </c>
      <c r="E165" s="1" t="s">
        <v>25</v>
      </c>
      <c r="F165" s="1" t="s">
        <v>25</v>
      </c>
      <c r="G165" s="1" t="s">
        <v>25</v>
      </c>
      <c r="H165" s="1" t="s">
        <v>619</v>
      </c>
      <c r="I165" s="1" t="s">
        <v>34</v>
      </c>
      <c r="J165" s="1" t="s">
        <v>34</v>
      </c>
      <c r="K165" s="1" t="s">
        <v>34</v>
      </c>
    </row>
    <row r="166" spans="1:15">
      <c r="A166" s="1" t="s">
        <v>520</v>
      </c>
      <c r="B166" s="1">
        <v>2</v>
      </c>
      <c r="C166" s="1" t="s">
        <v>40</v>
      </c>
      <c r="D166" s="1" t="s">
        <v>880</v>
      </c>
      <c r="E166" s="1" t="s">
        <v>25</v>
      </c>
      <c r="F166" s="1" t="s">
        <v>25</v>
      </c>
      <c r="G166" s="1" t="s">
        <v>25</v>
      </c>
      <c r="H166" s="1" t="s">
        <v>25</v>
      </c>
      <c r="I166" s="1" t="s">
        <v>881</v>
      </c>
      <c r="J166" s="1" t="s">
        <v>26</v>
      </c>
      <c r="K166" s="1" t="s">
        <v>26</v>
      </c>
    </row>
    <row r="167" spans="1:15">
      <c r="A167" s="1" t="s">
        <v>521</v>
      </c>
      <c r="B167" s="1">
        <v>2</v>
      </c>
      <c r="C167" s="1" t="s">
        <v>40</v>
      </c>
      <c r="D167" s="1" t="s">
        <v>880</v>
      </c>
      <c r="E167" s="1" t="s">
        <v>25</v>
      </c>
      <c r="F167" s="1" t="s">
        <v>25</v>
      </c>
      <c r="G167" s="1" t="s">
        <v>882</v>
      </c>
      <c r="H167" s="1" t="s">
        <v>447</v>
      </c>
      <c r="I167" s="1" t="s">
        <v>447</v>
      </c>
      <c r="J167" s="1" t="s">
        <v>447</v>
      </c>
      <c r="K167" s="1" t="s">
        <v>447</v>
      </c>
    </row>
    <row r="168" spans="1:15">
      <c r="A168" s="1" t="s">
        <v>522</v>
      </c>
      <c r="B168" s="1">
        <v>2</v>
      </c>
      <c r="C168" s="1" t="s">
        <v>40</v>
      </c>
      <c r="D168" s="1" t="s">
        <v>880</v>
      </c>
      <c r="E168" s="1" t="s">
        <v>25</v>
      </c>
      <c r="F168" s="1" t="s">
        <v>25</v>
      </c>
      <c r="G168" s="1" t="s">
        <v>620</v>
      </c>
      <c r="H168" s="1" t="s">
        <v>28</v>
      </c>
      <c r="I168" s="1" t="s">
        <v>28</v>
      </c>
      <c r="J168" s="1" t="s">
        <v>28</v>
      </c>
      <c r="K168" s="1" t="s">
        <v>28</v>
      </c>
    </row>
    <row r="169" spans="1:15">
      <c r="A169" s="1" t="s">
        <v>523</v>
      </c>
      <c r="B169" s="1">
        <v>2</v>
      </c>
      <c r="C169" s="1" t="s">
        <v>40</v>
      </c>
      <c r="D169" s="1" t="s">
        <v>880</v>
      </c>
      <c r="E169" s="1" t="s">
        <v>25</v>
      </c>
      <c r="F169" s="1" t="s">
        <v>25</v>
      </c>
      <c r="G169" s="1" t="s">
        <v>621</v>
      </c>
      <c r="H169" s="1" t="s">
        <v>448</v>
      </c>
      <c r="I169" s="1" t="s">
        <v>448</v>
      </c>
      <c r="J169" s="1" t="s">
        <v>448</v>
      </c>
      <c r="K169" s="1" t="s">
        <v>448</v>
      </c>
    </row>
    <row r="170" spans="1:15">
      <c r="A170" s="1" t="s">
        <v>524</v>
      </c>
      <c r="B170" s="1">
        <v>2</v>
      </c>
      <c r="C170" s="1" t="s">
        <v>40</v>
      </c>
      <c r="D170" s="1" t="s">
        <v>619</v>
      </c>
      <c r="E170" s="1" t="s">
        <v>34</v>
      </c>
      <c r="F170" s="1" t="s">
        <v>34</v>
      </c>
      <c r="G170" s="1" t="s">
        <v>34</v>
      </c>
      <c r="H170" s="1" t="s">
        <v>619</v>
      </c>
      <c r="I170" s="1" t="s">
        <v>34</v>
      </c>
      <c r="J170" s="1" t="s">
        <v>34</v>
      </c>
      <c r="K170" s="1" t="s">
        <v>34</v>
      </c>
      <c r="L170" s="1" t="s">
        <v>34</v>
      </c>
      <c r="M170" s="1" t="s">
        <v>34</v>
      </c>
    </row>
    <row r="171" spans="1:15">
      <c r="A171" s="1" t="s">
        <v>525</v>
      </c>
      <c r="B171" s="1">
        <v>2</v>
      </c>
      <c r="C171" s="1" t="s">
        <v>40</v>
      </c>
      <c r="D171" s="1" t="s">
        <v>619</v>
      </c>
      <c r="E171" s="1" t="s">
        <v>881</v>
      </c>
      <c r="F171" s="1" t="s">
        <v>26</v>
      </c>
      <c r="G171" s="1" t="s">
        <v>26</v>
      </c>
      <c r="H171" s="1" t="s">
        <v>26</v>
      </c>
      <c r="I171" s="1" t="s">
        <v>26</v>
      </c>
    </row>
    <row r="172" spans="1:15">
      <c r="A172" s="1" t="s">
        <v>526</v>
      </c>
      <c r="B172" s="1">
        <v>2</v>
      </c>
      <c r="C172" s="1" t="s">
        <v>40</v>
      </c>
      <c r="D172" s="1" t="s">
        <v>619</v>
      </c>
      <c r="E172" s="1" t="s">
        <v>34</v>
      </c>
      <c r="F172" s="1" t="s">
        <v>34</v>
      </c>
      <c r="G172" s="1" t="s">
        <v>882</v>
      </c>
      <c r="H172" s="1" t="s">
        <v>447</v>
      </c>
      <c r="I172" s="1" t="s">
        <v>447</v>
      </c>
      <c r="J172" s="1" t="s">
        <v>447</v>
      </c>
      <c r="K172" s="1" t="s">
        <v>447</v>
      </c>
    </row>
    <row r="173" spans="1:15">
      <c r="A173" s="1" t="s">
        <v>527</v>
      </c>
      <c r="B173" s="1">
        <v>2</v>
      </c>
      <c r="C173" s="1" t="s">
        <v>40</v>
      </c>
      <c r="D173" s="1" t="s">
        <v>619</v>
      </c>
      <c r="E173" s="1" t="s">
        <v>34</v>
      </c>
      <c r="F173" s="1" t="s">
        <v>34</v>
      </c>
      <c r="G173" s="1" t="s">
        <v>620</v>
      </c>
      <c r="H173" s="1" t="s">
        <v>28</v>
      </c>
      <c r="I173" s="1" t="s">
        <v>28</v>
      </c>
      <c r="J173" s="1" t="s">
        <v>28</v>
      </c>
      <c r="K173" s="1" t="s">
        <v>28</v>
      </c>
    </row>
    <row r="174" spans="1:15">
      <c r="A174" s="1" t="s">
        <v>528</v>
      </c>
      <c r="B174" s="1">
        <v>2</v>
      </c>
      <c r="C174" s="1" t="s">
        <v>40</v>
      </c>
      <c r="D174" s="1" t="s">
        <v>619</v>
      </c>
      <c r="E174" s="1" t="s">
        <v>34</v>
      </c>
      <c r="F174" s="1" t="s">
        <v>34</v>
      </c>
      <c r="G174" s="1" t="s">
        <v>621</v>
      </c>
      <c r="H174" s="1" t="s">
        <v>448</v>
      </c>
      <c r="I174" s="1" t="s">
        <v>448</v>
      </c>
      <c r="J174" s="1" t="s">
        <v>448</v>
      </c>
      <c r="K174" s="1" t="s">
        <v>448</v>
      </c>
    </row>
    <row r="175" spans="1:15">
      <c r="A175" s="1" t="s">
        <v>529</v>
      </c>
      <c r="B175" s="1">
        <v>2</v>
      </c>
      <c r="C175" s="1" t="s">
        <v>40</v>
      </c>
      <c r="D175" s="1" t="s">
        <v>881</v>
      </c>
      <c r="E175" s="1" t="s">
        <v>26</v>
      </c>
      <c r="F175" s="1" t="s">
        <v>881</v>
      </c>
      <c r="G175" s="1" t="s">
        <v>26</v>
      </c>
      <c r="H175" s="1" t="s">
        <v>26</v>
      </c>
      <c r="I175" s="1" t="s">
        <v>26</v>
      </c>
      <c r="J175" s="1" t="s">
        <v>26</v>
      </c>
      <c r="K175" s="1" t="s">
        <v>26</v>
      </c>
    </row>
    <row r="176" spans="1:15">
      <c r="A176" s="1" t="s">
        <v>530</v>
      </c>
      <c r="B176" s="1">
        <v>2</v>
      </c>
      <c r="C176" s="1" t="s">
        <v>40</v>
      </c>
      <c r="D176" s="1" t="s">
        <v>881</v>
      </c>
      <c r="E176" s="1" t="s">
        <v>26</v>
      </c>
      <c r="F176" s="1" t="s">
        <v>26</v>
      </c>
      <c r="G176" s="1" t="s">
        <v>26</v>
      </c>
      <c r="H176" s="1" t="s">
        <v>882</v>
      </c>
      <c r="I176" s="1" t="s">
        <v>447</v>
      </c>
      <c r="J176" s="1" t="s">
        <v>447</v>
      </c>
      <c r="K176" s="1" t="s">
        <v>447</v>
      </c>
      <c r="L176" s="1" t="s">
        <v>447</v>
      </c>
    </row>
    <row r="177" spans="1:16">
      <c r="A177" s="1" t="s">
        <v>531</v>
      </c>
      <c r="B177" s="1">
        <v>2</v>
      </c>
      <c r="C177" s="1" t="s">
        <v>40</v>
      </c>
      <c r="D177" s="1" t="s">
        <v>881</v>
      </c>
      <c r="E177" s="1" t="s">
        <v>26</v>
      </c>
      <c r="F177" s="1" t="s">
        <v>26</v>
      </c>
      <c r="G177" s="1" t="s">
        <v>26</v>
      </c>
      <c r="H177" s="1" t="s">
        <v>620</v>
      </c>
      <c r="I177" s="1" t="s">
        <v>28</v>
      </c>
      <c r="J177" s="1" t="s">
        <v>28</v>
      </c>
      <c r="K177" s="1" t="s">
        <v>28</v>
      </c>
      <c r="L177" s="1" t="s">
        <v>28</v>
      </c>
    </row>
    <row r="178" spans="1:16">
      <c r="A178" s="1" t="s">
        <v>532</v>
      </c>
      <c r="B178" s="1">
        <v>2</v>
      </c>
      <c r="C178" s="1" t="s">
        <v>40</v>
      </c>
      <c r="D178" s="1" t="s">
        <v>881</v>
      </c>
      <c r="E178" s="1" t="s">
        <v>26</v>
      </c>
      <c r="F178" s="1" t="s">
        <v>26</v>
      </c>
      <c r="G178" s="1" t="s">
        <v>621</v>
      </c>
      <c r="H178" s="1" t="s">
        <v>448</v>
      </c>
      <c r="I178" s="1" t="s">
        <v>448</v>
      </c>
    </row>
    <row r="179" spans="1:16">
      <c r="A179" s="1" t="s">
        <v>533</v>
      </c>
      <c r="B179" s="1">
        <v>2</v>
      </c>
      <c r="C179" s="1" t="s">
        <v>40</v>
      </c>
      <c r="D179" s="1" t="s">
        <v>882</v>
      </c>
      <c r="E179" s="1" t="s">
        <v>447</v>
      </c>
      <c r="F179" s="1" t="s">
        <v>447</v>
      </c>
      <c r="G179" s="1" t="s">
        <v>447</v>
      </c>
      <c r="H179" s="1" t="s">
        <v>882</v>
      </c>
      <c r="I179" s="1" t="s">
        <v>447</v>
      </c>
      <c r="J179" s="1" t="s">
        <v>447</v>
      </c>
      <c r="K179" s="1" t="s">
        <v>447</v>
      </c>
      <c r="L179" s="1" t="s">
        <v>447</v>
      </c>
      <c r="M179" s="1" t="s">
        <v>447</v>
      </c>
    </row>
    <row r="180" spans="1:16">
      <c r="A180" s="1" t="s">
        <v>534</v>
      </c>
      <c r="B180" s="1">
        <v>2</v>
      </c>
      <c r="C180" s="1" t="s">
        <v>40</v>
      </c>
      <c r="D180" s="1" t="s">
        <v>882</v>
      </c>
      <c r="E180" s="1" t="s">
        <v>447</v>
      </c>
      <c r="F180" s="1" t="s">
        <v>447</v>
      </c>
      <c r="G180" s="1" t="s">
        <v>447</v>
      </c>
      <c r="H180" s="1" t="s">
        <v>620</v>
      </c>
      <c r="I180" s="1" t="s">
        <v>28</v>
      </c>
      <c r="J180" s="1" t="s">
        <v>28</v>
      </c>
      <c r="K180" s="1" t="s">
        <v>28</v>
      </c>
      <c r="L180" s="1" t="s">
        <v>28</v>
      </c>
    </row>
    <row r="181" spans="1:16">
      <c r="A181" s="1" t="s">
        <v>535</v>
      </c>
      <c r="B181" s="1">
        <v>2</v>
      </c>
      <c r="C181" s="1" t="s">
        <v>40</v>
      </c>
      <c r="D181" s="1" t="s">
        <v>882</v>
      </c>
      <c r="E181" s="1" t="s">
        <v>447</v>
      </c>
      <c r="F181" s="1" t="s">
        <v>447</v>
      </c>
      <c r="G181" s="1" t="s">
        <v>621</v>
      </c>
      <c r="H181" s="1" t="s">
        <v>448</v>
      </c>
      <c r="I181" s="1" t="s">
        <v>448</v>
      </c>
    </row>
    <row r="182" spans="1:16">
      <c r="A182" s="1" t="s">
        <v>536</v>
      </c>
      <c r="B182" s="1">
        <v>2</v>
      </c>
      <c r="C182" s="1" t="s">
        <v>40</v>
      </c>
      <c r="D182" s="1" t="s">
        <v>620</v>
      </c>
      <c r="E182" s="1" t="s">
        <v>28</v>
      </c>
      <c r="F182" s="1" t="s">
        <v>28</v>
      </c>
      <c r="G182" s="1" t="s">
        <v>28</v>
      </c>
      <c r="H182" s="1" t="s">
        <v>620</v>
      </c>
      <c r="I182" s="1" t="s">
        <v>28</v>
      </c>
      <c r="J182" s="1" t="s">
        <v>28</v>
      </c>
      <c r="K182" s="1" t="s">
        <v>28</v>
      </c>
      <c r="L182" s="1" t="s">
        <v>28</v>
      </c>
      <c r="M182" s="1" t="s">
        <v>28</v>
      </c>
    </row>
    <row r="183" spans="1:16">
      <c r="A183" s="1" t="s">
        <v>537</v>
      </c>
      <c r="B183" s="1">
        <v>2</v>
      </c>
      <c r="C183" s="1" t="s">
        <v>40</v>
      </c>
      <c r="D183" s="1" t="s">
        <v>620</v>
      </c>
      <c r="E183" s="1" t="s">
        <v>28</v>
      </c>
      <c r="F183" s="1" t="s">
        <v>28</v>
      </c>
      <c r="G183" s="1" t="s">
        <v>621</v>
      </c>
      <c r="H183" s="1" t="s">
        <v>448</v>
      </c>
      <c r="I183" s="1" t="s">
        <v>448</v>
      </c>
    </row>
    <row r="184" spans="1:16">
      <c r="A184" s="1" t="s">
        <v>538</v>
      </c>
      <c r="B184" s="1">
        <v>2</v>
      </c>
      <c r="C184" s="1" t="s">
        <v>40</v>
      </c>
      <c r="D184" s="1" t="s">
        <v>621</v>
      </c>
      <c r="E184" s="1" t="s">
        <v>448</v>
      </c>
      <c r="F184" s="1" t="s">
        <v>621</v>
      </c>
      <c r="G184" s="1" t="s">
        <v>448</v>
      </c>
      <c r="H184" s="1" t="s">
        <v>448</v>
      </c>
      <c r="I184" s="1" t="s">
        <v>448</v>
      </c>
    </row>
    <row r="185" spans="1:16">
      <c r="A185" s="1" t="s">
        <v>252</v>
      </c>
      <c r="B185" s="1">
        <v>2</v>
      </c>
      <c r="C185" s="1" t="s">
        <v>40</v>
      </c>
      <c r="D185" s="1" t="s">
        <v>382</v>
      </c>
      <c r="E185" s="1" t="s">
        <v>25</v>
      </c>
      <c r="F185" s="1" t="s">
        <v>382</v>
      </c>
      <c r="G185" s="1" t="s">
        <v>25</v>
      </c>
      <c r="H185" s="1" t="s">
        <v>381</v>
      </c>
      <c r="I185" s="1" t="s">
        <v>26</v>
      </c>
      <c r="J185" s="1" t="s">
        <v>26</v>
      </c>
      <c r="K185" s="1" t="s">
        <v>26</v>
      </c>
      <c r="L185" s="1" t="s">
        <v>26</v>
      </c>
    </row>
    <row r="186" spans="1:16">
      <c r="A186" s="1" t="s">
        <v>253</v>
      </c>
      <c r="B186" s="1">
        <v>2</v>
      </c>
      <c r="C186" s="1" t="s">
        <v>40</v>
      </c>
      <c r="D186" s="1" t="s">
        <v>382</v>
      </c>
      <c r="E186" s="1" t="s">
        <v>25</v>
      </c>
      <c r="F186" s="1" t="s">
        <v>25</v>
      </c>
      <c r="G186" s="1" t="s">
        <v>25</v>
      </c>
      <c r="H186" s="1" t="s">
        <v>25</v>
      </c>
      <c r="I186" s="1" t="s">
        <v>382</v>
      </c>
      <c r="J186" s="1" t="s">
        <v>25</v>
      </c>
      <c r="K186" s="1" t="s">
        <v>25</v>
      </c>
      <c r="L186" s="1" t="s">
        <v>25</v>
      </c>
      <c r="M186" s="1" t="s">
        <v>25</v>
      </c>
      <c r="N186" s="1" t="s">
        <v>383</v>
      </c>
      <c r="O186" s="1" t="s">
        <v>447</v>
      </c>
      <c r="P186" s="1" t="s">
        <v>447</v>
      </c>
    </row>
    <row r="187" spans="1:16">
      <c r="A187" s="1" t="s">
        <v>54</v>
      </c>
      <c r="B187" s="1">
        <v>2</v>
      </c>
      <c r="C187" s="1" t="s">
        <v>40</v>
      </c>
      <c r="D187" s="1" t="s">
        <v>382</v>
      </c>
      <c r="E187" s="1" t="s">
        <v>25</v>
      </c>
      <c r="F187" s="1" t="s">
        <v>382</v>
      </c>
      <c r="G187" s="1" t="s">
        <v>25</v>
      </c>
      <c r="H187" s="1" t="s">
        <v>384</v>
      </c>
      <c r="I187" s="1" t="s">
        <v>28</v>
      </c>
      <c r="J187" s="1" t="s">
        <v>28</v>
      </c>
      <c r="K187" s="1" t="s">
        <v>28</v>
      </c>
      <c r="L187" s="1" t="s">
        <v>28</v>
      </c>
      <c r="M187" s="1" t="s">
        <v>28</v>
      </c>
      <c r="N187" s="1" t="s">
        <v>28</v>
      </c>
    </row>
    <row r="188" spans="1:16">
      <c r="A188" s="1" t="s">
        <v>254</v>
      </c>
      <c r="B188" s="1">
        <v>2</v>
      </c>
      <c r="C188" s="1" t="s">
        <v>40</v>
      </c>
      <c r="D188" s="1" t="s">
        <v>382</v>
      </c>
      <c r="E188" s="1" t="s">
        <v>25</v>
      </c>
      <c r="F188" s="1" t="s">
        <v>25</v>
      </c>
      <c r="G188" s="1" t="s">
        <v>382</v>
      </c>
      <c r="H188" s="1" t="s">
        <v>25</v>
      </c>
      <c r="I188" s="1" t="s">
        <v>25</v>
      </c>
      <c r="J188" s="1" t="s">
        <v>385</v>
      </c>
      <c r="K188" s="1" t="s">
        <v>448</v>
      </c>
      <c r="L188" s="1" t="s">
        <v>448</v>
      </c>
    </row>
    <row r="189" spans="1:16">
      <c r="A189" s="1" t="s">
        <v>255</v>
      </c>
      <c r="B189" s="1">
        <v>2</v>
      </c>
      <c r="C189" s="1" t="s">
        <v>40</v>
      </c>
      <c r="D189" s="1" t="s">
        <v>380</v>
      </c>
      <c r="E189" s="1" t="s">
        <v>34</v>
      </c>
      <c r="F189" s="1" t="s">
        <v>380</v>
      </c>
      <c r="G189" s="1" t="s">
        <v>34</v>
      </c>
      <c r="H189" s="1" t="s">
        <v>381</v>
      </c>
      <c r="I189" s="1" t="s">
        <v>26</v>
      </c>
      <c r="J189" s="1" t="s">
        <v>26</v>
      </c>
    </row>
    <row r="190" spans="1:16">
      <c r="A190" s="1" t="s">
        <v>256</v>
      </c>
      <c r="B190" s="1">
        <v>2</v>
      </c>
      <c r="C190" s="1" t="s">
        <v>40</v>
      </c>
      <c r="D190" s="1" t="s">
        <v>380</v>
      </c>
      <c r="E190" s="1" t="s">
        <v>34</v>
      </c>
      <c r="F190" s="1" t="s">
        <v>380</v>
      </c>
      <c r="G190" s="1" t="s">
        <v>34</v>
      </c>
      <c r="H190" s="1" t="s">
        <v>383</v>
      </c>
      <c r="I190" s="1" t="s">
        <v>447</v>
      </c>
      <c r="J190" s="1" t="s">
        <v>447</v>
      </c>
      <c r="K190" s="1" t="s">
        <v>447</v>
      </c>
      <c r="L190" s="1" t="s">
        <v>447</v>
      </c>
    </row>
    <row r="191" spans="1:16">
      <c r="A191" s="1" t="s">
        <v>257</v>
      </c>
      <c r="B191" s="1">
        <v>2</v>
      </c>
      <c r="C191" s="1" t="s">
        <v>40</v>
      </c>
      <c r="D191" s="1" t="s">
        <v>380</v>
      </c>
      <c r="E191" s="1" t="s">
        <v>34</v>
      </c>
      <c r="F191" s="1" t="s">
        <v>380</v>
      </c>
      <c r="G191" s="1" t="s">
        <v>34</v>
      </c>
      <c r="H191" s="1" t="s">
        <v>384</v>
      </c>
      <c r="I191" s="1" t="s">
        <v>28</v>
      </c>
      <c r="J191" s="1" t="s">
        <v>28</v>
      </c>
      <c r="K191" s="1" t="s">
        <v>28</v>
      </c>
      <c r="L191" s="1" t="s">
        <v>28</v>
      </c>
    </row>
    <row r="192" spans="1:16">
      <c r="A192" s="1" t="s">
        <v>258</v>
      </c>
      <c r="B192" s="1">
        <v>2</v>
      </c>
      <c r="C192" s="1" t="s">
        <v>40</v>
      </c>
      <c r="D192" s="1" t="s">
        <v>380</v>
      </c>
      <c r="E192" s="1" t="s">
        <v>34</v>
      </c>
      <c r="F192" s="1" t="s">
        <v>380</v>
      </c>
      <c r="G192" s="1" t="s">
        <v>34</v>
      </c>
      <c r="H192" s="1" t="s">
        <v>385</v>
      </c>
      <c r="I192" s="1" t="s">
        <v>448</v>
      </c>
      <c r="J192" s="1" t="s">
        <v>448</v>
      </c>
    </row>
    <row r="193" spans="1:14">
      <c r="A193" s="1" t="s">
        <v>259</v>
      </c>
      <c r="B193" s="1">
        <v>2</v>
      </c>
      <c r="C193" s="1" t="s">
        <v>40</v>
      </c>
      <c r="D193" s="1" t="s">
        <v>382</v>
      </c>
      <c r="E193" s="1" t="s">
        <v>25</v>
      </c>
      <c r="F193" s="1" t="s">
        <v>25</v>
      </c>
      <c r="G193" s="1" t="s">
        <v>380</v>
      </c>
      <c r="H193" s="1" t="s">
        <v>34</v>
      </c>
      <c r="I193" s="1" t="s">
        <v>34</v>
      </c>
      <c r="J193" s="1" t="s">
        <v>381</v>
      </c>
      <c r="K193" s="1" t="s">
        <v>26</v>
      </c>
      <c r="L193" s="1" t="s">
        <v>26</v>
      </c>
    </row>
    <row r="194" spans="1:14">
      <c r="A194" s="1" t="s">
        <v>260</v>
      </c>
      <c r="B194" s="1">
        <v>2</v>
      </c>
      <c r="C194" s="1" t="s">
        <v>40</v>
      </c>
      <c r="D194" s="1" t="s">
        <v>382</v>
      </c>
      <c r="E194" s="1" t="s">
        <v>25</v>
      </c>
      <c r="F194" s="1" t="s">
        <v>25</v>
      </c>
      <c r="G194" s="1" t="s">
        <v>380</v>
      </c>
      <c r="H194" s="1" t="s">
        <v>34</v>
      </c>
      <c r="I194" s="1" t="s">
        <v>34</v>
      </c>
      <c r="J194" s="1" t="s">
        <v>383</v>
      </c>
      <c r="K194" s="1" t="s">
        <v>447</v>
      </c>
      <c r="L194" s="1" t="s">
        <v>447</v>
      </c>
      <c r="M194" s="1" t="s">
        <v>447</v>
      </c>
      <c r="N194" s="1" t="s">
        <v>447</v>
      </c>
    </row>
    <row r="195" spans="1:14">
      <c r="A195" s="1" t="s">
        <v>261</v>
      </c>
      <c r="B195" s="1">
        <v>2</v>
      </c>
      <c r="C195" s="1" t="s">
        <v>40</v>
      </c>
      <c r="D195" s="1" t="s">
        <v>382</v>
      </c>
      <c r="E195" s="1" t="s">
        <v>25</v>
      </c>
      <c r="F195" s="1" t="s">
        <v>25</v>
      </c>
      <c r="G195" s="1" t="s">
        <v>380</v>
      </c>
      <c r="H195" s="1" t="s">
        <v>34</v>
      </c>
      <c r="I195" s="1" t="s">
        <v>34</v>
      </c>
      <c r="J195" s="1" t="s">
        <v>384</v>
      </c>
      <c r="K195" s="1" t="s">
        <v>28</v>
      </c>
      <c r="L195" s="1" t="s">
        <v>28</v>
      </c>
    </row>
    <row r="196" spans="1:14">
      <c r="A196" s="1" t="s">
        <v>262</v>
      </c>
      <c r="B196" s="1">
        <v>2</v>
      </c>
      <c r="C196" s="1" t="s">
        <v>40</v>
      </c>
      <c r="D196" s="1" t="s">
        <v>382</v>
      </c>
      <c r="E196" s="1" t="s">
        <v>25</v>
      </c>
      <c r="F196" s="1" t="s">
        <v>25</v>
      </c>
      <c r="G196" s="1" t="s">
        <v>380</v>
      </c>
      <c r="H196" s="1" t="s">
        <v>34</v>
      </c>
      <c r="I196" s="1" t="s">
        <v>34</v>
      </c>
      <c r="J196" s="1" t="s">
        <v>385</v>
      </c>
      <c r="K196" s="1" t="s">
        <v>448</v>
      </c>
      <c r="L196" s="1" t="s">
        <v>448</v>
      </c>
    </row>
    <row r="197" spans="1:14">
      <c r="A197" s="1" t="s">
        <v>539</v>
      </c>
      <c r="B197" s="1">
        <v>2</v>
      </c>
      <c r="C197" s="1" t="s">
        <v>40</v>
      </c>
      <c r="D197" s="1" t="s">
        <v>880</v>
      </c>
      <c r="E197" s="1" t="s">
        <v>880</v>
      </c>
      <c r="F197" s="1" t="s">
        <v>881</v>
      </c>
      <c r="G197" s="1" t="s">
        <v>26</v>
      </c>
      <c r="H197" s="1" t="s">
        <v>26</v>
      </c>
    </row>
    <row r="198" spans="1:14">
      <c r="A198" s="1" t="s">
        <v>540</v>
      </c>
      <c r="B198" s="1">
        <v>2</v>
      </c>
      <c r="C198" s="1" t="s">
        <v>40</v>
      </c>
      <c r="D198" s="1" t="s">
        <v>880</v>
      </c>
      <c r="E198" s="1" t="s">
        <v>25</v>
      </c>
      <c r="F198" s="1" t="s">
        <v>880</v>
      </c>
      <c r="G198" s="1" t="s">
        <v>25</v>
      </c>
      <c r="H198" s="1" t="s">
        <v>882</v>
      </c>
      <c r="I198" s="1" t="s">
        <v>447</v>
      </c>
      <c r="J198" s="1" t="s">
        <v>447</v>
      </c>
    </row>
    <row r="199" spans="1:14">
      <c r="A199" s="1" t="s">
        <v>541</v>
      </c>
      <c r="B199" s="1">
        <v>2</v>
      </c>
      <c r="C199" s="1" t="s">
        <v>40</v>
      </c>
      <c r="D199" s="1" t="s">
        <v>880</v>
      </c>
      <c r="E199" s="1" t="s">
        <v>25</v>
      </c>
      <c r="F199" s="1" t="s">
        <v>880</v>
      </c>
      <c r="G199" s="1" t="s">
        <v>25</v>
      </c>
      <c r="H199" s="1" t="s">
        <v>620</v>
      </c>
      <c r="I199" s="1" t="s">
        <v>28</v>
      </c>
      <c r="J199" s="1" t="s">
        <v>28</v>
      </c>
    </row>
    <row r="200" spans="1:14">
      <c r="A200" s="1" t="s">
        <v>542</v>
      </c>
      <c r="B200" s="1">
        <v>2</v>
      </c>
      <c r="C200" s="1" t="s">
        <v>40</v>
      </c>
      <c r="D200" s="1" t="s">
        <v>880</v>
      </c>
      <c r="E200" s="1" t="s">
        <v>880</v>
      </c>
      <c r="F200" s="1" t="s">
        <v>621</v>
      </c>
      <c r="G200" s="1" t="s">
        <v>448</v>
      </c>
      <c r="H200" s="1" t="s">
        <v>448</v>
      </c>
    </row>
    <row r="201" spans="1:14">
      <c r="A201" s="1" t="s">
        <v>543</v>
      </c>
      <c r="B201" s="1">
        <v>2</v>
      </c>
      <c r="C201" s="1" t="s">
        <v>40</v>
      </c>
      <c r="D201" s="1" t="s">
        <v>619</v>
      </c>
      <c r="E201" s="1" t="s">
        <v>619</v>
      </c>
      <c r="F201" s="1" t="s">
        <v>881</v>
      </c>
      <c r="G201" s="1" t="s">
        <v>26</v>
      </c>
      <c r="H201" s="1" t="s">
        <v>26</v>
      </c>
    </row>
    <row r="202" spans="1:14">
      <c r="A202" s="1" t="s">
        <v>544</v>
      </c>
      <c r="B202" s="1">
        <v>2</v>
      </c>
      <c r="C202" s="1" t="s">
        <v>40</v>
      </c>
      <c r="D202" s="1" t="s">
        <v>619</v>
      </c>
      <c r="E202" s="1" t="s">
        <v>34</v>
      </c>
      <c r="F202" s="1" t="s">
        <v>619</v>
      </c>
      <c r="G202" s="1" t="s">
        <v>34</v>
      </c>
      <c r="H202" s="1" t="s">
        <v>882</v>
      </c>
      <c r="I202" s="1" t="s">
        <v>447</v>
      </c>
      <c r="J202" s="1" t="s">
        <v>447</v>
      </c>
    </row>
    <row r="203" spans="1:14">
      <c r="A203" s="1" t="s">
        <v>545</v>
      </c>
      <c r="B203" s="1">
        <v>2</v>
      </c>
      <c r="C203" s="1" t="s">
        <v>40</v>
      </c>
      <c r="D203" s="1" t="s">
        <v>619</v>
      </c>
      <c r="E203" s="1" t="s">
        <v>34</v>
      </c>
      <c r="F203" s="1" t="s">
        <v>619</v>
      </c>
      <c r="G203" s="1" t="s">
        <v>34</v>
      </c>
      <c r="H203" s="1" t="s">
        <v>620</v>
      </c>
      <c r="I203" s="1" t="s">
        <v>28</v>
      </c>
      <c r="J203" s="1" t="s">
        <v>28</v>
      </c>
    </row>
    <row r="204" spans="1:14">
      <c r="A204" s="1" t="s">
        <v>546</v>
      </c>
      <c r="B204" s="1">
        <v>2</v>
      </c>
      <c r="C204" s="1" t="s">
        <v>40</v>
      </c>
      <c r="D204" s="1" t="s">
        <v>619</v>
      </c>
      <c r="E204" s="1" t="s">
        <v>619</v>
      </c>
      <c r="F204" s="1" t="s">
        <v>621</v>
      </c>
      <c r="G204" s="1" t="s">
        <v>448</v>
      </c>
      <c r="H204" s="1" t="s">
        <v>448</v>
      </c>
    </row>
    <row r="205" spans="1:14">
      <c r="A205" s="1" t="s">
        <v>547</v>
      </c>
      <c r="B205" s="1">
        <v>2</v>
      </c>
      <c r="C205" s="1" t="s">
        <v>40</v>
      </c>
      <c r="D205" s="1" t="s">
        <v>880</v>
      </c>
      <c r="E205" s="1" t="s">
        <v>619</v>
      </c>
      <c r="F205" s="1" t="s">
        <v>881</v>
      </c>
      <c r="G205" s="1" t="s">
        <v>26</v>
      </c>
      <c r="H205" s="1" t="s">
        <v>26</v>
      </c>
    </row>
    <row r="206" spans="1:14">
      <c r="A206" s="1" t="s">
        <v>548</v>
      </c>
      <c r="B206" s="1">
        <v>2</v>
      </c>
      <c r="C206" s="1" t="s">
        <v>40</v>
      </c>
      <c r="D206" s="1" t="s">
        <v>880</v>
      </c>
      <c r="E206" s="1" t="s">
        <v>619</v>
      </c>
      <c r="F206" s="1" t="s">
        <v>882</v>
      </c>
      <c r="G206" s="1" t="s">
        <v>447</v>
      </c>
      <c r="H206" s="1" t="s">
        <v>447</v>
      </c>
      <c r="I206" s="1" t="s">
        <v>447</v>
      </c>
      <c r="J206" s="1" t="s">
        <v>447</v>
      </c>
    </row>
    <row r="207" spans="1:14">
      <c r="A207" s="1" t="s">
        <v>549</v>
      </c>
      <c r="B207" s="1">
        <v>2</v>
      </c>
      <c r="C207" s="1" t="s">
        <v>40</v>
      </c>
      <c r="D207" s="1" t="s">
        <v>880</v>
      </c>
      <c r="E207" s="1" t="s">
        <v>25</v>
      </c>
      <c r="F207" s="1" t="s">
        <v>619</v>
      </c>
      <c r="G207" s="1" t="s">
        <v>34</v>
      </c>
      <c r="H207" s="1" t="s">
        <v>620</v>
      </c>
      <c r="I207" s="1" t="s">
        <v>28</v>
      </c>
      <c r="J207" s="1" t="s">
        <v>28</v>
      </c>
    </row>
    <row r="208" spans="1:14">
      <c r="A208" s="1" t="s">
        <v>550</v>
      </c>
      <c r="B208" s="1">
        <v>2</v>
      </c>
      <c r="C208" s="1" t="s">
        <v>40</v>
      </c>
      <c r="D208" s="1" t="s">
        <v>880</v>
      </c>
      <c r="E208" s="1" t="s">
        <v>25</v>
      </c>
      <c r="F208" s="1" t="s">
        <v>619</v>
      </c>
      <c r="G208" s="1" t="s">
        <v>34</v>
      </c>
      <c r="H208" s="1" t="s">
        <v>621</v>
      </c>
      <c r="I208" s="1" t="s">
        <v>448</v>
      </c>
      <c r="J208" s="1" t="s">
        <v>448</v>
      </c>
    </row>
    <row r="209" spans="1:16">
      <c r="A209" s="1" t="s">
        <v>263</v>
      </c>
      <c r="B209" s="1">
        <v>2</v>
      </c>
      <c r="C209" s="1" t="s">
        <v>40</v>
      </c>
      <c r="D209" s="1" t="s">
        <v>382</v>
      </c>
      <c r="E209" s="1" t="s">
        <v>25</v>
      </c>
      <c r="F209" s="1" t="s">
        <v>25</v>
      </c>
      <c r="G209" s="1" t="s">
        <v>381</v>
      </c>
      <c r="H209" s="1" t="s">
        <v>26</v>
      </c>
      <c r="I209" s="1" t="s">
        <v>26</v>
      </c>
      <c r="J209" s="1" t="s">
        <v>381</v>
      </c>
      <c r="K209" s="1" t="s">
        <v>26</v>
      </c>
      <c r="L209" s="1" t="s">
        <v>26</v>
      </c>
    </row>
    <row r="210" spans="1:16">
      <c r="A210" s="1" t="s">
        <v>53</v>
      </c>
      <c r="B210" s="1">
        <v>2</v>
      </c>
      <c r="C210" s="1" t="s">
        <v>40</v>
      </c>
      <c r="D210" s="1" t="s">
        <v>382</v>
      </c>
      <c r="E210" s="1" t="s">
        <v>25</v>
      </c>
      <c r="F210" s="1" t="s">
        <v>25</v>
      </c>
      <c r="G210" s="1" t="s">
        <v>383</v>
      </c>
      <c r="H210" s="1" t="s">
        <v>447</v>
      </c>
      <c r="I210" s="1" t="s">
        <v>447</v>
      </c>
      <c r="J210" s="1" t="s">
        <v>383</v>
      </c>
      <c r="K210" s="1" t="s">
        <v>447</v>
      </c>
      <c r="L210" s="1" t="s">
        <v>447</v>
      </c>
    </row>
    <row r="211" spans="1:16">
      <c r="A211" s="1" t="s">
        <v>52</v>
      </c>
      <c r="B211" s="1">
        <v>2</v>
      </c>
      <c r="C211" s="1" t="s">
        <v>40</v>
      </c>
      <c r="D211" s="1" t="s">
        <v>382</v>
      </c>
      <c r="E211" s="1" t="s">
        <v>25</v>
      </c>
      <c r="F211" s="1" t="s">
        <v>25</v>
      </c>
      <c r="G211" s="1" t="s">
        <v>384</v>
      </c>
      <c r="H211" s="1" t="s">
        <v>28</v>
      </c>
      <c r="I211" s="1" t="s">
        <v>28</v>
      </c>
      <c r="J211" s="1" t="s">
        <v>28</v>
      </c>
      <c r="K211" s="1" t="s">
        <v>384</v>
      </c>
      <c r="L211" s="1" t="s">
        <v>28</v>
      </c>
      <c r="M211" s="1" t="s">
        <v>28</v>
      </c>
      <c r="N211" s="1" t="s">
        <v>28</v>
      </c>
    </row>
    <row r="212" spans="1:16">
      <c r="A212" s="1" t="s">
        <v>264</v>
      </c>
      <c r="B212" s="1">
        <v>2</v>
      </c>
      <c r="C212" s="1" t="s">
        <v>40</v>
      </c>
      <c r="D212" s="1" t="s">
        <v>382</v>
      </c>
      <c r="E212" s="1" t="s">
        <v>25</v>
      </c>
      <c r="F212" s="1" t="s">
        <v>25</v>
      </c>
      <c r="G212" s="1" t="s">
        <v>385</v>
      </c>
      <c r="H212" s="1" t="s">
        <v>448</v>
      </c>
      <c r="I212" s="1" t="s">
        <v>448</v>
      </c>
      <c r="J212" s="1" t="s">
        <v>385</v>
      </c>
      <c r="K212" s="1" t="s">
        <v>448</v>
      </c>
      <c r="L212" s="1" t="s">
        <v>448</v>
      </c>
    </row>
    <row r="213" spans="1:16">
      <c r="A213" s="1" t="s">
        <v>265</v>
      </c>
      <c r="B213" s="1">
        <v>2</v>
      </c>
      <c r="C213" s="1" t="s">
        <v>40</v>
      </c>
      <c r="D213" s="1" t="s">
        <v>382</v>
      </c>
      <c r="E213" s="1" t="s">
        <v>25</v>
      </c>
      <c r="F213" s="1" t="s">
        <v>25</v>
      </c>
      <c r="G213" s="1" t="s">
        <v>381</v>
      </c>
      <c r="H213" s="1" t="s">
        <v>26</v>
      </c>
      <c r="I213" s="1" t="s">
        <v>26</v>
      </c>
      <c r="J213" s="1" t="s">
        <v>383</v>
      </c>
      <c r="K213" s="1" t="s">
        <v>447</v>
      </c>
      <c r="L213" s="1" t="s">
        <v>447</v>
      </c>
    </row>
    <row r="214" spans="1:16">
      <c r="A214" s="1" t="s">
        <v>266</v>
      </c>
      <c r="B214" s="1">
        <v>2</v>
      </c>
      <c r="C214" s="1" t="s">
        <v>40</v>
      </c>
      <c r="D214" s="1" t="s">
        <v>382</v>
      </c>
      <c r="E214" s="1" t="s">
        <v>25</v>
      </c>
      <c r="F214" s="1" t="s">
        <v>25</v>
      </c>
      <c r="G214" s="1" t="s">
        <v>381</v>
      </c>
      <c r="H214" s="1" t="s">
        <v>26</v>
      </c>
      <c r="I214" s="1" t="s">
        <v>26</v>
      </c>
      <c r="J214" s="1" t="s">
        <v>384</v>
      </c>
      <c r="K214" s="1" t="s">
        <v>28</v>
      </c>
      <c r="L214" s="1" t="s">
        <v>28</v>
      </c>
    </row>
    <row r="215" spans="1:16">
      <c r="A215" s="1" t="s">
        <v>267</v>
      </c>
      <c r="B215" s="1">
        <v>2</v>
      </c>
      <c r="C215" s="1" t="s">
        <v>40</v>
      </c>
      <c r="D215" s="1" t="s">
        <v>382</v>
      </c>
      <c r="E215" s="1" t="s">
        <v>25</v>
      </c>
      <c r="F215" s="1" t="s">
        <v>25</v>
      </c>
      <c r="G215" s="1" t="s">
        <v>383</v>
      </c>
      <c r="H215" s="1" t="s">
        <v>447</v>
      </c>
      <c r="I215" s="1" t="s">
        <v>447</v>
      </c>
      <c r="J215" s="1" t="s">
        <v>384</v>
      </c>
      <c r="K215" s="1" t="s">
        <v>28</v>
      </c>
      <c r="L215" s="1" t="s">
        <v>28</v>
      </c>
    </row>
    <row r="216" spans="1:16">
      <c r="A216" s="1" t="s">
        <v>268</v>
      </c>
      <c r="B216" s="1">
        <v>2</v>
      </c>
      <c r="C216" s="1" t="s">
        <v>40</v>
      </c>
      <c r="D216" s="1" t="s">
        <v>382</v>
      </c>
      <c r="E216" s="1" t="s">
        <v>25</v>
      </c>
      <c r="F216" s="1" t="s">
        <v>25</v>
      </c>
      <c r="G216" s="1" t="s">
        <v>383</v>
      </c>
      <c r="H216" s="1" t="s">
        <v>447</v>
      </c>
      <c r="I216" s="1" t="s">
        <v>447</v>
      </c>
      <c r="J216" s="1" t="s">
        <v>385</v>
      </c>
      <c r="K216" s="1" t="s">
        <v>448</v>
      </c>
      <c r="L216" s="1" t="s">
        <v>448</v>
      </c>
    </row>
    <row r="217" spans="1:16">
      <c r="A217" s="1" t="s">
        <v>269</v>
      </c>
      <c r="B217" s="1">
        <v>2</v>
      </c>
      <c r="C217" s="1" t="s">
        <v>40</v>
      </c>
      <c r="D217" s="1" t="s">
        <v>382</v>
      </c>
      <c r="E217" s="1" t="s">
        <v>25</v>
      </c>
      <c r="F217" s="1" t="s">
        <v>25</v>
      </c>
      <c r="G217" s="1" t="s">
        <v>384</v>
      </c>
      <c r="H217" s="1" t="s">
        <v>28</v>
      </c>
      <c r="I217" s="1" t="s">
        <v>28</v>
      </c>
      <c r="J217" s="1" t="s">
        <v>385</v>
      </c>
      <c r="K217" s="1" t="s">
        <v>448</v>
      </c>
      <c r="L217" s="1" t="s">
        <v>448</v>
      </c>
    </row>
    <row r="218" spans="1:16">
      <c r="A218" s="1" t="s">
        <v>270</v>
      </c>
      <c r="B218" s="1">
        <v>2</v>
      </c>
      <c r="C218" s="1" t="s">
        <v>40</v>
      </c>
      <c r="D218" s="1" t="s">
        <v>380</v>
      </c>
      <c r="E218" s="1" t="s">
        <v>34</v>
      </c>
      <c r="F218" s="1" t="s">
        <v>34</v>
      </c>
      <c r="G218" s="1" t="s">
        <v>383</v>
      </c>
      <c r="H218" s="1" t="s">
        <v>447</v>
      </c>
      <c r="I218" s="1" t="s">
        <v>383</v>
      </c>
      <c r="J218" s="1" t="s">
        <v>447</v>
      </c>
    </row>
    <row r="219" spans="1:16">
      <c r="A219" s="1" t="s">
        <v>271</v>
      </c>
      <c r="B219" s="1">
        <v>2</v>
      </c>
      <c r="C219" s="1" t="s">
        <v>40</v>
      </c>
      <c r="D219" s="1" t="s">
        <v>380</v>
      </c>
      <c r="E219" s="1" t="s">
        <v>34</v>
      </c>
      <c r="F219" s="1" t="s">
        <v>34</v>
      </c>
      <c r="G219" s="1" t="s">
        <v>384</v>
      </c>
      <c r="H219" s="1" t="s">
        <v>28</v>
      </c>
      <c r="I219" s="1" t="s">
        <v>384</v>
      </c>
      <c r="J219" s="1" t="s">
        <v>28</v>
      </c>
    </row>
    <row r="220" spans="1:16">
      <c r="A220" s="1" t="s">
        <v>272</v>
      </c>
      <c r="B220" s="1">
        <v>2</v>
      </c>
      <c r="C220" s="1" t="s">
        <v>40</v>
      </c>
      <c r="D220" s="1" t="s">
        <v>380</v>
      </c>
      <c r="E220" s="1" t="s">
        <v>34</v>
      </c>
      <c r="F220" s="1" t="s">
        <v>34</v>
      </c>
      <c r="G220" s="1" t="s">
        <v>34</v>
      </c>
      <c r="H220" s="1" t="s">
        <v>34</v>
      </c>
      <c r="I220" s="1" t="s">
        <v>385</v>
      </c>
      <c r="J220" s="1" t="s">
        <v>448</v>
      </c>
      <c r="K220" s="1" t="s">
        <v>385</v>
      </c>
      <c r="L220" s="1" t="s">
        <v>448</v>
      </c>
    </row>
    <row r="221" spans="1:16">
      <c r="A221" s="1" t="s">
        <v>273</v>
      </c>
      <c r="B221" s="1">
        <v>2</v>
      </c>
      <c r="C221" s="1" t="s">
        <v>40</v>
      </c>
      <c r="D221" s="1" t="s">
        <v>380</v>
      </c>
      <c r="E221" s="1" t="s">
        <v>34</v>
      </c>
      <c r="F221" s="1" t="s">
        <v>34</v>
      </c>
      <c r="G221" s="1" t="s">
        <v>381</v>
      </c>
      <c r="H221" s="1" t="s">
        <v>26</v>
      </c>
      <c r="I221" s="1" t="s">
        <v>26</v>
      </c>
      <c r="J221" s="1" t="s">
        <v>383</v>
      </c>
      <c r="K221" s="1" t="s">
        <v>447</v>
      </c>
      <c r="L221" s="1" t="s">
        <v>447</v>
      </c>
    </row>
    <row r="222" spans="1:16">
      <c r="A222" s="1" t="s">
        <v>274</v>
      </c>
      <c r="B222" s="1">
        <v>2</v>
      </c>
      <c r="C222" s="1" t="s">
        <v>40</v>
      </c>
      <c r="D222" s="1" t="s">
        <v>380</v>
      </c>
      <c r="E222" s="1" t="s">
        <v>381</v>
      </c>
      <c r="F222" s="1" t="s">
        <v>26</v>
      </c>
      <c r="G222" s="1" t="s">
        <v>26</v>
      </c>
      <c r="H222" s="1" t="s">
        <v>26</v>
      </c>
      <c r="I222" s="1" t="s">
        <v>384</v>
      </c>
      <c r="J222" s="1" t="s">
        <v>28</v>
      </c>
      <c r="K222" s="1" t="s">
        <v>28</v>
      </c>
      <c r="L222" s="1" t="s">
        <v>28</v>
      </c>
      <c r="M222" s="1" t="s">
        <v>28</v>
      </c>
      <c r="N222" s="1" t="s">
        <v>28</v>
      </c>
      <c r="O222" s="1" t="s">
        <v>28</v>
      </c>
      <c r="P222" s="1" t="s">
        <v>28</v>
      </c>
    </row>
    <row r="223" spans="1:16">
      <c r="A223" s="1" t="s">
        <v>275</v>
      </c>
      <c r="B223" s="1">
        <v>2</v>
      </c>
      <c r="C223" s="1" t="s">
        <v>40</v>
      </c>
      <c r="D223" s="1" t="s">
        <v>380</v>
      </c>
      <c r="E223" s="1" t="s">
        <v>34</v>
      </c>
      <c r="F223" s="1" t="s">
        <v>34</v>
      </c>
      <c r="G223" s="1" t="s">
        <v>383</v>
      </c>
      <c r="H223" s="1" t="s">
        <v>447</v>
      </c>
      <c r="I223" s="1" t="s">
        <v>447</v>
      </c>
      <c r="J223" s="1" t="s">
        <v>384</v>
      </c>
      <c r="K223" s="1" t="s">
        <v>28</v>
      </c>
      <c r="L223" s="1" t="s">
        <v>28</v>
      </c>
    </row>
    <row r="224" spans="1:16">
      <c r="A224" s="1" t="s">
        <v>276</v>
      </c>
      <c r="B224" s="1">
        <v>2</v>
      </c>
      <c r="C224" s="1" t="s">
        <v>40</v>
      </c>
      <c r="D224" s="1" t="s">
        <v>380</v>
      </c>
      <c r="E224" s="1" t="s">
        <v>34</v>
      </c>
      <c r="F224" s="1" t="s">
        <v>34</v>
      </c>
      <c r="G224" s="1" t="s">
        <v>383</v>
      </c>
      <c r="H224" s="1" t="s">
        <v>447</v>
      </c>
      <c r="I224" s="1" t="s">
        <v>447</v>
      </c>
      <c r="J224" s="1" t="s">
        <v>385</v>
      </c>
      <c r="K224" s="1" t="s">
        <v>448</v>
      </c>
      <c r="L224" s="1" t="s">
        <v>448</v>
      </c>
    </row>
    <row r="225" spans="1:12">
      <c r="A225" s="1" t="s">
        <v>277</v>
      </c>
      <c r="B225" s="1">
        <v>2</v>
      </c>
      <c r="C225" s="1" t="s">
        <v>40</v>
      </c>
      <c r="D225" s="1" t="s">
        <v>380</v>
      </c>
      <c r="E225" s="1" t="s">
        <v>34</v>
      </c>
      <c r="F225" s="1" t="s">
        <v>34</v>
      </c>
      <c r="G225" s="1" t="s">
        <v>384</v>
      </c>
      <c r="H225" s="1" t="s">
        <v>28</v>
      </c>
      <c r="I225" s="1" t="s">
        <v>28</v>
      </c>
      <c r="J225" s="1" t="s">
        <v>385</v>
      </c>
      <c r="K225" s="1" t="s">
        <v>448</v>
      </c>
      <c r="L225" s="1" t="s">
        <v>448</v>
      </c>
    </row>
    <row r="226" spans="1:12">
      <c r="A226" s="1" t="s">
        <v>551</v>
      </c>
      <c r="B226" s="1">
        <v>2</v>
      </c>
      <c r="C226" s="1" t="s">
        <v>40</v>
      </c>
      <c r="D226" s="1" t="s">
        <v>880</v>
      </c>
      <c r="E226" s="1" t="s">
        <v>25</v>
      </c>
      <c r="F226" s="1" t="s">
        <v>25</v>
      </c>
      <c r="G226" s="1" t="s">
        <v>881</v>
      </c>
      <c r="H226" s="1" t="s">
        <v>881</v>
      </c>
    </row>
    <row r="227" spans="1:12">
      <c r="A227" s="1" t="s">
        <v>552</v>
      </c>
      <c r="B227" s="1">
        <v>2</v>
      </c>
      <c r="C227" s="1" t="s">
        <v>40</v>
      </c>
      <c r="D227" s="1" t="s">
        <v>880</v>
      </c>
      <c r="E227" s="1" t="s">
        <v>25</v>
      </c>
      <c r="F227" s="1" t="s">
        <v>25</v>
      </c>
      <c r="G227" s="1" t="s">
        <v>25</v>
      </c>
      <c r="H227" s="1" t="s">
        <v>25</v>
      </c>
      <c r="I227" s="1" t="s">
        <v>882</v>
      </c>
      <c r="J227" s="1" t="s">
        <v>447</v>
      </c>
      <c r="K227" s="1" t="s">
        <v>882</v>
      </c>
      <c r="L227" s="1" t="s">
        <v>447</v>
      </c>
    </row>
    <row r="228" spans="1:12">
      <c r="A228" s="1" t="s">
        <v>553</v>
      </c>
      <c r="B228" s="1">
        <v>2</v>
      </c>
      <c r="C228" s="1" t="s">
        <v>40</v>
      </c>
      <c r="D228" s="1" t="s">
        <v>880</v>
      </c>
      <c r="E228" s="1" t="s">
        <v>25</v>
      </c>
      <c r="F228" s="1" t="s">
        <v>25</v>
      </c>
      <c r="G228" s="1" t="s">
        <v>620</v>
      </c>
      <c r="H228" s="1" t="s">
        <v>28</v>
      </c>
      <c r="I228" s="1" t="s">
        <v>620</v>
      </c>
      <c r="J228" s="1" t="s">
        <v>28</v>
      </c>
    </row>
    <row r="229" spans="1:12">
      <c r="A229" s="1" t="s">
        <v>554</v>
      </c>
      <c r="B229" s="1">
        <v>2</v>
      </c>
      <c r="C229" s="1" t="s">
        <v>40</v>
      </c>
      <c r="D229" s="1" t="s">
        <v>880</v>
      </c>
      <c r="E229" s="1" t="s">
        <v>25</v>
      </c>
      <c r="F229" s="1" t="s">
        <v>25</v>
      </c>
      <c r="G229" s="1" t="s">
        <v>621</v>
      </c>
      <c r="H229" s="1" t="s">
        <v>448</v>
      </c>
      <c r="I229" s="1" t="s">
        <v>621</v>
      </c>
      <c r="J229" s="1" t="s">
        <v>448</v>
      </c>
    </row>
    <row r="230" spans="1:12">
      <c r="A230" s="1" t="s">
        <v>555</v>
      </c>
      <c r="B230" s="1">
        <v>2</v>
      </c>
      <c r="C230" s="1" t="s">
        <v>40</v>
      </c>
      <c r="D230" s="1" t="s">
        <v>880</v>
      </c>
      <c r="E230" s="1" t="s">
        <v>25</v>
      </c>
      <c r="F230" s="1" t="s">
        <v>25</v>
      </c>
      <c r="G230" s="1" t="s">
        <v>25</v>
      </c>
      <c r="H230" s="1" t="s">
        <v>25</v>
      </c>
      <c r="I230" s="1" t="s">
        <v>881</v>
      </c>
      <c r="J230" s="1" t="s">
        <v>882</v>
      </c>
    </row>
    <row r="231" spans="1:12">
      <c r="A231" s="1" t="s">
        <v>556</v>
      </c>
      <c r="B231" s="1">
        <v>2</v>
      </c>
      <c r="C231" s="1" t="s">
        <v>40</v>
      </c>
      <c r="D231" s="1" t="s">
        <v>880</v>
      </c>
      <c r="E231" s="1" t="s">
        <v>881</v>
      </c>
      <c r="F231" s="1" t="s">
        <v>26</v>
      </c>
      <c r="G231" s="1" t="s">
        <v>620</v>
      </c>
      <c r="H231" s="1" t="s">
        <v>28</v>
      </c>
    </row>
    <row r="232" spans="1:12">
      <c r="A232" s="1" t="s">
        <v>557</v>
      </c>
      <c r="B232" s="1">
        <v>2</v>
      </c>
      <c r="C232" s="1" t="s">
        <v>40</v>
      </c>
      <c r="D232" s="1" t="s">
        <v>880</v>
      </c>
      <c r="E232" s="1" t="s">
        <v>882</v>
      </c>
      <c r="F232" s="1" t="s">
        <v>447</v>
      </c>
      <c r="G232" s="1" t="s">
        <v>447</v>
      </c>
      <c r="H232" s="1" t="s">
        <v>620</v>
      </c>
      <c r="I232" s="1" t="s">
        <v>28</v>
      </c>
      <c r="J232" s="1" t="s">
        <v>28</v>
      </c>
    </row>
    <row r="233" spans="1:12">
      <c r="A233" s="1" t="s">
        <v>558</v>
      </c>
      <c r="B233" s="1">
        <v>2</v>
      </c>
      <c r="C233" s="1" t="s">
        <v>40</v>
      </c>
      <c r="D233" s="1" t="s">
        <v>880</v>
      </c>
      <c r="E233" s="1" t="s">
        <v>882</v>
      </c>
      <c r="F233" s="1" t="s">
        <v>447</v>
      </c>
      <c r="G233" s="1" t="s">
        <v>447</v>
      </c>
      <c r="H233" s="1" t="s">
        <v>621</v>
      </c>
      <c r="I233" s="1" t="s">
        <v>448</v>
      </c>
      <c r="J233" s="1" t="s">
        <v>448</v>
      </c>
    </row>
    <row r="234" spans="1:12">
      <c r="A234" s="1" t="s">
        <v>559</v>
      </c>
      <c r="B234" s="1">
        <v>2</v>
      </c>
      <c r="C234" s="1" t="s">
        <v>40</v>
      </c>
      <c r="D234" s="1" t="s">
        <v>880</v>
      </c>
      <c r="E234" s="1" t="s">
        <v>620</v>
      </c>
      <c r="F234" s="1" t="s">
        <v>28</v>
      </c>
      <c r="G234" s="1" t="s">
        <v>28</v>
      </c>
      <c r="H234" s="1" t="s">
        <v>621</v>
      </c>
      <c r="I234" s="1" t="s">
        <v>448</v>
      </c>
      <c r="J234" s="1" t="s">
        <v>448</v>
      </c>
    </row>
    <row r="235" spans="1:12">
      <c r="A235" s="1" t="s">
        <v>560</v>
      </c>
      <c r="B235" s="1">
        <v>2</v>
      </c>
      <c r="C235" s="1" t="s">
        <v>40</v>
      </c>
      <c r="D235" s="1" t="s">
        <v>619</v>
      </c>
      <c r="E235" s="1" t="s">
        <v>34</v>
      </c>
      <c r="F235" s="1" t="s">
        <v>34</v>
      </c>
      <c r="G235" s="1" t="s">
        <v>882</v>
      </c>
      <c r="H235" s="1" t="s">
        <v>447</v>
      </c>
      <c r="I235" s="1" t="s">
        <v>882</v>
      </c>
      <c r="J235" s="1" t="s">
        <v>447</v>
      </c>
    </row>
    <row r="236" spans="1:12">
      <c r="A236" s="1" t="s">
        <v>561</v>
      </c>
      <c r="B236" s="1">
        <v>2</v>
      </c>
      <c r="C236" s="1" t="s">
        <v>40</v>
      </c>
      <c r="D236" s="1" t="s">
        <v>619</v>
      </c>
      <c r="E236" s="1" t="s">
        <v>34</v>
      </c>
      <c r="F236" s="1" t="s">
        <v>34</v>
      </c>
      <c r="G236" s="1" t="s">
        <v>620</v>
      </c>
      <c r="H236" s="1" t="s">
        <v>28</v>
      </c>
      <c r="I236" s="1" t="s">
        <v>620</v>
      </c>
      <c r="J236" s="1" t="s">
        <v>28</v>
      </c>
    </row>
    <row r="237" spans="1:12">
      <c r="A237" s="1" t="s">
        <v>562</v>
      </c>
      <c r="B237" s="1">
        <v>2</v>
      </c>
      <c r="C237" s="1" t="s">
        <v>40</v>
      </c>
      <c r="D237" s="1" t="s">
        <v>619</v>
      </c>
      <c r="E237" s="1" t="s">
        <v>34</v>
      </c>
      <c r="F237" s="1" t="s">
        <v>34</v>
      </c>
      <c r="G237" s="1" t="s">
        <v>34</v>
      </c>
      <c r="H237" s="1" t="s">
        <v>34</v>
      </c>
      <c r="I237" s="1" t="s">
        <v>621</v>
      </c>
      <c r="J237" s="1" t="s">
        <v>621</v>
      </c>
    </row>
    <row r="238" spans="1:12">
      <c r="A238" s="1" t="s">
        <v>563</v>
      </c>
      <c r="B238" s="1">
        <v>2</v>
      </c>
      <c r="C238" s="1" t="s">
        <v>40</v>
      </c>
      <c r="D238" s="1" t="s">
        <v>619</v>
      </c>
      <c r="E238" s="1" t="s">
        <v>881</v>
      </c>
      <c r="F238" s="1" t="s">
        <v>26</v>
      </c>
      <c r="G238" s="1" t="s">
        <v>882</v>
      </c>
      <c r="H238" s="1" t="s">
        <v>447</v>
      </c>
    </row>
    <row r="239" spans="1:12">
      <c r="A239" s="1" t="s">
        <v>564</v>
      </c>
      <c r="B239" s="1">
        <v>2</v>
      </c>
      <c r="C239" s="1" t="s">
        <v>40</v>
      </c>
      <c r="D239" s="1" t="s">
        <v>619</v>
      </c>
      <c r="E239" s="1" t="s">
        <v>881</v>
      </c>
      <c r="F239" s="1" t="s">
        <v>26</v>
      </c>
      <c r="G239" s="1" t="s">
        <v>620</v>
      </c>
      <c r="H239" s="1" t="s">
        <v>28</v>
      </c>
    </row>
    <row r="240" spans="1:12">
      <c r="A240" s="1" t="s">
        <v>565</v>
      </c>
      <c r="B240" s="1">
        <v>2</v>
      </c>
      <c r="C240" s="1" t="s">
        <v>40</v>
      </c>
      <c r="D240" s="1" t="s">
        <v>619</v>
      </c>
      <c r="E240" s="1" t="s">
        <v>34</v>
      </c>
      <c r="F240" s="1" t="s">
        <v>34</v>
      </c>
      <c r="G240" s="1" t="s">
        <v>882</v>
      </c>
      <c r="H240" s="1" t="s">
        <v>447</v>
      </c>
      <c r="I240" s="1" t="s">
        <v>620</v>
      </c>
      <c r="J240" s="1" t="s">
        <v>28</v>
      </c>
    </row>
    <row r="241" spans="1:18">
      <c r="A241" s="1" t="s">
        <v>566</v>
      </c>
      <c r="B241" s="1">
        <v>2</v>
      </c>
      <c r="C241" s="1" t="s">
        <v>40</v>
      </c>
      <c r="D241" s="1" t="s">
        <v>619</v>
      </c>
      <c r="E241" s="1" t="s">
        <v>882</v>
      </c>
      <c r="F241" s="1" t="s">
        <v>447</v>
      </c>
      <c r="G241" s="1" t="s">
        <v>447</v>
      </c>
      <c r="H241" s="1" t="s">
        <v>621</v>
      </c>
      <c r="I241" s="1" t="s">
        <v>448</v>
      </c>
      <c r="J241" s="1" t="s">
        <v>448</v>
      </c>
    </row>
    <row r="242" spans="1:18">
      <c r="A242" s="1" t="s">
        <v>567</v>
      </c>
      <c r="B242" s="1">
        <v>2</v>
      </c>
      <c r="C242" s="1" t="s">
        <v>40</v>
      </c>
      <c r="D242" s="1" t="s">
        <v>619</v>
      </c>
      <c r="E242" s="1" t="s">
        <v>620</v>
      </c>
      <c r="F242" s="1" t="s">
        <v>28</v>
      </c>
      <c r="G242" s="1" t="s">
        <v>28</v>
      </c>
      <c r="H242" s="1" t="s">
        <v>621</v>
      </c>
      <c r="I242" s="1" t="s">
        <v>448</v>
      </c>
      <c r="J242" s="1" t="s">
        <v>448</v>
      </c>
    </row>
    <row r="243" spans="1:18">
      <c r="A243" s="1" t="s">
        <v>278</v>
      </c>
      <c r="B243" s="1">
        <v>2</v>
      </c>
      <c r="C243" s="1" t="s">
        <v>40</v>
      </c>
      <c r="D243" s="1" t="s">
        <v>382</v>
      </c>
      <c r="E243" s="1" t="s">
        <v>25</v>
      </c>
      <c r="F243" s="1" t="s">
        <v>25</v>
      </c>
      <c r="G243" s="1" t="s">
        <v>382</v>
      </c>
      <c r="H243" s="1" t="s">
        <v>25</v>
      </c>
      <c r="I243" s="1" t="s">
        <v>25</v>
      </c>
      <c r="J243" s="1" t="s">
        <v>381</v>
      </c>
      <c r="K243" s="1" t="s">
        <v>26</v>
      </c>
      <c r="L243" s="1" t="s">
        <v>26</v>
      </c>
      <c r="M243" s="1" t="s">
        <v>26</v>
      </c>
      <c r="N243" s="1" t="s">
        <v>26</v>
      </c>
    </row>
    <row r="244" spans="1:18">
      <c r="A244" s="1" t="s">
        <v>279</v>
      </c>
      <c r="B244" s="1">
        <v>2</v>
      </c>
      <c r="C244" s="1" t="s">
        <v>40</v>
      </c>
      <c r="D244" s="1" t="s">
        <v>382</v>
      </c>
      <c r="E244" s="1" t="s">
        <v>25</v>
      </c>
      <c r="F244" s="1" t="s">
        <v>382</v>
      </c>
      <c r="G244" s="1" t="s">
        <v>25</v>
      </c>
      <c r="H244" s="1" t="s">
        <v>383</v>
      </c>
      <c r="I244" s="1" t="s">
        <v>447</v>
      </c>
      <c r="J244" s="1" t="s">
        <v>447</v>
      </c>
      <c r="K244" s="1" t="s">
        <v>447</v>
      </c>
      <c r="L244" s="1" t="s">
        <v>447</v>
      </c>
      <c r="M244" s="1" t="s">
        <v>447</v>
      </c>
      <c r="N244" s="1" t="s">
        <v>447</v>
      </c>
      <c r="O244" s="1" t="s">
        <v>447</v>
      </c>
      <c r="P244" s="1" t="s">
        <v>447</v>
      </c>
      <c r="Q244" s="1" t="s">
        <v>447</v>
      </c>
      <c r="R244" s="1" t="s">
        <v>447</v>
      </c>
    </row>
    <row r="245" spans="1:18">
      <c r="A245" s="1" t="s">
        <v>280</v>
      </c>
      <c r="B245" s="1">
        <v>2</v>
      </c>
      <c r="C245" s="1" t="s">
        <v>40</v>
      </c>
      <c r="D245" s="1" t="s">
        <v>382</v>
      </c>
      <c r="E245" s="1" t="s">
        <v>25</v>
      </c>
      <c r="F245" s="1" t="s">
        <v>25</v>
      </c>
      <c r="G245" s="1" t="s">
        <v>382</v>
      </c>
      <c r="H245" s="1" t="s">
        <v>25</v>
      </c>
      <c r="I245" s="1" t="s">
        <v>25</v>
      </c>
      <c r="J245" s="1" t="s">
        <v>384</v>
      </c>
      <c r="K245" s="1" t="s">
        <v>28</v>
      </c>
      <c r="L245" s="1" t="s">
        <v>28</v>
      </c>
      <c r="M245" s="1" t="s">
        <v>28</v>
      </c>
      <c r="N245" s="1" t="s">
        <v>28</v>
      </c>
      <c r="O245" s="1" t="s">
        <v>28</v>
      </c>
      <c r="P245" s="1" t="s">
        <v>28</v>
      </c>
    </row>
    <row r="246" spans="1:18">
      <c r="A246" s="1" t="s">
        <v>281</v>
      </c>
      <c r="B246" s="1">
        <v>2</v>
      </c>
      <c r="C246" s="1" t="s">
        <v>40</v>
      </c>
      <c r="D246" s="1" t="s">
        <v>382</v>
      </c>
      <c r="E246" s="1" t="s">
        <v>25</v>
      </c>
      <c r="F246" s="1" t="s">
        <v>382</v>
      </c>
      <c r="G246" s="1" t="s">
        <v>25</v>
      </c>
      <c r="H246" s="1" t="s">
        <v>385</v>
      </c>
      <c r="I246" s="1" t="s">
        <v>448</v>
      </c>
      <c r="J246" s="1" t="s">
        <v>448</v>
      </c>
      <c r="K246" s="1" t="s">
        <v>448</v>
      </c>
      <c r="L246" s="1" t="s">
        <v>448</v>
      </c>
      <c r="M246" s="1" t="s">
        <v>448</v>
      </c>
      <c r="N246" s="1" t="s">
        <v>448</v>
      </c>
    </row>
    <row r="247" spans="1:18">
      <c r="A247" s="1" t="s">
        <v>282</v>
      </c>
      <c r="B247" s="1">
        <v>2</v>
      </c>
      <c r="C247" s="1" t="s">
        <v>40</v>
      </c>
      <c r="D247" s="1" t="s">
        <v>380</v>
      </c>
      <c r="E247" s="1" t="s">
        <v>34</v>
      </c>
      <c r="F247" s="1" t="s">
        <v>380</v>
      </c>
      <c r="G247" s="1" t="s">
        <v>34</v>
      </c>
      <c r="H247" s="1" t="s">
        <v>381</v>
      </c>
      <c r="I247" s="1" t="s">
        <v>26</v>
      </c>
      <c r="J247" s="1" t="s">
        <v>26</v>
      </c>
      <c r="K247" s="1" t="s">
        <v>26</v>
      </c>
      <c r="L247" s="1" t="s">
        <v>26</v>
      </c>
    </row>
    <row r="248" spans="1:18">
      <c r="A248" s="1" t="s">
        <v>283</v>
      </c>
      <c r="B248" s="1">
        <v>2</v>
      </c>
      <c r="C248" s="1" t="s">
        <v>40</v>
      </c>
      <c r="D248" s="1" t="s">
        <v>380</v>
      </c>
      <c r="E248" s="1" t="s">
        <v>34</v>
      </c>
      <c r="F248" s="1" t="s">
        <v>380</v>
      </c>
      <c r="G248" s="1" t="s">
        <v>34</v>
      </c>
      <c r="H248" s="1" t="s">
        <v>383</v>
      </c>
      <c r="I248" s="1" t="s">
        <v>447</v>
      </c>
      <c r="J248" s="1" t="s">
        <v>447</v>
      </c>
      <c r="K248" s="1" t="s">
        <v>447</v>
      </c>
      <c r="L248" s="1" t="s">
        <v>447</v>
      </c>
      <c r="M248" s="1" t="s">
        <v>447</v>
      </c>
      <c r="N248" s="1" t="s">
        <v>447</v>
      </c>
    </row>
    <row r="249" spans="1:18">
      <c r="A249" s="1" t="s">
        <v>284</v>
      </c>
      <c r="B249" s="1">
        <v>2</v>
      </c>
      <c r="C249" s="1" t="s">
        <v>40</v>
      </c>
      <c r="D249" s="1" t="s">
        <v>380</v>
      </c>
      <c r="E249" s="1" t="s">
        <v>34</v>
      </c>
      <c r="F249" s="1" t="s">
        <v>380</v>
      </c>
      <c r="G249" s="1" t="s">
        <v>34</v>
      </c>
      <c r="H249" s="1" t="s">
        <v>384</v>
      </c>
      <c r="I249" s="1" t="s">
        <v>28</v>
      </c>
      <c r="J249" s="1" t="s">
        <v>28</v>
      </c>
      <c r="K249" s="1" t="s">
        <v>28</v>
      </c>
      <c r="L249" s="1" t="s">
        <v>28</v>
      </c>
      <c r="M249" s="1" t="s">
        <v>28</v>
      </c>
      <c r="N249" s="1" t="s">
        <v>28</v>
      </c>
    </row>
    <row r="250" spans="1:18">
      <c r="A250" s="1" t="s">
        <v>285</v>
      </c>
      <c r="B250" s="1">
        <v>2</v>
      </c>
      <c r="C250" s="1" t="s">
        <v>40</v>
      </c>
      <c r="D250" s="1" t="s">
        <v>380</v>
      </c>
      <c r="E250" s="1" t="s">
        <v>34</v>
      </c>
      <c r="F250" s="1" t="s">
        <v>34</v>
      </c>
      <c r="G250" s="1" t="s">
        <v>380</v>
      </c>
      <c r="H250" s="1" t="s">
        <v>34</v>
      </c>
      <c r="I250" s="1" t="s">
        <v>34</v>
      </c>
      <c r="J250" s="1" t="s">
        <v>385</v>
      </c>
      <c r="K250" s="1" t="s">
        <v>448</v>
      </c>
      <c r="L250" s="1" t="s">
        <v>448</v>
      </c>
    </row>
    <row r="251" spans="1:18">
      <c r="A251" s="1" t="s">
        <v>286</v>
      </c>
      <c r="B251" s="1">
        <v>2</v>
      </c>
      <c r="C251" s="1" t="s">
        <v>40</v>
      </c>
      <c r="D251" s="1" t="s">
        <v>382</v>
      </c>
      <c r="E251" s="1" t="s">
        <v>25</v>
      </c>
      <c r="F251" s="1" t="s">
        <v>25</v>
      </c>
      <c r="G251" s="1" t="s">
        <v>25</v>
      </c>
      <c r="H251" s="1" t="s">
        <v>380</v>
      </c>
      <c r="I251" s="1" t="s">
        <v>34</v>
      </c>
      <c r="J251" s="1" t="s">
        <v>34</v>
      </c>
      <c r="K251" s="1" t="s">
        <v>34</v>
      </c>
      <c r="L251" s="1" t="s">
        <v>381</v>
      </c>
      <c r="M251" s="1" t="s">
        <v>26</v>
      </c>
      <c r="N251" s="1" t="s">
        <v>26</v>
      </c>
    </row>
    <row r="252" spans="1:18">
      <c r="A252" s="1" t="s">
        <v>287</v>
      </c>
      <c r="B252" s="1">
        <v>2</v>
      </c>
      <c r="C252" s="1" t="s">
        <v>40</v>
      </c>
      <c r="D252" s="1" t="s">
        <v>382</v>
      </c>
      <c r="E252" s="1" t="s">
        <v>25</v>
      </c>
      <c r="F252" s="1" t="s">
        <v>380</v>
      </c>
      <c r="G252" s="1" t="s">
        <v>34</v>
      </c>
      <c r="H252" s="1" t="s">
        <v>383</v>
      </c>
      <c r="I252" s="1" t="s">
        <v>447</v>
      </c>
      <c r="J252" s="1" t="s">
        <v>447</v>
      </c>
      <c r="K252" s="1" t="s">
        <v>447</v>
      </c>
      <c r="L252" s="1" t="s">
        <v>447</v>
      </c>
      <c r="M252" s="1" t="s">
        <v>447</v>
      </c>
      <c r="N252" s="1" t="s">
        <v>447</v>
      </c>
      <c r="O252" s="1" t="s">
        <v>447</v>
      </c>
      <c r="P252" s="1" t="s">
        <v>447</v>
      </c>
    </row>
    <row r="253" spans="1:18">
      <c r="A253" s="1" t="s">
        <v>288</v>
      </c>
      <c r="B253" s="1">
        <v>2</v>
      </c>
      <c r="C253" s="1" t="s">
        <v>40</v>
      </c>
      <c r="D253" s="1" t="s">
        <v>382</v>
      </c>
      <c r="E253" s="1" t="s">
        <v>25</v>
      </c>
      <c r="F253" s="1" t="s">
        <v>25</v>
      </c>
      <c r="G253" s="1" t="s">
        <v>380</v>
      </c>
      <c r="H253" s="1" t="s">
        <v>34</v>
      </c>
      <c r="I253" s="1" t="s">
        <v>34</v>
      </c>
      <c r="J253" s="1" t="s">
        <v>384</v>
      </c>
      <c r="K253" s="1" t="s">
        <v>28</v>
      </c>
      <c r="L253" s="1" t="s">
        <v>28</v>
      </c>
      <c r="M253" s="1" t="s">
        <v>28</v>
      </c>
      <c r="N253" s="1" t="s">
        <v>28</v>
      </c>
    </row>
    <row r="254" spans="1:18">
      <c r="A254" s="1" t="s">
        <v>289</v>
      </c>
      <c r="B254" s="1">
        <v>2</v>
      </c>
      <c r="C254" s="1" t="s">
        <v>40</v>
      </c>
      <c r="D254" s="1" t="s">
        <v>382</v>
      </c>
      <c r="E254" s="1" t="s">
        <v>25</v>
      </c>
      <c r="F254" s="1" t="s">
        <v>25</v>
      </c>
      <c r="G254" s="1" t="s">
        <v>380</v>
      </c>
      <c r="H254" s="1" t="s">
        <v>34</v>
      </c>
      <c r="I254" s="1" t="s">
        <v>34</v>
      </c>
      <c r="J254" s="1" t="s">
        <v>385</v>
      </c>
      <c r="K254" s="1" t="s">
        <v>448</v>
      </c>
      <c r="L254" s="1" t="s">
        <v>448</v>
      </c>
    </row>
    <row r="255" spans="1:18">
      <c r="A255" s="1" t="s">
        <v>568</v>
      </c>
      <c r="B255" s="1">
        <v>2</v>
      </c>
      <c r="C255" s="1" t="s">
        <v>40</v>
      </c>
      <c r="D255" s="1" t="s">
        <v>880</v>
      </c>
      <c r="E255" s="1" t="s">
        <v>25</v>
      </c>
      <c r="F255" s="1" t="s">
        <v>880</v>
      </c>
      <c r="G255" s="1" t="s">
        <v>25</v>
      </c>
      <c r="H255" s="1" t="s">
        <v>881</v>
      </c>
      <c r="I255" s="1" t="s">
        <v>26</v>
      </c>
      <c r="J255" s="1" t="s">
        <v>26</v>
      </c>
    </row>
    <row r="256" spans="1:18">
      <c r="A256" s="1" t="s">
        <v>569</v>
      </c>
      <c r="B256" s="1">
        <v>2</v>
      </c>
      <c r="C256" s="1" t="s">
        <v>40</v>
      </c>
      <c r="D256" s="1" t="s">
        <v>880</v>
      </c>
      <c r="E256" s="1" t="s">
        <v>25</v>
      </c>
      <c r="F256" s="1" t="s">
        <v>880</v>
      </c>
      <c r="G256" s="1" t="s">
        <v>25</v>
      </c>
      <c r="H256" s="1" t="s">
        <v>882</v>
      </c>
      <c r="I256" s="1" t="s">
        <v>447</v>
      </c>
      <c r="J256" s="1" t="s">
        <v>447</v>
      </c>
      <c r="K256" s="1" t="s">
        <v>447</v>
      </c>
      <c r="L256" s="1" t="s">
        <v>447</v>
      </c>
    </row>
    <row r="257" spans="1:18">
      <c r="A257" s="1" t="s">
        <v>570</v>
      </c>
      <c r="B257" s="1">
        <v>2</v>
      </c>
      <c r="C257" s="1" t="s">
        <v>40</v>
      </c>
      <c r="D257" s="1" t="s">
        <v>880</v>
      </c>
      <c r="E257" s="1" t="s">
        <v>880</v>
      </c>
      <c r="F257" s="1" t="s">
        <v>620</v>
      </c>
      <c r="G257" s="1" t="s">
        <v>28</v>
      </c>
      <c r="H257" s="1" t="s">
        <v>28</v>
      </c>
      <c r="I257" s="1" t="s">
        <v>28</v>
      </c>
      <c r="J257" s="1" t="s">
        <v>28</v>
      </c>
    </row>
    <row r="258" spans="1:18">
      <c r="A258" s="1" t="s">
        <v>571</v>
      </c>
      <c r="B258" s="1">
        <v>2</v>
      </c>
      <c r="C258" s="1" t="s">
        <v>40</v>
      </c>
      <c r="D258" s="1" t="s">
        <v>880</v>
      </c>
      <c r="E258" s="1" t="s">
        <v>25</v>
      </c>
      <c r="F258" s="1" t="s">
        <v>25</v>
      </c>
      <c r="G258" s="1" t="s">
        <v>880</v>
      </c>
      <c r="H258" s="1" t="s">
        <v>25</v>
      </c>
      <c r="I258" s="1" t="s">
        <v>25</v>
      </c>
      <c r="J258" s="1" t="s">
        <v>621</v>
      </c>
      <c r="K258" s="1" t="s">
        <v>448</v>
      </c>
      <c r="L258" s="1" t="s">
        <v>448</v>
      </c>
    </row>
    <row r="259" spans="1:18">
      <c r="A259" s="1" t="s">
        <v>572</v>
      </c>
      <c r="B259" s="1">
        <v>2</v>
      </c>
      <c r="C259" s="1" t="s">
        <v>40</v>
      </c>
      <c r="D259" s="1" t="s">
        <v>619</v>
      </c>
      <c r="E259" s="1" t="s">
        <v>34</v>
      </c>
      <c r="F259" s="1" t="s">
        <v>34</v>
      </c>
      <c r="G259" s="1" t="s">
        <v>619</v>
      </c>
      <c r="H259" s="1" t="s">
        <v>34</v>
      </c>
      <c r="I259" s="1" t="s">
        <v>34</v>
      </c>
      <c r="J259" s="1" t="s">
        <v>881</v>
      </c>
    </row>
    <row r="260" spans="1:18">
      <c r="A260" s="1" t="s">
        <v>573</v>
      </c>
      <c r="B260" s="1">
        <v>2</v>
      </c>
      <c r="C260" s="1" t="s">
        <v>40</v>
      </c>
      <c r="D260" s="1" t="s">
        <v>619</v>
      </c>
      <c r="E260" s="1" t="s">
        <v>34</v>
      </c>
      <c r="F260" s="1" t="s">
        <v>34</v>
      </c>
      <c r="G260" s="1" t="s">
        <v>619</v>
      </c>
      <c r="H260" s="1" t="s">
        <v>34</v>
      </c>
      <c r="I260" s="1" t="s">
        <v>34</v>
      </c>
      <c r="J260" s="1" t="s">
        <v>882</v>
      </c>
      <c r="K260" s="1" t="s">
        <v>447</v>
      </c>
      <c r="L260" s="1" t="s">
        <v>447</v>
      </c>
    </row>
    <row r="261" spans="1:18">
      <c r="A261" s="1" t="s">
        <v>574</v>
      </c>
      <c r="B261" s="1">
        <v>2</v>
      </c>
      <c r="C261" s="1" t="s">
        <v>40</v>
      </c>
      <c r="D261" s="1" t="s">
        <v>619</v>
      </c>
      <c r="E261" s="1" t="s">
        <v>34</v>
      </c>
      <c r="F261" s="1" t="s">
        <v>619</v>
      </c>
      <c r="G261" s="1" t="s">
        <v>34</v>
      </c>
      <c r="H261" s="1" t="s">
        <v>620</v>
      </c>
      <c r="I261" s="1" t="s">
        <v>28</v>
      </c>
      <c r="J261" s="1" t="s">
        <v>28</v>
      </c>
    </row>
    <row r="262" spans="1:18">
      <c r="A262" s="1" t="s">
        <v>575</v>
      </c>
      <c r="B262" s="1">
        <v>2</v>
      </c>
      <c r="C262" s="1" t="s">
        <v>40</v>
      </c>
      <c r="D262" s="1" t="s">
        <v>619</v>
      </c>
      <c r="E262" s="1" t="s">
        <v>34</v>
      </c>
      <c r="F262" s="1" t="s">
        <v>34</v>
      </c>
      <c r="G262" s="1" t="s">
        <v>619</v>
      </c>
      <c r="H262" s="1" t="s">
        <v>34</v>
      </c>
      <c r="I262" s="1" t="s">
        <v>34</v>
      </c>
      <c r="J262" s="1" t="s">
        <v>621</v>
      </c>
      <c r="K262" s="1" t="s">
        <v>448</v>
      </c>
      <c r="L262" s="1" t="s">
        <v>448</v>
      </c>
    </row>
    <row r="263" spans="1:18">
      <c r="A263" s="1" t="s">
        <v>576</v>
      </c>
      <c r="B263" s="1">
        <v>2</v>
      </c>
      <c r="C263" s="1" t="s">
        <v>40</v>
      </c>
      <c r="D263" s="1" t="s">
        <v>880</v>
      </c>
      <c r="E263" s="1" t="s">
        <v>619</v>
      </c>
      <c r="F263" s="1" t="s">
        <v>881</v>
      </c>
    </row>
    <row r="264" spans="1:18">
      <c r="A264" s="1" t="s">
        <v>577</v>
      </c>
      <c r="B264" s="1">
        <v>2</v>
      </c>
      <c r="C264" s="1" t="s">
        <v>40</v>
      </c>
      <c r="D264" s="1" t="s">
        <v>880</v>
      </c>
      <c r="E264" s="1" t="s">
        <v>619</v>
      </c>
      <c r="F264" s="1" t="s">
        <v>882</v>
      </c>
      <c r="G264" s="1" t="s">
        <v>447</v>
      </c>
      <c r="H264" s="1" t="s">
        <v>447</v>
      </c>
      <c r="I264" s="1" t="s">
        <v>447</v>
      </c>
      <c r="J264" s="1" t="s">
        <v>447</v>
      </c>
      <c r="K264" s="1" t="s">
        <v>447</v>
      </c>
      <c r="L264" s="1" t="s">
        <v>447</v>
      </c>
    </row>
    <row r="265" spans="1:18">
      <c r="A265" s="1" t="s">
        <v>578</v>
      </c>
      <c r="B265" s="1">
        <v>2</v>
      </c>
      <c r="C265" s="1" t="s">
        <v>40</v>
      </c>
      <c r="D265" s="1" t="s">
        <v>880</v>
      </c>
      <c r="E265" s="1" t="s">
        <v>619</v>
      </c>
      <c r="F265" s="1" t="s">
        <v>620</v>
      </c>
      <c r="G265" s="1" t="s">
        <v>28</v>
      </c>
      <c r="H265" s="1" t="s">
        <v>28</v>
      </c>
      <c r="I265" s="1" t="s">
        <v>28</v>
      </c>
      <c r="J265" s="1" t="s">
        <v>28</v>
      </c>
    </row>
    <row r="266" spans="1:18">
      <c r="A266" s="1" t="s">
        <v>579</v>
      </c>
      <c r="B266" s="1">
        <v>2</v>
      </c>
      <c r="C266" s="1" t="s">
        <v>40</v>
      </c>
      <c r="D266" s="1" t="s">
        <v>880</v>
      </c>
      <c r="E266" s="1" t="s">
        <v>619</v>
      </c>
      <c r="F266" s="1" t="s">
        <v>621</v>
      </c>
      <c r="G266" s="1" t="s">
        <v>448</v>
      </c>
      <c r="H266" s="1" t="s">
        <v>448</v>
      </c>
      <c r="I266" s="1" t="s">
        <v>448</v>
      </c>
      <c r="J266" s="1" t="s">
        <v>448</v>
      </c>
    </row>
    <row r="267" spans="1:18">
      <c r="A267" s="1" t="s">
        <v>290</v>
      </c>
      <c r="B267" s="1">
        <v>2</v>
      </c>
      <c r="C267" s="1" t="s">
        <v>40</v>
      </c>
      <c r="D267" s="1" t="s">
        <v>382</v>
      </c>
      <c r="E267" s="1" t="s">
        <v>25</v>
      </c>
      <c r="F267" s="1" t="s">
        <v>25</v>
      </c>
      <c r="G267" s="1" t="s">
        <v>25</v>
      </c>
      <c r="H267" s="1" t="s">
        <v>25</v>
      </c>
      <c r="I267" s="1" t="s">
        <v>381</v>
      </c>
      <c r="J267" s="1" t="s">
        <v>26</v>
      </c>
      <c r="K267" s="1" t="s">
        <v>26</v>
      </c>
      <c r="L267" s="1" t="s">
        <v>381</v>
      </c>
      <c r="M267" s="1" t="s">
        <v>26</v>
      </c>
      <c r="N267" s="1" t="s">
        <v>26</v>
      </c>
    </row>
    <row r="268" spans="1:18">
      <c r="A268" s="1" t="s">
        <v>291</v>
      </c>
      <c r="B268" s="1">
        <v>2</v>
      </c>
      <c r="C268" s="1" t="s">
        <v>40</v>
      </c>
      <c r="D268" s="1" t="s">
        <v>382</v>
      </c>
      <c r="E268" s="1" t="s">
        <v>25</v>
      </c>
      <c r="F268" s="1" t="s">
        <v>25</v>
      </c>
      <c r="G268" s="1" t="s">
        <v>25</v>
      </c>
      <c r="H268" s="1" t="s">
        <v>25</v>
      </c>
      <c r="I268" s="1" t="s">
        <v>383</v>
      </c>
      <c r="J268" s="1" t="s">
        <v>447</v>
      </c>
      <c r="K268" s="1" t="s">
        <v>447</v>
      </c>
      <c r="L268" s="1" t="s">
        <v>447</v>
      </c>
      <c r="M268" s="1" t="s">
        <v>383</v>
      </c>
      <c r="N268" s="1" t="s">
        <v>447</v>
      </c>
      <c r="O268" s="1" t="s">
        <v>447</v>
      </c>
      <c r="P268" s="1" t="s">
        <v>447</v>
      </c>
      <c r="Q268" s="1" t="s">
        <v>447</v>
      </c>
      <c r="R268" s="1" t="s">
        <v>447</v>
      </c>
    </row>
    <row r="269" spans="1:18">
      <c r="A269" s="1" t="s">
        <v>292</v>
      </c>
      <c r="B269" s="1">
        <v>2</v>
      </c>
      <c r="C269" s="1" t="s">
        <v>40</v>
      </c>
      <c r="D269" s="1" t="s">
        <v>382</v>
      </c>
      <c r="E269" s="1" t="s">
        <v>25</v>
      </c>
      <c r="F269" s="1" t="s">
        <v>25</v>
      </c>
      <c r="G269" s="1" t="s">
        <v>384</v>
      </c>
      <c r="H269" s="1" t="s">
        <v>28</v>
      </c>
      <c r="I269" s="1" t="s">
        <v>28</v>
      </c>
      <c r="J269" s="1" t="s">
        <v>28</v>
      </c>
      <c r="K269" s="1" t="s">
        <v>384</v>
      </c>
      <c r="L269" s="1" t="s">
        <v>28</v>
      </c>
      <c r="M269" s="1" t="s">
        <v>28</v>
      </c>
      <c r="N269" s="1" t="s">
        <v>28</v>
      </c>
      <c r="O269" s="1" t="s">
        <v>28</v>
      </c>
      <c r="P269" s="1" t="s">
        <v>28</v>
      </c>
    </row>
    <row r="270" spans="1:18">
      <c r="A270" s="1" t="s">
        <v>293</v>
      </c>
      <c r="B270" s="1">
        <v>2</v>
      </c>
      <c r="C270" s="1" t="s">
        <v>40</v>
      </c>
      <c r="D270" s="1" t="s">
        <v>382</v>
      </c>
      <c r="E270" s="1" t="s">
        <v>25</v>
      </c>
      <c r="F270" s="1" t="s">
        <v>25</v>
      </c>
      <c r="G270" s="1" t="s">
        <v>385</v>
      </c>
      <c r="H270" s="1" t="s">
        <v>448</v>
      </c>
      <c r="I270" s="1" t="s">
        <v>448</v>
      </c>
      <c r="J270" s="1" t="s">
        <v>448</v>
      </c>
      <c r="K270" s="1" t="s">
        <v>385</v>
      </c>
      <c r="L270" s="1" t="s">
        <v>448</v>
      </c>
      <c r="M270" s="1" t="s">
        <v>448</v>
      </c>
      <c r="N270" s="1" t="s">
        <v>448</v>
      </c>
    </row>
    <row r="271" spans="1:18">
      <c r="A271" s="1" t="s">
        <v>294</v>
      </c>
      <c r="B271" s="1">
        <v>2</v>
      </c>
      <c r="C271" s="1" t="s">
        <v>40</v>
      </c>
      <c r="D271" s="1" t="s">
        <v>382</v>
      </c>
      <c r="E271" s="1" t="s">
        <v>25</v>
      </c>
      <c r="F271" s="1" t="s">
        <v>25</v>
      </c>
      <c r="G271" s="1" t="s">
        <v>381</v>
      </c>
      <c r="H271" s="1" t="s">
        <v>26</v>
      </c>
      <c r="I271" s="1" t="s">
        <v>26</v>
      </c>
      <c r="J271" s="1" t="s">
        <v>26</v>
      </c>
      <c r="K271" s="1" t="s">
        <v>383</v>
      </c>
      <c r="L271" s="1" t="s">
        <v>447</v>
      </c>
      <c r="M271" s="1" t="s">
        <v>447</v>
      </c>
      <c r="N271" s="1" t="s">
        <v>447</v>
      </c>
      <c r="O271" s="1" t="s">
        <v>447</v>
      </c>
      <c r="P271" s="1" t="s">
        <v>447</v>
      </c>
    </row>
    <row r="272" spans="1:18">
      <c r="A272" s="1" t="s">
        <v>295</v>
      </c>
      <c r="B272" s="1">
        <v>2</v>
      </c>
      <c r="C272" s="1" t="s">
        <v>40</v>
      </c>
      <c r="D272" s="1" t="s">
        <v>382</v>
      </c>
      <c r="E272" s="1" t="s">
        <v>25</v>
      </c>
      <c r="F272" s="1" t="s">
        <v>25</v>
      </c>
      <c r="G272" s="1" t="s">
        <v>25</v>
      </c>
      <c r="H272" s="1" t="s">
        <v>25</v>
      </c>
      <c r="I272" s="1" t="s">
        <v>381</v>
      </c>
      <c r="J272" s="1" t="s">
        <v>26</v>
      </c>
      <c r="K272" s="1" t="s">
        <v>26</v>
      </c>
      <c r="L272" s="1" t="s">
        <v>384</v>
      </c>
      <c r="M272" s="1" t="s">
        <v>28</v>
      </c>
      <c r="N272" s="1" t="s">
        <v>28</v>
      </c>
    </row>
    <row r="273" spans="1:19">
      <c r="A273" s="1" t="s">
        <v>296</v>
      </c>
      <c r="B273" s="1">
        <v>2</v>
      </c>
      <c r="C273" s="1" t="s">
        <v>40</v>
      </c>
      <c r="D273" s="1" t="s">
        <v>382</v>
      </c>
      <c r="E273" s="1" t="s">
        <v>383</v>
      </c>
      <c r="F273" s="1" t="s">
        <v>447</v>
      </c>
      <c r="G273" s="1" t="s">
        <v>447</v>
      </c>
      <c r="H273" s="1" t="s">
        <v>447</v>
      </c>
      <c r="I273" s="1" t="s">
        <v>384</v>
      </c>
      <c r="J273" s="1" t="s">
        <v>28</v>
      </c>
      <c r="K273" s="1" t="s">
        <v>28</v>
      </c>
      <c r="L273" s="1" t="s">
        <v>28</v>
      </c>
      <c r="M273" s="1" t="s">
        <v>28</v>
      </c>
      <c r="N273" s="1" t="s">
        <v>28</v>
      </c>
      <c r="O273" s="1" t="s">
        <v>28</v>
      </c>
      <c r="P273" s="1" t="s">
        <v>28</v>
      </c>
      <c r="Q273" s="1" t="s">
        <v>28</v>
      </c>
      <c r="R273" s="1" t="s">
        <v>28</v>
      </c>
      <c r="S273" s="1" t="s">
        <v>28</v>
      </c>
    </row>
    <row r="274" spans="1:19">
      <c r="A274" s="1" t="s">
        <v>297</v>
      </c>
      <c r="B274" s="1">
        <v>2</v>
      </c>
      <c r="C274" s="1" t="s">
        <v>40</v>
      </c>
      <c r="D274" s="1" t="s">
        <v>382</v>
      </c>
      <c r="E274" s="1" t="s">
        <v>383</v>
      </c>
      <c r="F274" s="1" t="s">
        <v>447</v>
      </c>
      <c r="G274" s="1" t="s">
        <v>447</v>
      </c>
      <c r="H274" s="1" t="s">
        <v>447</v>
      </c>
      <c r="I274" s="1" t="s">
        <v>385</v>
      </c>
      <c r="J274" s="1" t="s">
        <v>448</v>
      </c>
      <c r="K274" s="1" t="s">
        <v>448</v>
      </c>
      <c r="L274" s="1" t="s">
        <v>448</v>
      </c>
      <c r="M274" s="1" t="s">
        <v>448</v>
      </c>
      <c r="N274" s="1" t="s">
        <v>448</v>
      </c>
      <c r="O274" s="1" t="s">
        <v>448</v>
      </c>
      <c r="P274" s="1" t="s">
        <v>448</v>
      </c>
    </row>
    <row r="275" spans="1:19">
      <c r="A275" s="1" t="s">
        <v>298</v>
      </c>
      <c r="B275" s="1">
        <v>2</v>
      </c>
      <c r="C275" s="1" t="s">
        <v>40</v>
      </c>
      <c r="D275" s="1" t="s">
        <v>382</v>
      </c>
      <c r="E275" s="1" t="s">
        <v>25</v>
      </c>
      <c r="F275" s="1" t="s">
        <v>25</v>
      </c>
      <c r="G275" s="1" t="s">
        <v>25</v>
      </c>
      <c r="H275" s="1" t="s">
        <v>25</v>
      </c>
      <c r="I275" s="1" t="s">
        <v>384</v>
      </c>
      <c r="J275" s="1" t="s">
        <v>28</v>
      </c>
      <c r="K275" s="1" t="s">
        <v>28</v>
      </c>
      <c r="L275" s="1" t="s">
        <v>28</v>
      </c>
      <c r="M275" s="1" t="s">
        <v>385</v>
      </c>
      <c r="N275" s="1" t="s">
        <v>448</v>
      </c>
      <c r="O275" s="1" t="s">
        <v>448</v>
      </c>
      <c r="P275" s="1" t="s">
        <v>448</v>
      </c>
    </row>
    <row r="276" spans="1:19">
      <c r="A276" s="1" t="s">
        <v>299</v>
      </c>
      <c r="B276" s="1">
        <v>2</v>
      </c>
      <c r="C276" s="1" t="s">
        <v>40</v>
      </c>
      <c r="D276" s="1" t="s">
        <v>380</v>
      </c>
      <c r="E276" s="1" t="s">
        <v>34</v>
      </c>
      <c r="F276" s="1" t="s">
        <v>34</v>
      </c>
      <c r="G276" s="1" t="s">
        <v>34</v>
      </c>
      <c r="H276" s="1" t="s">
        <v>34</v>
      </c>
      <c r="I276" s="1" t="s">
        <v>383</v>
      </c>
      <c r="J276" s="1" t="s">
        <v>447</v>
      </c>
      <c r="K276" s="1" t="s">
        <v>447</v>
      </c>
      <c r="L276" s="1" t="s">
        <v>447</v>
      </c>
      <c r="M276" s="1" t="s">
        <v>383</v>
      </c>
      <c r="N276" s="1" t="s">
        <v>447</v>
      </c>
      <c r="O276" s="1" t="s">
        <v>447</v>
      </c>
      <c r="P276" s="1" t="s">
        <v>447</v>
      </c>
    </row>
    <row r="277" spans="1:19">
      <c r="A277" s="1" t="s">
        <v>300</v>
      </c>
      <c r="B277" s="1">
        <v>2</v>
      </c>
      <c r="C277" s="1" t="s">
        <v>40</v>
      </c>
      <c r="D277" s="1" t="s">
        <v>380</v>
      </c>
      <c r="E277" s="1" t="s">
        <v>384</v>
      </c>
      <c r="F277" s="1" t="s">
        <v>28</v>
      </c>
      <c r="G277" s="1" t="s">
        <v>28</v>
      </c>
      <c r="H277" s="1" t="s">
        <v>28</v>
      </c>
      <c r="I277" s="1" t="s">
        <v>384</v>
      </c>
      <c r="J277" s="1" t="s">
        <v>28</v>
      </c>
      <c r="K277" s="1" t="s">
        <v>28</v>
      </c>
      <c r="L277" s="1" t="s">
        <v>28</v>
      </c>
      <c r="M277" s="1" t="s">
        <v>28</v>
      </c>
      <c r="N277" s="1" t="s">
        <v>28</v>
      </c>
      <c r="O277" s="1" t="s">
        <v>28</v>
      </c>
      <c r="P277" s="1" t="s">
        <v>28</v>
      </c>
      <c r="Q277" s="1" t="s">
        <v>28</v>
      </c>
      <c r="R277" s="1" t="s">
        <v>28</v>
      </c>
    </row>
    <row r="278" spans="1:19">
      <c r="A278" s="1" t="s">
        <v>301</v>
      </c>
      <c r="B278" s="1">
        <v>2</v>
      </c>
      <c r="C278" s="1" t="s">
        <v>40</v>
      </c>
      <c r="D278" s="1" t="s">
        <v>380</v>
      </c>
      <c r="E278" s="1" t="s">
        <v>34</v>
      </c>
      <c r="F278" s="1" t="s">
        <v>34</v>
      </c>
      <c r="G278" s="1" t="s">
        <v>385</v>
      </c>
      <c r="H278" s="1" t="s">
        <v>448</v>
      </c>
      <c r="I278" s="1" t="s">
        <v>448</v>
      </c>
      <c r="J278" s="1" t="s">
        <v>385</v>
      </c>
      <c r="K278" s="1" t="s">
        <v>448</v>
      </c>
      <c r="L278" s="1" t="s">
        <v>448</v>
      </c>
    </row>
    <row r="279" spans="1:19">
      <c r="A279" s="1" t="s">
        <v>302</v>
      </c>
      <c r="B279" s="1">
        <v>2</v>
      </c>
      <c r="C279" s="1" t="s">
        <v>40</v>
      </c>
      <c r="D279" s="1" t="s">
        <v>380</v>
      </c>
      <c r="E279" s="1" t="s">
        <v>34</v>
      </c>
      <c r="F279" s="1" t="s">
        <v>34</v>
      </c>
      <c r="G279" s="1" t="s">
        <v>381</v>
      </c>
      <c r="H279" s="1" t="s">
        <v>26</v>
      </c>
      <c r="I279" s="1" t="s">
        <v>26</v>
      </c>
      <c r="J279" s="1" t="s">
        <v>383</v>
      </c>
      <c r="K279" s="1" t="s">
        <v>447</v>
      </c>
      <c r="L279" s="1" t="s">
        <v>447</v>
      </c>
    </row>
    <row r="280" spans="1:19">
      <c r="A280" s="1" t="s">
        <v>303</v>
      </c>
      <c r="B280" s="1">
        <v>2</v>
      </c>
      <c r="C280" s="1" t="s">
        <v>40</v>
      </c>
      <c r="D280" s="1" t="s">
        <v>380</v>
      </c>
      <c r="E280" s="1" t="s">
        <v>34</v>
      </c>
      <c r="F280" s="1" t="s">
        <v>34</v>
      </c>
      <c r="G280" s="1" t="s">
        <v>381</v>
      </c>
      <c r="H280" s="1" t="s">
        <v>26</v>
      </c>
      <c r="I280" s="1" t="s">
        <v>26</v>
      </c>
      <c r="J280" s="1" t="s">
        <v>384</v>
      </c>
      <c r="K280" s="1" t="s">
        <v>28</v>
      </c>
      <c r="L280" s="1" t="s">
        <v>28</v>
      </c>
    </row>
    <row r="281" spans="1:19">
      <c r="A281" s="1" t="s">
        <v>304</v>
      </c>
      <c r="B281" s="1">
        <v>2</v>
      </c>
      <c r="C281" s="1" t="s">
        <v>40</v>
      </c>
      <c r="D281" s="1" t="s">
        <v>380</v>
      </c>
      <c r="E281" s="1" t="s">
        <v>34</v>
      </c>
      <c r="F281" s="1" t="s">
        <v>34</v>
      </c>
      <c r="G281" s="1" t="s">
        <v>34</v>
      </c>
      <c r="H281" s="1" t="s">
        <v>34</v>
      </c>
      <c r="I281" s="1" t="s">
        <v>383</v>
      </c>
      <c r="J281" s="1" t="s">
        <v>447</v>
      </c>
      <c r="K281" s="1" t="s">
        <v>447</v>
      </c>
      <c r="L281" s="1" t="s">
        <v>384</v>
      </c>
      <c r="M281" s="1" t="s">
        <v>28</v>
      </c>
      <c r="N281" s="1" t="s">
        <v>28</v>
      </c>
    </row>
    <row r="282" spans="1:19">
      <c r="A282" s="1" t="s">
        <v>305</v>
      </c>
      <c r="B282" s="1">
        <v>2</v>
      </c>
      <c r="C282" s="1" t="s">
        <v>40</v>
      </c>
      <c r="D282" s="1" t="s">
        <v>380</v>
      </c>
      <c r="E282" s="1" t="s">
        <v>383</v>
      </c>
      <c r="F282" s="1" t="s">
        <v>447</v>
      </c>
      <c r="G282" s="1" t="s">
        <v>447</v>
      </c>
      <c r="H282" s="1" t="s">
        <v>447</v>
      </c>
      <c r="I282" s="1" t="s">
        <v>385</v>
      </c>
      <c r="J282" s="1" t="s">
        <v>448</v>
      </c>
      <c r="K282" s="1" t="s">
        <v>448</v>
      </c>
      <c r="L282" s="1" t="s">
        <v>448</v>
      </c>
      <c r="M282" s="1" t="s">
        <v>448</v>
      </c>
      <c r="N282" s="1" t="s">
        <v>448</v>
      </c>
      <c r="O282" s="1" t="s">
        <v>448</v>
      </c>
    </row>
    <row r="283" spans="1:19">
      <c r="A283" s="1" t="s">
        <v>306</v>
      </c>
      <c r="B283" s="1">
        <v>2</v>
      </c>
      <c r="C283" s="1" t="s">
        <v>40</v>
      </c>
      <c r="D283" s="1" t="s">
        <v>380</v>
      </c>
      <c r="E283" s="1" t="s">
        <v>384</v>
      </c>
      <c r="F283" s="1" t="s">
        <v>28</v>
      </c>
      <c r="G283" s="1" t="s">
        <v>28</v>
      </c>
      <c r="H283" s="1" t="s">
        <v>28</v>
      </c>
      <c r="I283" s="1" t="s">
        <v>385</v>
      </c>
      <c r="J283" s="1" t="s">
        <v>448</v>
      </c>
      <c r="K283" s="1" t="s">
        <v>448</v>
      </c>
      <c r="L283" s="1" t="s">
        <v>448</v>
      </c>
      <c r="M283" s="1" t="s">
        <v>448</v>
      </c>
      <c r="N283" s="1" t="s">
        <v>448</v>
      </c>
      <c r="O283" s="1" t="s">
        <v>448</v>
      </c>
    </row>
    <row r="284" spans="1:19">
      <c r="A284" s="1" t="s">
        <v>580</v>
      </c>
      <c r="B284" s="1">
        <v>2</v>
      </c>
      <c r="C284" s="1" t="s">
        <v>40</v>
      </c>
      <c r="D284" s="1" t="s">
        <v>880</v>
      </c>
      <c r="E284" s="1" t="s">
        <v>881</v>
      </c>
      <c r="F284" s="1" t="s">
        <v>26</v>
      </c>
      <c r="G284" s="1" t="s">
        <v>881</v>
      </c>
      <c r="H284" s="1" t="s">
        <v>26</v>
      </c>
    </row>
    <row r="285" spans="1:19">
      <c r="A285" s="1" t="s">
        <v>581</v>
      </c>
      <c r="B285" s="1">
        <v>2</v>
      </c>
      <c r="C285" s="1" t="s">
        <v>40</v>
      </c>
      <c r="D285" s="1" t="s">
        <v>880</v>
      </c>
      <c r="E285" s="1" t="s">
        <v>25</v>
      </c>
      <c r="F285" s="1" t="s">
        <v>25</v>
      </c>
      <c r="G285" s="1" t="s">
        <v>25</v>
      </c>
      <c r="H285" s="1" t="s">
        <v>25</v>
      </c>
      <c r="I285" s="1" t="s">
        <v>882</v>
      </c>
      <c r="J285" s="1" t="s">
        <v>447</v>
      </c>
      <c r="K285" s="1" t="s">
        <v>447</v>
      </c>
      <c r="L285" s="1" t="s">
        <v>882</v>
      </c>
      <c r="M285" s="1" t="s">
        <v>447</v>
      </c>
      <c r="N285" s="1" t="s">
        <v>447</v>
      </c>
    </row>
    <row r="286" spans="1:19">
      <c r="A286" s="1" t="s">
        <v>582</v>
      </c>
      <c r="B286" s="1">
        <v>2</v>
      </c>
      <c r="C286" s="1" t="s">
        <v>40</v>
      </c>
      <c r="D286" s="1" t="s">
        <v>880</v>
      </c>
      <c r="E286" s="1" t="s">
        <v>25</v>
      </c>
      <c r="F286" s="1" t="s">
        <v>25</v>
      </c>
      <c r="G286" s="1" t="s">
        <v>620</v>
      </c>
      <c r="H286" s="1" t="s">
        <v>28</v>
      </c>
      <c r="I286" s="1" t="s">
        <v>28</v>
      </c>
      <c r="J286" s="1" t="s">
        <v>620</v>
      </c>
      <c r="K286" s="1" t="s">
        <v>28</v>
      </c>
      <c r="L286" s="1" t="s">
        <v>28</v>
      </c>
    </row>
    <row r="287" spans="1:19">
      <c r="A287" s="1" t="s">
        <v>583</v>
      </c>
      <c r="B287" s="1">
        <v>2</v>
      </c>
      <c r="C287" s="1" t="s">
        <v>40</v>
      </c>
      <c r="D287" s="1" t="s">
        <v>880</v>
      </c>
      <c r="E287" s="1" t="s">
        <v>25</v>
      </c>
      <c r="F287" s="1" t="s">
        <v>25</v>
      </c>
      <c r="G287" s="1" t="s">
        <v>25</v>
      </c>
      <c r="H287" s="1" t="s">
        <v>25</v>
      </c>
      <c r="I287" s="1" t="s">
        <v>621</v>
      </c>
      <c r="J287" s="1" t="s">
        <v>448</v>
      </c>
      <c r="K287" s="1" t="s">
        <v>621</v>
      </c>
      <c r="L287" s="1" t="s">
        <v>448</v>
      </c>
    </row>
    <row r="288" spans="1:19">
      <c r="A288" s="1" t="s">
        <v>584</v>
      </c>
      <c r="B288" s="1">
        <v>2</v>
      </c>
      <c r="C288" s="1" t="s">
        <v>40</v>
      </c>
      <c r="D288" s="1" t="s">
        <v>880</v>
      </c>
      <c r="E288" s="1" t="s">
        <v>25</v>
      </c>
      <c r="F288" s="1" t="s">
        <v>25</v>
      </c>
      <c r="G288" s="1" t="s">
        <v>25</v>
      </c>
      <c r="H288" s="1" t="s">
        <v>25</v>
      </c>
      <c r="I288" s="1" t="s">
        <v>881</v>
      </c>
      <c r="J288" s="1" t="s">
        <v>26</v>
      </c>
      <c r="K288" s="1" t="s">
        <v>882</v>
      </c>
      <c r="L288" s="1" t="s">
        <v>447</v>
      </c>
    </row>
    <row r="289" spans="1:12">
      <c r="A289" s="1" t="s">
        <v>585</v>
      </c>
      <c r="B289" s="1">
        <v>2</v>
      </c>
      <c r="C289" s="1" t="s">
        <v>40</v>
      </c>
      <c r="D289" s="1" t="s">
        <v>880</v>
      </c>
      <c r="E289" s="1" t="s">
        <v>25</v>
      </c>
      <c r="F289" s="1" t="s">
        <v>25</v>
      </c>
      <c r="G289" s="1" t="s">
        <v>881</v>
      </c>
      <c r="H289" s="1" t="s">
        <v>26</v>
      </c>
      <c r="I289" s="1" t="s">
        <v>620</v>
      </c>
      <c r="J289" s="1" t="s">
        <v>28</v>
      </c>
    </row>
    <row r="290" spans="1:12">
      <c r="A290" s="1" t="s">
        <v>586</v>
      </c>
      <c r="B290" s="1">
        <v>2</v>
      </c>
      <c r="C290" s="1" t="s">
        <v>40</v>
      </c>
      <c r="D290" s="1" t="s">
        <v>880</v>
      </c>
      <c r="E290" s="1" t="s">
        <v>25</v>
      </c>
      <c r="F290" s="1" t="s">
        <v>25</v>
      </c>
      <c r="G290" s="1" t="s">
        <v>882</v>
      </c>
      <c r="H290" s="1" t="s">
        <v>447</v>
      </c>
      <c r="I290" s="1" t="s">
        <v>447</v>
      </c>
      <c r="J290" s="1" t="s">
        <v>620</v>
      </c>
      <c r="K290" s="1" t="s">
        <v>28</v>
      </c>
      <c r="L290" s="1" t="s">
        <v>28</v>
      </c>
    </row>
    <row r="291" spans="1:12">
      <c r="A291" s="1" t="s">
        <v>587</v>
      </c>
      <c r="B291" s="1">
        <v>2</v>
      </c>
      <c r="C291" s="1" t="s">
        <v>40</v>
      </c>
      <c r="D291" s="1" t="s">
        <v>880</v>
      </c>
      <c r="E291" s="1" t="s">
        <v>882</v>
      </c>
      <c r="F291" s="1" t="s">
        <v>447</v>
      </c>
      <c r="G291" s="1" t="s">
        <v>447</v>
      </c>
      <c r="H291" s="1" t="s">
        <v>447</v>
      </c>
      <c r="I291" s="1" t="s">
        <v>621</v>
      </c>
      <c r="J291" s="1" t="s">
        <v>448</v>
      </c>
      <c r="K291" s="1" t="s">
        <v>448</v>
      </c>
      <c r="L291" s="1" t="s">
        <v>448</v>
      </c>
    </row>
    <row r="292" spans="1:12">
      <c r="A292" s="1" t="s">
        <v>588</v>
      </c>
      <c r="B292" s="1">
        <v>2</v>
      </c>
      <c r="C292" s="1" t="s">
        <v>40</v>
      </c>
      <c r="D292" s="1" t="s">
        <v>880</v>
      </c>
      <c r="E292" s="1" t="s">
        <v>25</v>
      </c>
      <c r="F292" s="1" t="s">
        <v>25</v>
      </c>
      <c r="G292" s="1" t="s">
        <v>620</v>
      </c>
      <c r="H292" s="1" t="s">
        <v>28</v>
      </c>
      <c r="I292" s="1" t="s">
        <v>28</v>
      </c>
      <c r="J292" s="1" t="s">
        <v>621</v>
      </c>
      <c r="K292" s="1" t="s">
        <v>448</v>
      </c>
      <c r="L292" s="1" t="s">
        <v>448</v>
      </c>
    </row>
    <row r="293" spans="1:12">
      <c r="A293" s="1" t="s">
        <v>589</v>
      </c>
      <c r="B293" s="1">
        <v>2</v>
      </c>
      <c r="C293" s="1" t="s">
        <v>40</v>
      </c>
      <c r="D293" s="1" t="s">
        <v>619</v>
      </c>
      <c r="E293" s="1" t="s">
        <v>34</v>
      </c>
      <c r="F293" s="1" t="s">
        <v>34</v>
      </c>
      <c r="G293" s="1" t="s">
        <v>882</v>
      </c>
      <c r="H293" s="1" t="s">
        <v>447</v>
      </c>
      <c r="I293" s="1" t="s">
        <v>447</v>
      </c>
      <c r="J293" s="1" t="s">
        <v>882</v>
      </c>
      <c r="K293" s="1" t="s">
        <v>447</v>
      </c>
      <c r="L293" s="1" t="s">
        <v>447</v>
      </c>
    </row>
    <row r="294" spans="1:12">
      <c r="A294" s="1" t="s">
        <v>590</v>
      </c>
      <c r="B294" s="1">
        <v>2</v>
      </c>
      <c r="C294" s="1" t="s">
        <v>40</v>
      </c>
      <c r="D294" s="1" t="s">
        <v>619</v>
      </c>
      <c r="E294" s="1" t="s">
        <v>34</v>
      </c>
      <c r="F294" s="1" t="s">
        <v>34</v>
      </c>
      <c r="G294" s="1" t="s">
        <v>34</v>
      </c>
      <c r="H294" s="1" t="s">
        <v>34</v>
      </c>
      <c r="I294" s="1" t="s">
        <v>620</v>
      </c>
      <c r="J294" s="1" t="s">
        <v>28</v>
      </c>
      <c r="K294" s="1" t="s">
        <v>620</v>
      </c>
      <c r="L294" s="1" t="s">
        <v>28</v>
      </c>
    </row>
    <row r="295" spans="1:12">
      <c r="A295" s="1" t="s">
        <v>591</v>
      </c>
      <c r="B295" s="1">
        <v>2</v>
      </c>
      <c r="C295" s="1" t="s">
        <v>40</v>
      </c>
      <c r="D295" s="1" t="s">
        <v>619</v>
      </c>
      <c r="E295" s="1" t="s">
        <v>34</v>
      </c>
      <c r="F295" s="1" t="s">
        <v>34</v>
      </c>
      <c r="G295" s="1" t="s">
        <v>621</v>
      </c>
      <c r="H295" s="1" t="s">
        <v>448</v>
      </c>
      <c r="I295" s="1" t="s">
        <v>621</v>
      </c>
      <c r="J295" s="1" t="s">
        <v>448</v>
      </c>
    </row>
    <row r="296" spans="1:12">
      <c r="A296" s="1" t="s">
        <v>592</v>
      </c>
      <c r="B296" s="1">
        <v>2</v>
      </c>
      <c r="C296" s="1" t="s">
        <v>40</v>
      </c>
      <c r="D296" s="1" t="s">
        <v>619</v>
      </c>
      <c r="E296" s="1" t="s">
        <v>34</v>
      </c>
      <c r="F296" s="1" t="s">
        <v>34</v>
      </c>
      <c r="G296" s="1" t="s">
        <v>881</v>
      </c>
      <c r="H296" s="1" t="s">
        <v>26</v>
      </c>
      <c r="I296" s="1" t="s">
        <v>882</v>
      </c>
      <c r="J296" s="1" t="s">
        <v>447</v>
      </c>
    </row>
    <row r="297" spans="1:12">
      <c r="A297" s="1" t="s">
        <v>593</v>
      </c>
      <c r="B297" s="1">
        <v>2</v>
      </c>
      <c r="C297" s="1" t="s">
        <v>40</v>
      </c>
      <c r="D297" s="1" t="s">
        <v>619</v>
      </c>
      <c r="E297" s="1" t="s">
        <v>34</v>
      </c>
      <c r="F297" s="1" t="s">
        <v>34</v>
      </c>
      <c r="G297" s="1" t="s">
        <v>881</v>
      </c>
      <c r="H297" s="1" t="s">
        <v>26</v>
      </c>
      <c r="I297" s="1" t="s">
        <v>620</v>
      </c>
      <c r="J297" s="1" t="s">
        <v>28</v>
      </c>
    </row>
    <row r="298" spans="1:12">
      <c r="A298" s="1" t="s">
        <v>594</v>
      </c>
      <c r="B298" s="1">
        <v>2</v>
      </c>
      <c r="C298" s="1" t="s">
        <v>40</v>
      </c>
      <c r="D298" s="1" t="s">
        <v>619</v>
      </c>
      <c r="E298" s="1" t="s">
        <v>882</v>
      </c>
      <c r="F298" s="1" t="s">
        <v>447</v>
      </c>
      <c r="G298" s="1" t="s">
        <v>447</v>
      </c>
      <c r="H298" s="1" t="s">
        <v>620</v>
      </c>
      <c r="I298" s="1" t="s">
        <v>28</v>
      </c>
      <c r="J298" s="1" t="s">
        <v>28</v>
      </c>
    </row>
    <row r="299" spans="1:12">
      <c r="A299" s="1" t="s">
        <v>595</v>
      </c>
      <c r="B299" s="1">
        <v>2</v>
      </c>
      <c r="C299" s="1" t="s">
        <v>40</v>
      </c>
      <c r="D299" s="1" t="s">
        <v>619</v>
      </c>
      <c r="E299" s="1" t="s">
        <v>882</v>
      </c>
      <c r="F299" s="1" t="s">
        <v>447</v>
      </c>
      <c r="G299" s="1" t="s">
        <v>447</v>
      </c>
      <c r="H299" s="1" t="s">
        <v>447</v>
      </c>
      <c r="I299" s="1" t="s">
        <v>621</v>
      </c>
      <c r="J299" s="1" t="s">
        <v>448</v>
      </c>
      <c r="K299" s="1" t="s">
        <v>448</v>
      </c>
      <c r="L299" s="1" t="s">
        <v>448</v>
      </c>
    </row>
    <row r="300" spans="1:12">
      <c r="A300" s="1" t="s">
        <v>596</v>
      </c>
      <c r="B300" s="1">
        <v>2</v>
      </c>
      <c r="C300" s="1" t="s">
        <v>40</v>
      </c>
      <c r="D300" s="1" t="s">
        <v>619</v>
      </c>
      <c r="E300" s="1" t="s">
        <v>620</v>
      </c>
      <c r="F300" s="1" t="s">
        <v>28</v>
      </c>
      <c r="G300" s="1" t="s">
        <v>28</v>
      </c>
      <c r="H300" s="1" t="s">
        <v>621</v>
      </c>
      <c r="I300" s="1" t="s">
        <v>448</v>
      </c>
      <c r="J300" s="1" t="s">
        <v>448</v>
      </c>
    </row>
    <row r="301" spans="1:12">
      <c r="A301" s="1" t="s">
        <v>904</v>
      </c>
      <c r="B301" s="1">
        <v>2</v>
      </c>
      <c r="C301" s="1" t="s">
        <v>40</v>
      </c>
      <c r="D301" s="1" t="s">
        <v>448</v>
      </c>
      <c r="E301" s="1" t="s">
        <v>448</v>
      </c>
      <c r="F301" s="1" t="s">
        <v>448</v>
      </c>
      <c r="G301" s="1" t="s">
        <v>448</v>
      </c>
      <c r="H301" s="1" t="s">
        <v>448</v>
      </c>
      <c r="I301" s="1" t="s">
        <v>448</v>
      </c>
    </row>
    <row r="302" spans="1:12">
      <c r="A302" s="1" t="s">
        <v>913</v>
      </c>
      <c r="B302" s="1">
        <v>1</v>
      </c>
      <c r="C302" s="1" t="s">
        <v>40</v>
      </c>
      <c r="D302" s="1" t="s">
        <v>25</v>
      </c>
      <c r="E302" s="1" t="s">
        <v>25</v>
      </c>
      <c r="F302" s="1" t="s">
        <v>448</v>
      </c>
      <c r="G302" s="1" t="s">
        <v>448</v>
      </c>
    </row>
    <row r="303" spans="1:12">
      <c r="A303" s="1" t="s">
        <v>914</v>
      </c>
      <c r="B303" s="1">
        <v>1</v>
      </c>
      <c r="C303" s="1" t="s">
        <v>40</v>
      </c>
      <c r="D303" s="1" t="s">
        <v>25</v>
      </c>
      <c r="E303" s="1" t="s">
        <v>25</v>
      </c>
      <c r="F303" s="1" t="s">
        <v>448</v>
      </c>
      <c r="G303" s="1" t="s">
        <v>448</v>
      </c>
      <c r="H303" s="1" t="s">
        <v>448</v>
      </c>
      <c r="I303" s="1" t="s">
        <v>448</v>
      </c>
    </row>
    <row r="304" spans="1:12">
      <c r="A304" s="1" t="s">
        <v>915</v>
      </c>
      <c r="B304" s="1">
        <v>1</v>
      </c>
      <c r="C304" s="1" t="s">
        <v>40</v>
      </c>
      <c r="D304" s="1" t="s">
        <v>34</v>
      </c>
      <c r="E304" s="1" t="s">
        <v>34</v>
      </c>
      <c r="F304" s="1" t="s">
        <v>448</v>
      </c>
      <c r="G304" s="1" t="s">
        <v>448</v>
      </c>
      <c r="H304" s="1" t="s">
        <v>448</v>
      </c>
      <c r="I304" s="1" t="s">
        <v>448</v>
      </c>
    </row>
    <row r="305" spans="1:11">
      <c r="A305" s="1" t="s">
        <v>916</v>
      </c>
      <c r="B305" s="1">
        <v>1</v>
      </c>
      <c r="C305" s="1" t="s">
        <v>40</v>
      </c>
      <c r="D305" s="1" t="s">
        <v>25</v>
      </c>
      <c r="E305" s="1" t="s">
        <v>25</v>
      </c>
      <c r="F305" s="1" t="s">
        <v>34</v>
      </c>
      <c r="G305" s="1" t="s">
        <v>34</v>
      </c>
      <c r="H305" s="1" t="s">
        <v>34</v>
      </c>
      <c r="I305" s="1" t="s">
        <v>34</v>
      </c>
      <c r="J305" s="1" t="s">
        <v>448</v>
      </c>
      <c r="K305" s="1" t="s">
        <v>448</v>
      </c>
    </row>
    <row r="306" spans="1:11">
      <c r="A306" s="1" t="s">
        <v>917</v>
      </c>
      <c r="B306" s="1">
        <v>1</v>
      </c>
      <c r="C306" s="1" t="s">
        <v>40</v>
      </c>
      <c r="D306" s="1" t="s">
        <v>34</v>
      </c>
      <c r="E306" s="1" t="s">
        <v>34</v>
      </c>
      <c r="F306" s="1" t="s">
        <v>34</v>
      </c>
      <c r="G306" s="1" t="s">
        <v>34</v>
      </c>
      <c r="H306" s="1" t="s">
        <v>26</v>
      </c>
      <c r="I306" s="1" t="s">
        <v>26</v>
      </c>
      <c r="J306" s="1" t="s">
        <v>448</v>
      </c>
      <c r="K306" s="1" t="s">
        <v>448</v>
      </c>
    </row>
    <row r="307" spans="1:11">
      <c r="A307" s="1" t="s">
        <v>918</v>
      </c>
      <c r="B307" s="1">
        <v>1</v>
      </c>
      <c r="C307" s="1" t="s">
        <v>40</v>
      </c>
      <c r="D307" s="1" t="s">
        <v>34</v>
      </c>
      <c r="E307" s="1" t="s">
        <v>34</v>
      </c>
      <c r="F307" s="1" t="s">
        <v>447</v>
      </c>
      <c r="G307" s="1" t="s">
        <v>447</v>
      </c>
      <c r="H307" s="1" t="s">
        <v>448</v>
      </c>
      <c r="I307" s="1" t="s">
        <v>448</v>
      </c>
    </row>
    <row r="308" spans="1:11">
      <c r="A308" s="1" t="s">
        <v>919</v>
      </c>
      <c r="B308" s="1">
        <v>1</v>
      </c>
      <c r="C308" s="1" t="s">
        <v>40</v>
      </c>
      <c r="D308" s="1" t="s">
        <v>34</v>
      </c>
      <c r="E308" s="1" t="s">
        <v>34</v>
      </c>
      <c r="F308" s="1" t="s">
        <v>28</v>
      </c>
      <c r="G308" s="1" t="s">
        <v>28</v>
      </c>
      <c r="H308" s="1" t="s">
        <v>448</v>
      </c>
      <c r="I308" s="1" t="s">
        <v>448</v>
      </c>
    </row>
    <row r="309" spans="1:11">
      <c r="A309" s="1" t="s">
        <v>920</v>
      </c>
      <c r="B309" s="1">
        <v>1</v>
      </c>
      <c r="C309" s="1" t="s">
        <v>40</v>
      </c>
      <c r="D309" s="1" t="s">
        <v>25</v>
      </c>
      <c r="E309" s="1" t="s">
        <v>25</v>
      </c>
      <c r="F309" s="1" t="s">
        <v>25</v>
      </c>
      <c r="G309" s="1" t="s">
        <v>25</v>
      </c>
      <c r="H309" s="1" t="s">
        <v>26</v>
      </c>
      <c r="I309" s="1" t="s">
        <v>26</v>
      </c>
      <c r="J309" s="1" t="s">
        <v>448</v>
      </c>
      <c r="K309" s="1" t="s">
        <v>448</v>
      </c>
    </row>
    <row r="310" spans="1:11">
      <c r="A310" s="1" t="s">
        <v>921</v>
      </c>
      <c r="B310" s="1">
        <v>1</v>
      </c>
      <c r="C310" s="1" t="s">
        <v>40</v>
      </c>
      <c r="D310" s="1" t="s">
        <v>25</v>
      </c>
      <c r="E310" s="1" t="s">
        <v>25</v>
      </c>
      <c r="F310" s="1" t="s">
        <v>25</v>
      </c>
      <c r="G310" s="1" t="s">
        <v>25</v>
      </c>
      <c r="H310" s="1" t="s">
        <v>447</v>
      </c>
      <c r="I310" s="1" t="s">
        <v>447</v>
      </c>
      <c r="J310" s="1" t="s">
        <v>448</v>
      </c>
      <c r="K310" s="1" t="s">
        <v>448</v>
      </c>
    </row>
    <row r="311" spans="1:11">
      <c r="A311" s="1" t="s">
        <v>922</v>
      </c>
      <c r="B311" s="1">
        <v>1</v>
      </c>
      <c r="C311" s="1" t="s">
        <v>40</v>
      </c>
      <c r="D311" s="1" t="s">
        <v>25</v>
      </c>
      <c r="E311" s="1" t="s">
        <v>25</v>
      </c>
      <c r="F311" s="1" t="s">
        <v>28</v>
      </c>
      <c r="G311" s="1" t="s">
        <v>28</v>
      </c>
      <c r="H311" s="1" t="s">
        <v>28</v>
      </c>
      <c r="I311" s="1" t="s">
        <v>28</v>
      </c>
      <c r="J311" s="1" t="s">
        <v>448</v>
      </c>
      <c r="K311" s="1" t="s">
        <v>448</v>
      </c>
    </row>
    <row r="312" spans="1:11">
      <c r="A312" s="1" t="s">
        <v>923</v>
      </c>
      <c r="B312" s="1">
        <v>1</v>
      </c>
      <c r="C312" s="1" t="s">
        <v>40</v>
      </c>
      <c r="D312" s="1" t="s">
        <v>34</v>
      </c>
      <c r="E312" s="1" t="s">
        <v>34</v>
      </c>
      <c r="F312" s="1" t="s">
        <v>448</v>
      </c>
      <c r="G312" s="1" t="s">
        <v>448</v>
      </c>
    </row>
    <row r="313" spans="1:11">
      <c r="A313" s="1" t="s">
        <v>924</v>
      </c>
      <c r="B313" s="1">
        <v>1</v>
      </c>
      <c r="C313" s="1" t="s">
        <v>40</v>
      </c>
      <c r="D313" s="1" t="s">
        <v>382</v>
      </c>
      <c r="E313" s="1" t="s">
        <v>25</v>
      </c>
      <c r="F313" s="1" t="s">
        <v>25</v>
      </c>
      <c r="G313" s="1" t="s">
        <v>448</v>
      </c>
      <c r="H313" s="1" t="s">
        <v>448</v>
      </c>
    </row>
    <row r="314" spans="1:11">
      <c r="A314" s="1" t="s">
        <v>925</v>
      </c>
      <c r="B314" s="1">
        <v>1</v>
      </c>
      <c r="C314" s="1" t="s">
        <v>40</v>
      </c>
      <c r="D314" s="1" t="s">
        <v>380</v>
      </c>
      <c r="E314" s="1" t="s">
        <v>448</v>
      </c>
      <c r="F314" s="1" t="s">
        <v>448</v>
      </c>
    </row>
    <row r="315" spans="1:11">
      <c r="A315" s="1" t="s">
        <v>926</v>
      </c>
      <c r="B315" s="1">
        <v>1</v>
      </c>
      <c r="C315" s="1" t="s">
        <v>40</v>
      </c>
      <c r="D315" s="1" t="s">
        <v>381</v>
      </c>
      <c r="E315" s="1" t="s">
        <v>26</v>
      </c>
      <c r="F315" s="1" t="s">
        <v>26</v>
      </c>
      <c r="G315" s="1" t="s">
        <v>49</v>
      </c>
      <c r="H315" s="1" t="s">
        <v>49</v>
      </c>
    </row>
    <row r="316" spans="1:11">
      <c r="A316" s="1" t="s">
        <v>927</v>
      </c>
      <c r="B316" s="1">
        <v>1</v>
      </c>
      <c r="C316" s="1" t="s">
        <v>40</v>
      </c>
      <c r="D316" s="1" t="s">
        <v>384</v>
      </c>
      <c r="E316" s="1" t="s">
        <v>28</v>
      </c>
      <c r="F316" s="1" t="s">
        <v>28</v>
      </c>
      <c r="G316" s="1" t="s">
        <v>49</v>
      </c>
      <c r="H316" s="1" t="s">
        <v>49</v>
      </c>
    </row>
    <row r="317" spans="1:11">
      <c r="A317" s="1" t="s">
        <v>928</v>
      </c>
      <c r="B317" s="1">
        <v>1</v>
      </c>
      <c r="C317" s="1" t="s">
        <v>40</v>
      </c>
      <c r="D317" s="1" t="s">
        <v>383</v>
      </c>
      <c r="E317" s="1" t="s">
        <v>447</v>
      </c>
      <c r="F317" s="1" t="s">
        <v>447</v>
      </c>
      <c r="G317" s="1" t="s">
        <v>49</v>
      </c>
      <c r="H317" s="1" t="s">
        <v>49</v>
      </c>
    </row>
    <row r="318" spans="1:11">
      <c r="A318" s="1" t="s">
        <v>929</v>
      </c>
      <c r="B318" s="1">
        <v>1</v>
      </c>
      <c r="C318" s="1" t="s">
        <v>40</v>
      </c>
      <c r="D318" s="1" t="s">
        <v>385</v>
      </c>
      <c r="E318" s="1" t="s">
        <v>448</v>
      </c>
      <c r="F318" s="1" t="s">
        <v>448</v>
      </c>
      <c r="G318" s="1" t="s">
        <v>25</v>
      </c>
    </row>
    <row r="319" spans="1:11">
      <c r="A319" s="1" t="s">
        <v>930</v>
      </c>
      <c r="B319" s="1">
        <v>1</v>
      </c>
      <c r="C319" s="1" t="s">
        <v>40</v>
      </c>
      <c r="D319" s="1" t="s">
        <v>385</v>
      </c>
      <c r="E319" s="1" t="s">
        <v>448</v>
      </c>
      <c r="F319" s="1" t="s">
        <v>448</v>
      </c>
      <c r="G319" s="1" t="s">
        <v>34</v>
      </c>
      <c r="H319" s="1" t="s">
        <v>34</v>
      </c>
    </row>
    <row r="320" spans="1:11">
      <c r="A320" s="1" t="s">
        <v>931</v>
      </c>
      <c r="B320" s="1">
        <v>1</v>
      </c>
      <c r="C320" s="1" t="s">
        <v>40</v>
      </c>
      <c r="D320" s="1" t="s">
        <v>385</v>
      </c>
      <c r="E320" s="1" t="s">
        <v>448</v>
      </c>
      <c r="F320" s="1" t="s">
        <v>448</v>
      </c>
      <c r="G320" s="1" t="s">
        <v>49</v>
      </c>
      <c r="H320" s="1" t="s">
        <v>49</v>
      </c>
    </row>
    <row r="321" spans="1:12">
      <c r="A321" s="1" t="s">
        <v>932</v>
      </c>
      <c r="B321" s="1">
        <v>1</v>
      </c>
      <c r="C321" s="1" t="s">
        <v>40</v>
      </c>
      <c r="D321" s="1" t="s">
        <v>382</v>
      </c>
      <c r="E321" s="1" t="s">
        <v>25</v>
      </c>
      <c r="F321" s="1" t="s">
        <v>25</v>
      </c>
      <c r="G321" s="1" t="s">
        <v>25</v>
      </c>
      <c r="H321" s="1" t="s">
        <v>25</v>
      </c>
      <c r="I321" s="1" t="s">
        <v>448</v>
      </c>
      <c r="J321" s="1" t="s">
        <v>448</v>
      </c>
    </row>
    <row r="322" spans="1:12">
      <c r="A322" s="1" t="s">
        <v>933</v>
      </c>
      <c r="B322" s="1">
        <v>1</v>
      </c>
      <c r="C322" s="1" t="s">
        <v>40</v>
      </c>
      <c r="D322" s="1" t="s">
        <v>380</v>
      </c>
      <c r="E322" s="1" t="s">
        <v>34</v>
      </c>
      <c r="F322" s="1" t="s">
        <v>34</v>
      </c>
      <c r="G322" s="1" t="s">
        <v>34</v>
      </c>
      <c r="H322" s="1" t="s">
        <v>34</v>
      </c>
      <c r="I322" s="1" t="s">
        <v>448</v>
      </c>
      <c r="J322" s="1" t="s">
        <v>448</v>
      </c>
    </row>
    <row r="323" spans="1:12">
      <c r="A323" s="1" t="s">
        <v>934</v>
      </c>
      <c r="B323" s="1">
        <v>1</v>
      </c>
      <c r="C323" s="1" t="s">
        <v>40</v>
      </c>
      <c r="D323" s="1" t="s">
        <v>880</v>
      </c>
      <c r="E323" s="1" t="s">
        <v>25</v>
      </c>
      <c r="F323" s="1" t="s">
        <v>25</v>
      </c>
      <c r="G323" s="1" t="s">
        <v>25</v>
      </c>
      <c r="H323" s="1" t="s">
        <v>25</v>
      </c>
      <c r="I323" s="1" t="s">
        <v>448</v>
      </c>
      <c r="J323" s="1" t="s">
        <v>448</v>
      </c>
    </row>
    <row r="324" spans="1:12">
      <c r="A324" s="1" t="s">
        <v>935</v>
      </c>
      <c r="B324" s="1">
        <v>1</v>
      </c>
      <c r="C324" s="1" t="s">
        <v>40</v>
      </c>
      <c r="D324" s="1" t="s">
        <v>619</v>
      </c>
      <c r="E324" s="1" t="s">
        <v>34</v>
      </c>
      <c r="F324" s="1" t="s">
        <v>34</v>
      </c>
      <c r="G324" s="1" t="s">
        <v>34</v>
      </c>
      <c r="H324" s="1" t="s">
        <v>34</v>
      </c>
      <c r="I324" s="1" t="s">
        <v>448</v>
      </c>
      <c r="J324" s="1" t="s">
        <v>448</v>
      </c>
    </row>
    <row r="325" spans="1:12">
      <c r="A325" s="1" t="s">
        <v>936</v>
      </c>
      <c r="B325" s="1">
        <v>1</v>
      </c>
      <c r="C325" s="1" t="s">
        <v>40</v>
      </c>
      <c r="D325" s="1" t="s">
        <v>381</v>
      </c>
      <c r="E325" s="1" t="s">
        <v>26</v>
      </c>
      <c r="F325" s="1" t="s">
        <v>26</v>
      </c>
      <c r="G325" s="1" t="s">
        <v>26</v>
      </c>
      <c r="H325" s="1" t="s">
        <v>26</v>
      </c>
      <c r="I325" s="1" t="s">
        <v>49</v>
      </c>
      <c r="J325" s="1" t="s">
        <v>49</v>
      </c>
      <c r="K325" s="1" t="s">
        <v>49</v>
      </c>
      <c r="L325" s="1" t="s">
        <v>49</v>
      </c>
    </row>
    <row r="326" spans="1:12">
      <c r="A326" s="1" t="s">
        <v>937</v>
      </c>
      <c r="B326" s="1">
        <v>1</v>
      </c>
      <c r="C326" s="1" t="s">
        <v>40</v>
      </c>
      <c r="D326" s="1" t="s">
        <v>384</v>
      </c>
      <c r="E326" s="1" t="s">
        <v>28</v>
      </c>
      <c r="F326" s="1" t="s">
        <v>28</v>
      </c>
      <c r="G326" s="1" t="s">
        <v>28</v>
      </c>
      <c r="H326" s="1" t="s">
        <v>28</v>
      </c>
      <c r="I326" s="1" t="s">
        <v>49</v>
      </c>
      <c r="J326" s="1" t="s">
        <v>49</v>
      </c>
      <c r="K326" s="1" t="s">
        <v>49</v>
      </c>
      <c r="L326" s="1" t="s">
        <v>49</v>
      </c>
    </row>
    <row r="327" spans="1:12">
      <c r="A327" s="1" t="s">
        <v>938</v>
      </c>
      <c r="B327" s="1">
        <v>1</v>
      </c>
      <c r="C327" s="1" t="s">
        <v>40</v>
      </c>
      <c r="D327" s="1" t="s">
        <v>383</v>
      </c>
      <c r="E327" s="1" t="s">
        <v>447</v>
      </c>
      <c r="F327" s="1" t="s">
        <v>447</v>
      </c>
      <c r="G327" s="1" t="s">
        <v>49</v>
      </c>
      <c r="H327" s="1" t="s">
        <v>49</v>
      </c>
      <c r="I327" s="1" t="s">
        <v>49</v>
      </c>
      <c r="J327" s="1" t="s">
        <v>49</v>
      </c>
    </row>
    <row r="328" spans="1:12">
      <c r="A328" s="1" t="s">
        <v>939</v>
      </c>
      <c r="B328" s="1">
        <v>1</v>
      </c>
      <c r="C328" s="1" t="s">
        <v>40</v>
      </c>
      <c r="D328" s="1" t="s">
        <v>385</v>
      </c>
      <c r="E328" s="1" t="s">
        <v>448</v>
      </c>
      <c r="F328" s="1" t="s">
        <v>448</v>
      </c>
      <c r="G328" s="1" t="s">
        <v>25</v>
      </c>
      <c r="H328" s="1" t="s">
        <v>25</v>
      </c>
      <c r="I328" s="1" t="s">
        <v>25</v>
      </c>
      <c r="J328" s="1" t="s">
        <v>25</v>
      </c>
    </row>
    <row r="329" spans="1:12">
      <c r="A329" s="1" t="s">
        <v>940</v>
      </c>
      <c r="B329" s="1">
        <v>1</v>
      </c>
      <c r="C329" s="1" t="s">
        <v>40</v>
      </c>
      <c r="D329" s="1" t="s">
        <v>385</v>
      </c>
      <c r="E329" s="1" t="s">
        <v>448</v>
      </c>
      <c r="F329" s="1" t="s">
        <v>448</v>
      </c>
      <c r="G329" s="1" t="s">
        <v>448</v>
      </c>
      <c r="H329" s="1" t="s">
        <v>448</v>
      </c>
      <c r="I329" s="1" t="s">
        <v>34</v>
      </c>
      <c r="J329" s="1" t="s">
        <v>34</v>
      </c>
      <c r="K329" s="1" t="s">
        <v>34</v>
      </c>
      <c r="L329" s="1" t="s">
        <v>34</v>
      </c>
    </row>
    <row r="330" spans="1:12">
      <c r="A330" s="1" t="s">
        <v>941</v>
      </c>
      <c r="B330" s="1">
        <v>1</v>
      </c>
      <c r="C330" s="1" t="s">
        <v>40</v>
      </c>
      <c r="D330" s="1" t="s">
        <v>385</v>
      </c>
      <c r="E330" s="1" t="s">
        <v>448</v>
      </c>
      <c r="F330" s="1" t="s">
        <v>448</v>
      </c>
      <c r="G330" s="1" t="s">
        <v>49</v>
      </c>
      <c r="H330" s="1" t="s">
        <v>49</v>
      </c>
      <c r="I330" s="1" t="s">
        <v>49</v>
      </c>
      <c r="J330" s="1" t="s">
        <v>49</v>
      </c>
    </row>
    <row r="331" spans="1:12">
      <c r="A331" s="1" t="s">
        <v>942</v>
      </c>
      <c r="B331" s="1">
        <v>1</v>
      </c>
      <c r="C331" s="1" t="s">
        <v>40</v>
      </c>
      <c r="D331" s="1" t="s">
        <v>881</v>
      </c>
      <c r="E331" s="1" t="s">
        <v>26</v>
      </c>
      <c r="F331" s="1" t="s">
        <v>26</v>
      </c>
      <c r="G331" s="1" t="s">
        <v>26</v>
      </c>
      <c r="H331" s="1" t="s">
        <v>26</v>
      </c>
      <c r="I331" s="1" t="s">
        <v>49</v>
      </c>
      <c r="J331" s="1" t="s">
        <v>49</v>
      </c>
      <c r="K331" s="1" t="s">
        <v>49</v>
      </c>
      <c r="L331" s="1" t="s">
        <v>49</v>
      </c>
    </row>
    <row r="332" spans="1:12">
      <c r="A332" s="1" t="s">
        <v>943</v>
      </c>
      <c r="B332" s="1">
        <v>1</v>
      </c>
      <c r="C332" s="1" t="s">
        <v>40</v>
      </c>
      <c r="D332" s="1" t="s">
        <v>620</v>
      </c>
      <c r="E332" s="1" t="s">
        <v>28</v>
      </c>
      <c r="F332" s="1" t="s">
        <v>28</v>
      </c>
      <c r="G332" s="1" t="s">
        <v>28</v>
      </c>
      <c r="H332" s="1" t="s">
        <v>28</v>
      </c>
      <c r="I332" s="1" t="s">
        <v>49</v>
      </c>
      <c r="J332" s="1" t="s">
        <v>49</v>
      </c>
      <c r="K332" s="1" t="s">
        <v>49</v>
      </c>
      <c r="L332" s="1" t="s">
        <v>49</v>
      </c>
    </row>
    <row r="333" spans="1:12">
      <c r="A333" s="1" t="s">
        <v>944</v>
      </c>
      <c r="B333" s="1">
        <v>1</v>
      </c>
      <c r="C333" s="1" t="s">
        <v>40</v>
      </c>
      <c r="D333" s="1" t="s">
        <v>882</v>
      </c>
      <c r="E333" s="1" t="s">
        <v>447</v>
      </c>
      <c r="F333" s="1" t="s">
        <v>447</v>
      </c>
      <c r="G333" s="1" t="s">
        <v>447</v>
      </c>
      <c r="H333" s="1" t="s">
        <v>447</v>
      </c>
      <c r="I333" s="1" t="s">
        <v>49</v>
      </c>
      <c r="J333" s="1" t="s">
        <v>49</v>
      </c>
      <c r="K333" s="1" t="s">
        <v>49</v>
      </c>
      <c r="L333" s="1" t="s">
        <v>49</v>
      </c>
    </row>
    <row r="334" spans="1:12">
      <c r="A334" s="1" t="s">
        <v>945</v>
      </c>
      <c r="B334" s="1">
        <v>1</v>
      </c>
      <c r="C334" s="1" t="s">
        <v>40</v>
      </c>
      <c r="D334" s="1" t="s">
        <v>621</v>
      </c>
      <c r="E334" s="1" t="s">
        <v>448</v>
      </c>
      <c r="F334" s="1" t="s">
        <v>448</v>
      </c>
      <c r="G334" s="1" t="s">
        <v>34</v>
      </c>
      <c r="H334" s="1" t="s">
        <v>34</v>
      </c>
      <c r="I334" s="1" t="s">
        <v>34</v>
      </c>
      <c r="J334" s="1" t="s">
        <v>34</v>
      </c>
    </row>
    <row r="335" spans="1:12">
      <c r="A335" s="1" t="s">
        <v>946</v>
      </c>
      <c r="B335" s="1">
        <v>1</v>
      </c>
      <c r="C335" s="1" t="s">
        <v>40</v>
      </c>
      <c r="D335" s="1" t="s">
        <v>621</v>
      </c>
      <c r="E335" s="1" t="s">
        <v>448</v>
      </c>
      <c r="F335" s="1" t="s">
        <v>448</v>
      </c>
      <c r="G335" s="1" t="s">
        <v>49</v>
      </c>
      <c r="H335" s="1" t="s">
        <v>49</v>
      </c>
      <c r="I335" s="1" t="s">
        <v>49</v>
      </c>
      <c r="J335" s="1" t="s">
        <v>49</v>
      </c>
    </row>
    <row r="336" spans="1:12">
      <c r="A336" s="1" t="s">
        <v>947</v>
      </c>
      <c r="B336" s="1">
        <v>1</v>
      </c>
      <c r="C336" s="1" t="s">
        <v>40</v>
      </c>
      <c r="D336" s="1" t="s">
        <v>621</v>
      </c>
      <c r="E336" s="1" t="s">
        <v>448</v>
      </c>
      <c r="F336" s="1" t="s">
        <v>448</v>
      </c>
      <c r="G336" s="1" t="s">
        <v>25</v>
      </c>
      <c r="H336" s="1" t="s">
        <v>25</v>
      </c>
      <c r="I336" s="1" t="s">
        <v>25</v>
      </c>
      <c r="J336" s="1" t="s">
        <v>25</v>
      </c>
    </row>
    <row r="337" spans="1:16">
      <c r="A337" s="1" t="s">
        <v>1204</v>
      </c>
      <c r="B337" s="1">
        <v>1</v>
      </c>
      <c r="C337" s="1" t="s">
        <v>40</v>
      </c>
      <c r="D337" s="1" t="s">
        <v>455</v>
      </c>
      <c r="E337" s="1" t="s">
        <v>450</v>
      </c>
      <c r="F337" s="1" t="s">
        <v>450</v>
      </c>
      <c r="G337" s="1" t="s">
        <v>450</v>
      </c>
      <c r="H337" s="1" t="s">
        <v>450</v>
      </c>
      <c r="I337" s="1" t="s">
        <v>450</v>
      </c>
      <c r="J337" s="1" t="s">
        <v>450</v>
      </c>
    </row>
    <row r="338" spans="1:16">
      <c r="A338" s="1" t="s">
        <v>1205</v>
      </c>
      <c r="B338" s="1">
        <v>1</v>
      </c>
      <c r="C338" s="1" t="s">
        <v>40</v>
      </c>
      <c r="D338" s="1" t="s">
        <v>1206</v>
      </c>
      <c r="E338" s="1" t="s">
        <v>450</v>
      </c>
      <c r="F338" s="1" t="s">
        <v>450</v>
      </c>
      <c r="G338" s="1" t="s">
        <v>450</v>
      </c>
      <c r="H338" s="1" t="s">
        <v>450</v>
      </c>
      <c r="I338" s="1" t="s">
        <v>450</v>
      </c>
      <c r="J338" s="1" t="s">
        <v>450</v>
      </c>
      <c r="K338" s="1" t="s">
        <v>450</v>
      </c>
      <c r="L338" s="1" t="s">
        <v>450</v>
      </c>
      <c r="M338" s="1" t="s">
        <v>450</v>
      </c>
      <c r="N338" s="1" t="s">
        <v>450</v>
      </c>
    </row>
    <row r="339" spans="1:16">
      <c r="A339" s="1" t="s">
        <v>1207</v>
      </c>
      <c r="B339" s="1">
        <v>1</v>
      </c>
      <c r="C339" s="1" t="s">
        <v>40</v>
      </c>
      <c r="D339" s="1" t="s">
        <v>1208</v>
      </c>
      <c r="E339" s="1" t="s">
        <v>307</v>
      </c>
      <c r="F339" s="1" t="s">
        <v>307</v>
      </c>
      <c r="G339" s="1" t="s">
        <v>307</v>
      </c>
      <c r="H339" s="1" t="s">
        <v>307</v>
      </c>
      <c r="I339" s="1" t="s">
        <v>307</v>
      </c>
      <c r="J339" s="1" t="s">
        <v>307</v>
      </c>
      <c r="K339" s="1" t="s">
        <v>307</v>
      </c>
      <c r="L339" s="1" t="s">
        <v>307</v>
      </c>
      <c r="M339" s="1" t="s">
        <v>307</v>
      </c>
      <c r="N339" s="1" t="s">
        <v>307</v>
      </c>
    </row>
    <row r="340" spans="1:16">
      <c r="A340" s="1" t="s">
        <v>1260</v>
      </c>
      <c r="B340" s="1">
        <v>0</v>
      </c>
      <c r="C340" s="1" t="s">
        <v>38</v>
      </c>
      <c r="D340" s="1" t="s">
        <v>30</v>
      </c>
      <c r="E340" s="1" t="s">
        <v>30</v>
      </c>
      <c r="F340" s="1" t="s">
        <v>30</v>
      </c>
      <c r="G340" s="1" t="s">
        <v>30</v>
      </c>
      <c r="H340" s="1" t="s">
        <v>30</v>
      </c>
      <c r="I340" s="1" t="s">
        <v>30</v>
      </c>
    </row>
    <row r="341" spans="1:16">
      <c r="A341" s="1" t="s">
        <v>1261</v>
      </c>
      <c r="B341" s="1">
        <v>0</v>
      </c>
      <c r="C341" s="1" t="s">
        <v>38</v>
      </c>
      <c r="D341" s="1" t="s">
        <v>30</v>
      </c>
      <c r="E341" s="1" t="s">
        <v>30</v>
      </c>
      <c r="F341" s="1" t="s">
        <v>30</v>
      </c>
      <c r="G341" s="1" t="s">
        <v>30</v>
      </c>
    </row>
    <row r="342" spans="1:16">
      <c r="A342" s="1" t="s">
        <v>1262</v>
      </c>
      <c r="B342" s="1">
        <v>0</v>
      </c>
      <c r="C342" s="1" t="s">
        <v>38</v>
      </c>
      <c r="D342" s="1" t="s">
        <v>30</v>
      </c>
      <c r="E342" s="1" t="s">
        <v>30</v>
      </c>
      <c r="F342" s="1" t="s">
        <v>30</v>
      </c>
      <c r="G342" s="1" t="s">
        <v>30</v>
      </c>
      <c r="H342" s="1" t="s">
        <v>30</v>
      </c>
      <c r="I342" s="1" t="s">
        <v>30</v>
      </c>
      <c r="J342" s="1" t="s">
        <v>30</v>
      </c>
      <c r="K342" s="1" t="s">
        <v>30</v>
      </c>
    </row>
    <row r="343" spans="1:16">
      <c r="A343" s="1" t="s">
        <v>1263</v>
      </c>
      <c r="B343" s="1">
        <v>2</v>
      </c>
      <c r="C343" s="1" t="s">
        <v>38</v>
      </c>
      <c r="D343" s="1" t="s">
        <v>30</v>
      </c>
      <c r="E343" s="1" t="s">
        <v>30</v>
      </c>
      <c r="F343" s="1" t="s">
        <v>30</v>
      </c>
      <c r="G343" s="1" t="s">
        <v>30</v>
      </c>
      <c r="H343" s="1" t="s">
        <v>30</v>
      </c>
      <c r="I343" s="1" t="s">
        <v>30</v>
      </c>
      <c r="J343" s="1" t="s">
        <v>30</v>
      </c>
      <c r="K343" s="1" t="s">
        <v>30</v>
      </c>
    </row>
    <row r="344" spans="1:16">
      <c r="A344" s="1" t="s">
        <v>1267</v>
      </c>
      <c r="B344" s="1">
        <v>1</v>
      </c>
      <c r="C344" s="1" t="s">
        <v>903</v>
      </c>
      <c r="D344" s="1" t="s">
        <v>451</v>
      </c>
      <c r="E344" s="1" t="s">
        <v>451</v>
      </c>
      <c r="F344" s="1" t="s">
        <v>451</v>
      </c>
      <c r="G344" s="1" t="s">
        <v>451</v>
      </c>
    </row>
    <row r="345" spans="1:16">
      <c r="A345" s="1" t="s">
        <v>1268</v>
      </c>
      <c r="B345" s="1">
        <v>1</v>
      </c>
      <c r="C345" s="1" t="s">
        <v>903</v>
      </c>
      <c r="D345" s="1" t="s">
        <v>452</v>
      </c>
      <c r="E345" s="1" t="s">
        <v>452</v>
      </c>
      <c r="F345" s="1" t="s">
        <v>452</v>
      </c>
      <c r="G345" s="1" t="s">
        <v>452</v>
      </c>
    </row>
    <row r="346" spans="1:16">
      <c r="A346" s="1" t="s">
        <v>1269</v>
      </c>
      <c r="B346" s="1">
        <v>1</v>
      </c>
      <c r="C346" s="1" t="s">
        <v>1266</v>
      </c>
      <c r="D346" s="1" t="s">
        <v>451</v>
      </c>
      <c r="E346" s="1" t="s">
        <v>451</v>
      </c>
      <c r="F346" s="1" t="s">
        <v>451</v>
      </c>
      <c r="G346" s="1" t="s">
        <v>451</v>
      </c>
      <c r="H346" s="1" t="s">
        <v>451</v>
      </c>
      <c r="I346" s="1" t="s">
        <v>451</v>
      </c>
    </row>
    <row r="347" spans="1:16">
      <c r="A347" s="1" t="s">
        <v>1270</v>
      </c>
      <c r="B347" s="1">
        <v>1</v>
      </c>
      <c r="C347" s="1" t="s">
        <v>1266</v>
      </c>
      <c r="D347" s="1" t="s">
        <v>452</v>
      </c>
      <c r="E347" s="1" t="s">
        <v>452</v>
      </c>
      <c r="F347" s="1" t="s">
        <v>452</v>
      </c>
      <c r="G347" s="1" t="s">
        <v>452</v>
      </c>
      <c r="H347" s="1" t="s">
        <v>452</v>
      </c>
      <c r="I347" s="1" t="s">
        <v>452</v>
      </c>
    </row>
    <row r="348" spans="1:16">
      <c r="A348" s="1" t="s">
        <v>1277</v>
      </c>
      <c r="B348" s="1">
        <v>1</v>
      </c>
      <c r="C348" s="1" t="s">
        <v>40</v>
      </c>
      <c r="D348" s="1" t="s">
        <v>379</v>
      </c>
      <c r="E348" s="1" t="s">
        <v>32</v>
      </c>
      <c r="F348" s="1" t="s">
        <v>32</v>
      </c>
      <c r="G348" s="1" t="s">
        <v>32</v>
      </c>
      <c r="H348" s="1" t="s">
        <v>32</v>
      </c>
      <c r="I348" s="1" t="s">
        <v>32</v>
      </c>
      <c r="J348" s="1" t="s">
        <v>32</v>
      </c>
      <c r="K348" s="1" t="s">
        <v>32</v>
      </c>
      <c r="L348" s="1" t="s">
        <v>32</v>
      </c>
      <c r="M348" s="1" t="s">
        <v>30</v>
      </c>
      <c r="N348" s="1" t="s">
        <v>30</v>
      </c>
      <c r="O348" s="1" t="s">
        <v>30</v>
      </c>
      <c r="P348" s="1" t="s">
        <v>30</v>
      </c>
    </row>
    <row r="349" spans="1:16">
      <c r="A349" s="1" t="s">
        <v>1294</v>
      </c>
      <c r="B349" s="1">
        <v>1</v>
      </c>
      <c r="C349" s="1" t="s">
        <v>38</v>
      </c>
      <c r="D349" s="1" t="s">
        <v>30</v>
      </c>
      <c r="E349" s="1" t="s">
        <v>30</v>
      </c>
      <c r="F349" s="1" t="s">
        <v>30</v>
      </c>
      <c r="G349" s="1" t="s">
        <v>30</v>
      </c>
      <c r="H349" s="1" t="s">
        <v>30</v>
      </c>
      <c r="I349" s="1" t="s">
        <v>30</v>
      </c>
      <c r="J349" s="1" t="s">
        <v>30</v>
      </c>
      <c r="K349" s="1" t="s">
        <v>30</v>
      </c>
      <c r="L349" s="1" t="s">
        <v>30</v>
      </c>
      <c r="M349" s="1" t="s">
        <v>30</v>
      </c>
    </row>
    <row r="350" spans="1:16">
      <c r="A350" s="1" t="s">
        <v>1295</v>
      </c>
      <c r="B350" s="1">
        <v>1</v>
      </c>
      <c r="C350" s="1" t="s">
        <v>40</v>
      </c>
      <c r="D350" s="1" t="s">
        <v>455</v>
      </c>
      <c r="E350" s="1" t="s">
        <v>450</v>
      </c>
      <c r="F350" s="1" t="s">
        <v>450</v>
      </c>
      <c r="G350" s="1" t="s">
        <v>450</v>
      </c>
      <c r="H350" s="1" t="s">
        <v>450</v>
      </c>
      <c r="I350" s="1" t="s">
        <v>450</v>
      </c>
      <c r="J350" s="1" t="s">
        <v>450</v>
      </c>
      <c r="K350" s="1" t="s">
        <v>450</v>
      </c>
      <c r="L350" s="1" t="s">
        <v>450</v>
      </c>
      <c r="M350" s="1" t="s">
        <v>450</v>
      </c>
    </row>
    <row r="351" spans="1:16">
      <c r="A351" s="1" t="s">
        <v>1296</v>
      </c>
      <c r="B351" s="1">
        <v>1</v>
      </c>
      <c r="C351" s="1" t="s">
        <v>40</v>
      </c>
      <c r="D351" s="1" t="s">
        <v>49</v>
      </c>
      <c r="E351" s="1" t="s">
        <v>49</v>
      </c>
      <c r="F351" s="1" t="s">
        <v>49</v>
      </c>
      <c r="G351" s="1" t="s">
        <v>49</v>
      </c>
      <c r="H351" s="1" t="s">
        <v>49</v>
      </c>
      <c r="I351" s="1" t="s">
        <v>49</v>
      </c>
      <c r="J351" s="1" t="s">
        <v>49</v>
      </c>
      <c r="K351" s="1" t="s">
        <v>49</v>
      </c>
    </row>
    <row r="352" spans="1:16">
      <c r="A352" s="1" t="s">
        <v>1299</v>
      </c>
      <c r="B352" s="1">
        <v>1</v>
      </c>
      <c r="C352" s="1" t="s">
        <v>40</v>
      </c>
      <c r="D352" s="1" t="s">
        <v>379</v>
      </c>
      <c r="E352" s="1" t="s">
        <v>32</v>
      </c>
      <c r="F352" s="1" t="s">
        <v>32</v>
      </c>
      <c r="G352" s="1" t="s">
        <v>32</v>
      </c>
      <c r="H352" s="1" t="s">
        <v>32</v>
      </c>
      <c r="I352" s="1" t="s">
        <v>32</v>
      </c>
      <c r="J352" s="1" t="s">
        <v>32</v>
      </c>
      <c r="K352" s="1" t="s">
        <v>32</v>
      </c>
      <c r="L352" s="1" t="s">
        <v>32</v>
      </c>
    </row>
    <row r="353" spans="1:14">
      <c r="A353" s="1" t="s">
        <v>1300</v>
      </c>
      <c r="B353" s="1">
        <v>1</v>
      </c>
      <c r="C353" s="1" t="s">
        <v>1266</v>
      </c>
      <c r="D353" s="1" t="s">
        <v>30</v>
      </c>
      <c r="E353" s="1" t="s">
        <v>30</v>
      </c>
      <c r="F353" s="1" t="s">
        <v>30</v>
      </c>
      <c r="G353" s="1" t="s">
        <v>30</v>
      </c>
      <c r="H353" s="1" t="s">
        <v>30</v>
      </c>
      <c r="I353" s="1" t="s">
        <v>30</v>
      </c>
      <c r="J353" s="1" t="s">
        <v>30</v>
      </c>
      <c r="K353" s="1" t="s">
        <v>30</v>
      </c>
    </row>
    <row r="354" spans="1:14">
      <c r="A354" s="1" t="s">
        <v>1373</v>
      </c>
      <c r="B354" s="1">
        <v>1</v>
      </c>
      <c r="C354" s="1" t="s">
        <v>40</v>
      </c>
      <c r="D354" s="1" t="s">
        <v>1206</v>
      </c>
      <c r="E354" s="1" t="s">
        <v>450</v>
      </c>
      <c r="F354" s="1" t="s">
        <v>450</v>
      </c>
      <c r="G354" s="1" t="s">
        <v>450</v>
      </c>
      <c r="H354" s="1" t="s">
        <v>450</v>
      </c>
      <c r="I354" s="1" t="s">
        <v>617</v>
      </c>
      <c r="J354" s="1" t="s">
        <v>32</v>
      </c>
      <c r="K354" s="1" t="s">
        <v>32</v>
      </c>
      <c r="L354" s="1" t="s">
        <v>617</v>
      </c>
      <c r="M354" s="1" t="s">
        <v>32</v>
      </c>
      <c r="N354" s="1" t="s">
        <v>32</v>
      </c>
    </row>
  </sheetData>
  <phoneticPr fontId="28" type="noConversion"/>
  <conditionalFormatting sqref="A1:A1048576">
    <cfRule type="duplicateValues" dxfId="1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adGroupOutputJson">
                <anchor moveWithCells="1" sizeWithCells="1">
                  <from>
                    <xdr:col>0</xdr:col>
                    <xdr:colOff>866775</xdr:colOff>
                    <xdr:row>1</xdr:row>
                    <xdr:rowOff>0</xdr:rowOff>
                  </from>
                  <to>
                    <xdr:col>0</xdr:col>
                    <xdr:colOff>1419225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GenGroupOutputJson">
                <anchor moveWithCells="1" sizeWithCells="1">
                  <from>
                    <xdr:col>0</xdr:col>
                    <xdr:colOff>2076450</xdr:colOff>
                    <xdr:row>1</xdr:row>
                    <xdr:rowOff>9525</xdr:rowOff>
                  </from>
                  <to>
                    <xdr:col>0</xdr:col>
                    <xdr:colOff>2581275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GroupToStageEnemy">
                <anchor moveWithCells="1" sizeWithCells="1">
                  <from>
                    <xdr:col>0</xdr:col>
                    <xdr:colOff>1495425</xdr:colOff>
                    <xdr:row>0</xdr:row>
                    <xdr:rowOff>200025</xdr:rowOff>
                  </from>
                  <to>
                    <xdr:col>0</xdr:col>
                    <xdr:colOff>2000250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M179"/>
  <sheetViews>
    <sheetView showGridLines="0" topLeftCell="A148" zoomScale="90" zoomScaleNormal="90" workbookViewId="0">
      <selection activeCell="F175" sqref="F175"/>
    </sheetView>
  </sheetViews>
  <sheetFormatPr defaultColWidth="9" defaultRowHeight="16.5"/>
  <cols>
    <col min="1" max="1" width="5" style="6" customWidth="1"/>
    <col min="2" max="3" width="17.5" style="6" bestFit="1" customWidth="1"/>
    <col min="4" max="4" width="11.875" style="6" bestFit="1" customWidth="1"/>
    <col min="5" max="5" width="9" style="6"/>
    <col min="6" max="6" width="17.5" style="6" bestFit="1" customWidth="1"/>
    <col min="7" max="7" width="11.875" style="6" bestFit="1" customWidth="1"/>
    <col min="8" max="16384" width="9" style="6"/>
  </cols>
  <sheetData>
    <row r="2" spans="2:13">
      <c r="B2" s="6" t="s">
        <v>469</v>
      </c>
      <c r="C2" s="6" t="s">
        <v>466</v>
      </c>
      <c r="D2" s="6" t="s">
        <v>467</v>
      </c>
      <c r="F2" s="6" t="s">
        <v>466</v>
      </c>
      <c r="G2" s="6" t="s">
        <v>467</v>
      </c>
    </row>
    <row r="3" spans="2:13">
      <c r="B3" s="6" t="s">
        <v>387</v>
      </c>
      <c r="C3" s="6" t="s">
        <v>387</v>
      </c>
      <c r="D3" s="6" t="str">
        <f>INDEX(tbUnitTypeToIndex[Index],MATCH(tbUnitNameToType[[#This Row],[Type]],tbUnitTypeToIndex[Type],))</f>
        <v>铁英</v>
      </c>
      <c r="F3" s="6" t="s">
        <v>387</v>
      </c>
      <c r="G3" s="6" t="s">
        <v>458</v>
      </c>
    </row>
    <row r="4" spans="2:13">
      <c r="B4" s="6" t="s">
        <v>444</v>
      </c>
      <c r="C4" s="6" t="s">
        <v>444</v>
      </c>
      <c r="D4" s="6" t="str">
        <f>INDEX(tbUnitTypeToIndex[Index],MATCH(tbUnitNameToType[[#This Row],[Type]],tbUnitTypeToIndex[Type],))</f>
        <v>强英</v>
      </c>
      <c r="F4" s="6" t="s">
        <v>444</v>
      </c>
      <c r="G4" s="6" t="s">
        <v>459</v>
      </c>
    </row>
    <row r="5" spans="2:13">
      <c r="B5" s="6" t="s">
        <v>445</v>
      </c>
      <c r="C5" s="6" t="s">
        <v>445</v>
      </c>
      <c r="D5" s="6" t="str">
        <f>INDEX(tbUnitTypeToIndex[Index],MATCH(tbUnitNameToType[[#This Row],[Type]],tbUnitTypeToIndex[Type],))</f>
        <v>炼英</v>
      </c>
      <c r="F5" s="6" t="s">
        <v>445</v>
      </c>
      <c r="G5" s="6" t="s">
        <v>460</v>
      </c>
    </row>
    <row r="6" spans="2:13">
      <c r="B6" s="6" t="s">
        <v>446</v>
      </c>
      <c r="C6" s="6" t="s">
        <v>446</v>
      </c>
      <c r="D6" s="6" t="str">
        <f>INDEX(tbUnitTypeToIndex[Index],MATCH(tbUnitNameToType[[#This Row],[Type]],tbUnitTypeToIndex[Type],))</f>
        <v>法英</v>
      </c>
      <c r="F6" s="6" t="s">
        <v>446</v>
      </c>
      <c r="G6" s="6" t="s">
        <v>461</v>
      </c>
      <c r="M6" s="22"/>
    </row>
    <row r="7" spans="2:13">
      <c r="B7" s="6" t="s">
        <v>440</v>
      </c>
      <c r="C7" s="6" t="s">
        <v>440</v>
      </c>
      <c r="D7" s="6" t="str">
        <f>INDEX(tbUnitTypeToIndex[Index],MATCH(tbUnitNameToType[[#This Row],[Type]],tbUnitTypeToIndex[Type],))</f>
        <v>铁英</v>
      </c>
      <c r="F7" s="6" t="s">
        <v>440</v>
      </c>
      <c r="G7" s="6" t="s">
        <v>458</v>
      </c>
      <c r="K7" s="4"/>
      <c r="L7" s="4"/>
      <c r="M7" s="4"/>
    </row>
    <row r="8" spans="2:13">
      <c r="B8" s="6" t="s">
        <v>441</v>
      </c>
      <c r="C8" s="6" t="s">
        <v>441</v>
      </c>
      <c r="D8" s="6" t="str">
        <f>INDEX(tbUnitTypeToIndex[Index],MATCH(tbUnitNameToType[[#This Row],[Type]],tbUnitTypeToIndex[Type],))</f>
        <v>强英</v>
      </c>
      <c r="F8" s="6" t="s">
        <v>441</v>
      </c>
      <c r="G8" s="6" t="s">
        <v>459</v>
      </c>
    </row>
    <row r="9" spans="2:13">
      <c r="B9" s="6" t="s">
        <v>442</v>
      </c>
      <c r="C9" s="6" t="s">
        <v>442</v>
      </c>
      <c r="D9" s="6" t="str">
        <f>INDEX(tbUnitTypeToIndex[Index],MATCH(tbUnitNameToType[[#This Row],[Type]],tbUnitTypeToIndex[Type],))</f>
        <v>炼英</v>
      </c>
      <c r="F9" s="6" t="s">
        <v>442</v>
      </c>
      <c r="G9" s="6" t="s">
        <v>460</v>
      </c>
      <c r="K9" s="4"/>
      <c r="L9" s="4"/>
      <c r="M9" s="4"/>
    </row>
    <row r="10" spans="2:13">
      <c r="B10" s="6" t="s">
        <v>443</v>
      </c>
      <c r="C10" s="6" t="s">
        <v>443</v>
      </c>
      <c r="D10" s="6" t="str">
        <f>INDEX(tbUnitTypeToIndex[Index],MATCH(tbUnitNameToType[[#This Row],[Type]],tbUnitTypeToIndex[Type],))</f>
        <v>法英</v>
      </c>
      <c r="F10" s="6" t="s">
        <v>443</v>
      </c>
      <c r="G10" s="6" t="s">
        <v>461</v>
      </c>
    </row>
    <row r="11" spans="2:13">
      <c r="B11" s="6" t="s">
        <v>25</v>
      </c>
      <c r="C11" s="6" t="s">
        <v>25</v>
      </c>
      <c r="D11" s="6" t="str">
        <f>INDEX(tbUnitTypeToIndex[Index],MATCH(tbUnitNameToType[[#This Row],[Type]],tbUnitTypeToIndex[Type],))</f>
        <v>铁兵</v>
      </c>
      <c r="F11" s="6" t="s">
        <v>25</v>
      </c>
      <c r="G11" s="6" t="s">
        <v>158</v>
      </c>
    </row>
    <row r="12" spans="2:13">
      <c r="B12" s="6" t="s">
        <v>26</v>
      </c>
      <c r="C12" s="6" t="s">
        <v>26</v>
      </c>
      <c r="D12" s="6" t="str">
        <f>INDEX(tbUnitTypeToIndex[Index],MATCH(tbUnitNameToType[[#This Row],[Type]],tbUnitTypeToIndex[Type],))</f>
        <v>强兵</v>
      </c>
      <c r="F12" s="6" t="s">
        <v>26</v>
      </c>
      <c r="G12" s="6" t="s">
        <v>160</v>
      </c>
    </row>
    <row r="13" spans="2:13">
      <c r="B13" s="6" t="s">
        <v>34</v>
      </c>
      <c r="C13" s="6" t="s">
        <v>34</v>
      </c>
      <c r="D13" s="6" t="str">
        <f>INDEX(tbUnitTypeToIndex[Index],MATCH(tbUnitNameToType[[#This Row],[Type]],tbUnitTypeToIndex[Type],))</f>
        <v>盾兵</v>
      </c>
      <c r="F13" s="6" t="s">
        <v>34</v>
      </c>
      <c r="G13" s="6" t="s">
        <v>159</v>
      </c>
    </row>
    <row r="14" spans="2:13">
      <c r="B14" s="6" t="s">
        <v>447</v>
      </c>
      <c r="C14" s="6" t="s">
        <v>447</v>
      </c>
      <c r="D14" s="6" t="str">
        <f>INDEX(tbUnitTypeToIndex[Index],MATCH(tbUnitNameToType[[#This Row],[Type]],tbUnitTypeToIndex[Type],))</f>
        <v>炼兵</v>
      </c>
      <c r="F14" s="6" t="s">
        <v>447</v>
      </c>
      <c r="G14" s="6" t="s">
        <v>161</v>
      </c>
    </row>
    <row r="15" spans="2:13">
      <c r="B15" s="6" t="s">
        <v>28</v>
      </c>
      <c r="C15" s="6" t="s">
        <v>28</v>
      </c>
      <c r="D15" s="6" t="str">
        <f>INDEX(tbUnitTypeToIndex[Index],MATCH(tbUnitNameToType[[#This Row],[Type]],tbUnitTypeToIndex[Type],))</f>
        <v>法兵</v>
      </c>
      <c r="F15" s="6" t="s">
        <v>28</v>
      </c>
      <c r="G15" s="6" t="s">
        <v>162</v>
      </c>
    </row>
    <row r="16" spans="2:13">
      <c r="B16" s="6" t="s">
        <v>448</v>
      </c>
      <c r="C16" s="6" t="s">
        <v>448</v>
      </c>
      <c r="D16" s="6" t="str">
        <f>INDEX(tbUnitTypeToIndex[Index],MATCH(tbUnitNameToType[[#This Row],[Type]],tbUnitTypeToIndex[Type],))</f>
        <v>刺兵</v>
      </c>
      <c r="F16" s="6" t="s">
        <v>448</v>
      </c>
      <c r="G16" s="6" t="s">
        <v>163</v>
      </c>
    </row>
    <row r="17" spans="2:13">
      <c r="B17" s="6" t="s">
        <v>449</v>
      </c>
      <c r="C17" s="6" t="s">
        <v>449</v>
      </c>
      <c r="D17" s="6" t="str">
        <f>INDEX(tbUnitTypeToIndex[Index],MATCH(tbUnitNameToType[[#This Row],[Type]],tbUnitTypeToIndex[Type],))</f>
        <v>旗兵</v>
      </c>
      <c r="F17" s="6" t="s">
        <v>449</v>
      </c>
      <c r="G17" s="6" t="s">
        <v>462</v>
      </c>
    </row>
    <row r="18" spans="2:13">
      <c r="B18" s="6" t="s">
        <v>463</v>
      </c>
      <c r="C18" s="6" t="s">
        <v>463</v>
      </c>
      <c r="D18" s="6" t="str">
        <f>INDEX(tbUnitTypeToIndex[Index],MATCH(tbUnitNameToType[[#This Row],[Type]],tbUnitTypeToIndex[Type],))</f>
        <v>教徒</v>
      </c>
      <c r="F18" s="6" t="s">
        <v>463</v>
      </c>
      <c r="G18" s="6" t="s">
        <v>463</v>
      </c>
    </row>
    <row r="19" spans="2:13">
      <c r="B19" s="6" t="s">
        <v>31</v>
      </c>
      <c r="C19" s="6" t="s">
        <v>31</v>
      </c>
      <c r="D19" s="6" t="str">
        <f>INDEX(tbUnitTypeToIndex[Index],MATCH(tbUnitNameToType[[#This Row],[Type]],tbUnitTypeToIndex[Type],))</f>
        <v>铁兵</v>
      </c>
      <c r="F19" s="6" t="s">
        <v>31</v>
      </c>
      <c r="G19" s="6" t="s">
        <v>158</v>
      </c>
    </row>
    <row r="20" spans="2:13">
      <c r="B20" s="6" t="s">
        <v>307</v>
      </c>
      <c r="C20" s="6" t="s">
        <v>307</v>
      </c>
      <c r="D20" s="6" t="str">
        <f>INDEX(tbUnitTypeToIndex[Index],MATCH(tbUnitNameToType[[#This Row],[Type]],tbUnitTypeToIndex[Type],))</f>
        <v>强兵</v>
      </c>
      <c r="F20" s="6" t="s">
        <v>307</v>
      </c>
      <c r="G20" s="6" t="s">
        <v>160</v>
      </c>
    </row>
    <row r="21" spans="2:13">
      <c r="B21" s="6" t="s">
        <v>450</v>
      </c>
      <c r="C21" s="6" t="s">
        <v>450</v>
      </c>
      <c r="D21" s="6" t="str">
        <f>INDEX(tbUnitTypeToIndex[Index],MATCH(tbUnitNameToType[[#This Row],[Type]],tbUnitTypeToIndex[Type],))</f>
        <v>盾兵</v>
      </c>
      <c r="F21" s="6" t="s">
        <v>450</v>
      </c>
      <c r="G21" s="6" t="s">
        <v>159</v>
      </c>
    </row>
    <row r="22" spans="2:13">
      <c r="B22" s="6" t="s">
        <v>451</v>
      </c>
      <c r="C22" s="6" t="s">
        <v>451</v>
      </c>
      <c r="D22" s="6" t="str">
        <f>INDEX(tbUnitTypeToIndex[Index],MATCH(tbUnitNameToType[[#This Row],[Type]],tbUnitTypeToIndex[Type],))</f>
        <v>炼兵</v>
      </c>
      <c r="F22" s="6" t="s">
        <v>451</v>
      </c>
      <c r="G22" s="6" t="s">
        <v>161</v>
      </c>
    </row>
    <row r="23" spans="2:13">
      <c r="B23" s="6" t="s">
        <v>32</v>
      </c>
      <c r="C23" s="6" t="s">
        <v>32</v>
      </c>
      <c r="D23" s="6" t="str">
        <f>INDEX(tbUnitTypeToIndex[Index],MATCH(tbUnitNameToType[[#This Row],[Type]],tbUnitTypeToIndex[Type],))</f>
        <v>法兵</v>
      </c>
      <c r="F23" s="6" t="s">
        <v>32</v>
      </c>
      <c r="G23" s="6" t="s">
        <v>162</v>
      </c>
    </row>
    <row r="24" spans="2:13">
      <c r="B24" s="6" t="s">
        <v>452</v>
      </c>
      <c r="C24" s="6" t="s">
        <v>452</v>
      </c>
      <c r="D24" s="6" t="str">
        <f>INDEX(tbUnitTypeToIndex[Index],MATCH(tbUnitNameToType[[#This Row],[Type]],tbUnitTypeToIndex[Type],))</f>
        <v>刺兵</v>
      </c>
      <c r="F24" s="6" t="s">
        <v>452</v>
      </c>
      <c r="G24" s="6" t="s">
        <v>163</v>
      </c>
    </row>
    <row r="25" spans="2:13">
      <c r="B25" s="6" t="s">
        <v>453</v>
      </c>
      <c r="C25" s="6" t="s">
        <v>453</v>
      </c>
      <c r="D25" s="6" t="str">
        <f>INDEX(tbUnitTypeToIndex[Index],MATCH(tbUnitNameToType[[#This Row],[Type]],tbUnitTypeToIndex[Type],))</f>
        <v>旗兵</v>
      </c>
      <c r="F25" s="6" t="s">
        <v>453</v>
      </c>
      <c r="G25" s="6" t="s">
        <v>462</v>
      </c>
      <c r="K25" s="4"/>
      <c r="L25" s="4"/>
      <c r="M25" s="4"/>
    </row>
    <row r="26" spans="2:13">
      <c r="B26" s="6" t="s">
        <v>30</v>
      </c>
      <c r="C26" s="6" t="s">
        <v>30</v>
      </c>
      <c r="D26" s="6" t="str">
        <f>INDEX(tbUnitTypeToIndex[Index],MATCH(tbUnitNameToType[[#This Row],[Type]],tbUnitTypeToIndex[Type],))</f>
        <v>教徒</v>
      </c>
      <c r="F26" s="6" t="s">
        <v>30</v>
      </c>
      <c r="G26" s="6" t="s">
        <v>463</v>
      </c>
    </row>
    <row r="27" spans="2:13">
      <c r="B27" s="6" t="s">
        <v>382</v>
      </c>
      <c r="C27" s="6" t="s">
        <v>382</v>
      </c>
      <c r="D27" s="6" t="str">
        <f>INDEX(tbUnitTypeToIndex[Index],MATCH(tbUnitNameToType[[#This Row],[Type]],tbUnitTypeToIndex[Type],))</f>
        <v>铁英</v>
      </c>
      <c r="F27" s="6" t="s">
        <v>382</v>
      </c>
      <c r="G27" s="6" t="s">
        <v>458</v>
      </c>
    </row>
    <row r="28" spans="2:13">
      <c r="B28" s="6" t="s">
        <v>381</v>
      </c>
      <c r="C28" s="6" t="s">
        <v>381</v>
      </c>
      <c r="D28" s="6" t="str">
        <f>INDEX(tbUnitTypeToIndex[Index],MATCH(tbUnitNameToType[[#This Row],[Type]],tbUnitTypeToIndex[Type],))</f>
        <v>强英</v>
      </c>
      <c r="F28" s="6" t="s">
        <v>381</v>
      </c>
      <c r="G28" s="6" t="s">
        <v>459</v>
      </c>
    </row>
    <row r="29" spans="2:13">
      <c r="B29" s="6" t="s">
        <v>380</v>
      </c>
      <c r="C29" s="6" t="s">
        <v>380</v>
      </c>
      <c r="D29" s="6" t="str">
        <f>INDEX(tbUnitTypeToIndex[Index],MATCH(tbUnitNameToType[[#This Row],[Type]],tbUnitTypeToIndex[Type],))</f>
        <v>盾英</v>
      </c>
      <c r="F29" s="6" t="s">
        <v>380</v>
      </c>
      <c r="G29" s="6" t="s">
        <v>464</v>
      </c>
    </row>
    <row r="30" spans="2:13">
      <c r="B30" s="6" t="s">
        <v>383</v>
      </c>
      <c r="C30" s="6" t="s">
        <v>383</v>
      </c>
      <c r="D30" s="6" t="str">
        <f>INDEX(tbUnitTypeToIndex[Index],MATCH(tbUnitNameToType[[#This Row],[Type]],tbUnitTypeToIndex[Type],))</f>
        <v>炼英</v>
      </c>
      <c r="F30" s="6" t="s">
        <v>383</v>
      </c>
      <c r="G30" s="6" t="s">
        <v>460</v>
      </c>
    </row>
    <row r="31" spans="2:13">
      <c r="B31" s="6" t="s">
        <v>384</v>
      </c>
      <c r="C31" s="6" t="s">
        <v>384</v>
      </c>
      <c r="D31" s="6" t="str">
        <f>INDEX(tbUnitTypeToIndex[Index],MATCH(tbUnitNameToType[[#This Row],[Type]],tbUnitTypeToIndex[Type],))</f>
        <v>法英</v>
      </c>
      <c r="F31" s="6" t="s">
        <v>384</v>
      </c>
      <c r="G31" s="6" t="s">
        <v>461</v>
      </c>
    </row>
    <row r="32" spans="2:13">
      <c r="B32" s="6" t="s">
        <v>385</v>
      </c>
      <c r="C32" s="6" t="s">
        <v>385</v>
      </c>
      <c r="D32" s="6" t="str">
        <f>INDEX(tbUnitTypeToIndex[Index],MATCH(tbUnitNameToType[[#This Row],[Type]],tbUnitTypeToIndex[Type],))</f>
        <v>刺英</v>
      </c>
      <c r="F32" s="6" t="s">
        <v>385</v>
      </c>
      <c r="G32" s="6" t="s">
        <v>465</v>
      </c>
    </row>
    <row r="33" spans="2:13">
      <c r="B33" s="6" t="s">
        <v>386</v>
      </c>
      <c r="C33" s="6" t="s">
        <v>386</v>
      </c>
      <c r="D33" s="6" t="str">
        <f>INDEX(tbUnitTypeToIndex[Index],MATCH(tbUnitNameToType[[#This Row],[Type]],tbUnitTypeToIndex[Type],))</f>
        <v>铁英</v>
      </c>
      <c r="F33" s="6" t="s">
        <v>386</v>
      </c>
      <c r="G33" s="6" t="s">
        <v>458</v>
      </c>
    </row>
    <row r="34" spans="2:13">
      <c r="B34" s="6" t="s">
        <v>454</v>
      </c>
      <c r="C34" s="6" t="s">
        <v>454</v>
      </c>
      <c r="D34" s="6" t="str">
        <f>INDEX(tbUnitTypeToIndex[Index],MATCH(tbUnitNameToType[[#This Row],[Type]],tbUnitTypeToIndex[Type],))</f>
        <v>强英</v>
      </c>
      <c r="F34" s="6" t="s">
        <v>454</v>
      </c>
      <c r="G34" s="6" t="s">
        <v>459</v>
      </c>
    </row>
    <row r="35" spans="2:13">
      <c r="B35" s="6" t="s">
        <v>455</v>
      </c>
      <c r="C35" s="6" t="s">
        <v>455</v>
      </c>
      <c r="D35" s="6" t="str">
        <f>INDEX(tbUnitTypeToIndex[Index],MATCH(tbUnitNameToType[[#This Row],[Type]],tbUnitTypeToIndex[Type],))</f>
        <v>盾英</v>
      </c>
      <c r="F35" s="6" t="s">
        <v>455</v>
      </c>
      <c r="G35" s="6" t="s">
        <v>464</v>
      </c>
    </row>
    <row r="36" spans="2:13">
      <c r="B36" s="6" t="s">
        <v>456</v>
      </c>
      <c r="C36" s="6" t="s">
        <v>456</v>
      </c>
      <c r="D36" s="6" t="str">
        <f>INDEX(tbUnitTypeToIndex[Index],MATCH(tbUnitNameToType[[#This Row],[Type]],tbUnitTypeToIndex[Type],))</f>
        <v>炼英</v>
      </c>
      <c r="F36" s="6" t="s">
        <v>456</v>
      </c>
      <c r="G36" s="6" t="s">
        <v>460</v>
      </c>
    </row>
    <row r="37" spans="2:13">
      <c r="B37" s="6" t="s">
        <v>379</v>
      </c>
      <c r="C37" s="6" t="s">
        <v>379</v>
      </c>
      <c r="D37" s="6" t="str">
        <f>INDEX(tbUnitTypeToIndex[Index],MATCH(tbUnitNameToType[[#This Row],[Type]],tbUnitTypeToIndex[Type],))</f>
        <v>法英</v>
      </c>
      <c r="F37" s="6" t="s">
        <v>379</v>
      </c>
      <c r="G37" s="6" t="s">
        <v>461</v>
      </c>
    </row>
    <row r="38" spans="2:13">
      <c r="B38" s="6" t="s">
        <v>457</v>
      </c>
      <c r="C38" s="6" t="s">
        <v>457</v>
      </c>
      <c r="D38" s="6" t="str">
        <f>INDEX(tbUnitTypeToIndex[Index],MATCH(tbUnitNameToType[[#This Row],[Type]],tbUnitTypeToIndex[Type],))</f>
        <v>刺英</v>
      </c>
      <c r="F38" s="6" t="s">
        <v>457</v>
      </c>
      <c r="G38" s="6" t="s">
        <v>465</v>
      </c>
    </row>
    <row r="39" spans="2:13">
      <c r="B39" s="6" t="s">
        <v>378</v>
      </c>
      <c r="C39" s="6" t="s">
        <v>379</v>
      </c>
      <c r="D39" s="6" t="str">
        <f>INDEX(tbUnitTypeToIndex[Index],MATCH(tbUnitNameToType[[#This Row],[Type]],tbUnitTypeToIndex[Type],))</f>
        <v>法英</v>
      </c>
      <c r="M39" s="6" t="s">
        <v>912</v>
      </c>
    </row>
    <row r="40" spans="2:13">
      <c r="B40" s="6" t="s">
        <v>308</v>
      </c>
      <c r="C40" s="6" t="s">
        <v>380</v>
      </c>
      <c r="D40" s="6" t="str">
        <f>INDEX(tbUnitTypeToIndex[Index],MATCH(tbUnitNameToType[[#This Row],[Type]],tbUnitTypeToIndex[Type],))</f>
        <v>盾英</v>
      </c>
      <c r="M40" s="6" t="s">
        <v>912</v>
      </c>
    </row>
    <row r="41" spans="2:13">
      <c r="B41" s="6" t="s">
        <v>309</v>
      </c>
      <c r="C41" s="6" t="s">
        <v>381</v>
      </c>
      <c r="D41" s="6" t="str">
        <f>INDEX(tbUnitTypeToIndex[Index],MATCH(tbUnitNameToType[[#This Row],[Type]],tbUnitTypeToIndex[Type],))</f>
        <v>强英</v>
      </c>
      <c r="M41" s="6" t="s">
        <v>912</v>
      </c>
    </row>
    <row r="42" spans="2:13">
      <c r="B42" s="6" t="s">
        <v>310</v>
      </c>
      <c r="C42" s="6" t="s">
        <v>381</v>
      </c>
      <c r="D42" s="6" t="str">
        <f>INDEX(tbUnitTypeToIndex[Index],MATCH(tbUnitNameToType[[#This Row],[Type]],tbUnitTypeToIndex[Type],))</f>
        <v>强英</v>
      </c>
      <c r="M42" s="6" t="s">
        <v>912</v>
      </c>
    </row>
    <row r="43" spans="2:13">
      <c r="B43" s="6" t="s">
        <v>311</v>
      </c>
      <c r="C43" s="6" t="s">
        <v>382</v>
      </c>
      <c r="D43" s="6" t="str">
        <f>INDEX(tbUnitTypeToIndex[Index],MATCH(tbUnitNameToType[[#This Row],[Type]],tbUnitTypeToIndex[Type],))</f>
        <v>铁英</v>
      </c>
      <c r="M43" s="6" t="s">
        <v>912</v>
      </c>
    </row>
    <row r="44" spans="2:13">
      <c r="B44" s="6" t="s">
        <v>312</v>
      </c>
      <c r="C44" s="6" t="s">
        <v>381</v>
      </c>
      <c r="D44" s="6" t="str">
        <f>INDEX(tbUnitTypeToIndex[Index],MATCH(tbUnitNameToType[[#This Row],[Type]],tbUnitTypeToIndex[Type],))</f>
        <v>强英</v>
      </c>
      <c r="M44" s="6" t="s">
        <v>912</v>
      </c>
    </row>
    <row r="45" spans="2:13">
      <c r="B45" s="6" t="s">
        <v>313</v>
      </c>
      <c r="C45" s="6" t="s">
        <v>380</v>
      </c>
      <c r="D45" s="6" t="str">
        <f>INDEX(tbUnitTypeToIndex[Index],MATCH(tbUnitNameToType[[#This Row],[Type]],tbUnitTypeToIndex[Type],))</f>
        <v>盾英</v>
      </c>
      <c r="M45" s="6" t="s">
        <v>912</v>
      </c>
    </row>
    <row r="46" spans="2:13">
      <c r="B46" s="6" t="s">
        <v>314</v>
      </c>
      <c r="C46" s="6" t="s">
        <v>383</v>
      </c>
      <c r="D46" s="6" t="str">
        <f>INDEX(tbUnitTypeToIndex[Index],MATCH(tbUnitNameToType[[#This Row],[Type]],tbUnitTypeToIndex[Type],))</f>
        <v>炼英</v>
      </c>
      <c r="M46" s="6" t="s">
        <v>912</v>
      </c>
    </row>
    <row r="47" spans="2:13">
      <c r="B47" s="6" t="s">
        <v>315</v>
      </c>
      <c r="C47" s="6" t="s">
        <v>383</v>
      </c>
      <c r="D47" s="6" t="str">
        <f>INDEX(tbUnitTypeToIndex[Index],MATCH(tbUnitNameToType[[#This Row],[Type]],tbUnitTypeToIndex[Type],))</f>
        <v>炼英</v>
      </c>
      <c r="M47" s="6" t="s">
        <v>912</v>
      </c>
    </row>
    <row r="48" spans="2:13">
      <c r="B48" s="6" t="s">
        <v>316</v>
      </c>
      <c r="C48" s="6" t="s">
        <v>384</v>
      </c>
      <c r="D48" s="6" t="str">
        <f>INDEX(tbUnitTypeToIndex[Index],MATCH(tbUnitNameToType[[#This Row],[Type]],tbUnitTypeToIndex[Type],))</f>
        <v>法英</v>
      </c>
      <c r="M48" s="6" t="s">
        <v>912</v>
      </c>
    </row>
    <row r="49" spans="2:13">
      <c r="B49" s="6" t="s">
        <v>317</v>
      </c>
      <c r="C49" s="6" t="s">
        <v>381</v>
      </c>
      <c r="D49" s="6" t="str">
        <f>INDEX(tbUnitTypeToIndex[Index],MATCH(tbUnitNameToType[[#This Row],[Type]],tbUnitTypeToIndex[Type],))</f>
        <v>强英</v>
      </c>
      <c r="M49" s="6" t="s">
        <v>912</v>
      </c>
    </row>
    <row r="50" spans="2:13">
      <c r="B50" s="6" t="s">
        <v>318</v>
      </c>
      <c r="C50" s="6" t="s">
        <v>384</v>
      </c>
      <c r="D50" s="6" t="str">
        <f>INDEX(tbUnitTypeToIndex[Index],MATCH(tbUnitNameToType[[#This Row],[Type]],tbUnitTypeToIndex[Type],))</f>
        <v>法英</v>
      </c>
    </row>
    <row r="51" spans="2:13">
      <c r="B51" s="6" t="s">
        <v>319</v>
      </c>
      <c r="C51" s="6" t="s">
        <v>383</v>
      </c>
      <c r="D51" s="6" t="str">
        <f>INDEX(tbUnitTypeToIndex[Index],MATCH(tbUnitNameToType[[#This Row],[Type]],tbUnitTypeToIndex[Type],))</f>
        <v>炼英</v>
      </c>
    </row>
    <row r="52" spans="2:13">
      <c r="B52" s="6" t="s">
        <v>320</v>
      </c>
      <c r="C52" s="6" t="s">
        <v>382</v>
      </c>
      <c r="D52" s="6" t="str">
        <f>INDEX(tbUnitTypeToIndex[Index],MATCH(tbUnitNameToType[[#This Row],[Type]],tbUnitTypeToIndex[Type],))</f>
        <v>铁英</v>
      </c>
    </row>
    <row r="53" spans="2:13">
      <c r="B53" s="6" t="s">
        <v>321</v>
      </c>
      <c r="C53" s="6" t="s">
        <v>380</v>
      </c>
      <c r="D53" s="6" t="str">
        <f>INDEX(tbUnitTypeToIndex[Index],MATCH(tbUnitNameToType[[#This Row],[Type]],tbUnitTypeToIndex[Type],))</f>
        <v>盾英</v>
      </c>
    </row>
    <row r="54" spans="2:13">
      <c r="B54" s="6" t="s">
        <v>322</v>
      </c>
      <c r="C54" s="6" t="s">
        <v>385</v>
      </c>
      <c r="D54" s="6" t="str">
        <f>INDEX(tbUnitTypeToIndex[Index],MATCH(tbUnitNameToType[[#This Row],[Type]],tbUnitTypeToIndex[Type],))</f>
        <v>刺英</v>
      </c>
    </row>
    <row r="55" spans="2:13">
      <c r="B55" s="6" t="s">
        <v>323</v>
      </c>
      <c r="C55" s="6" t="s">
        <v>380</v>
      </c>
      <c r="D55" s="6" t="str">
        <f>INDEX(tbUnitTypeToIndex[Index],MATCH(tbUnitNameToType[[#This Row],[Type]],tbUnitTypeToIndex[Type],))</f>
        <v>盾英</v>
      </c>
    </row>
    <row r="56" spans="2:13">
      <c r="B56" s="6" t="s">
        <v>324</v>
      </c>
      <c r="C56" s="6" t="s">
        <v>385</v>
      </c>
      <c r="D56" s="6" t="str">
        <f>INDEX(tbUnitTypeToIndex[Index],MATCH(tbUnitNameToType[[#This Row],[Type]],tbUnitTypeToIndex[Type],))</f>
        <v>刺英</v>
      </c>
    </row>
    <row r="57" spans="2:13">
      <c r="B57" s="6" t="s">
        <v>37</v>
      </c>
      <c r="C57" s="6" t="s">
        <v>384</v>
      </c>
      <c r="D57" s="6" t="str">
        <f>INDEX(tbUnitTypeToIndex[Index],MATCH(tbUnitNameToType[[#This Row],[Type]],tbUnitTypeToIndex[Type],))</f>
        <v>法英</v>
      </c>
    </row>
    <row r="58" spans="2:13">
      <c r="B58" s="6" t="s">
        <v>325</v>
      </c>
      <c r="C58" s="6" t="s">
        <v>386</v>
      </c>
      <c r="D58" s="6" t="str">
        <f>INDEX(tbUnitTypeToIndex[Index],MATCH(tbUnitNameToType[[#This Row],[Type]],tbUnitTypeToIndex[Type],))</f>
        <v>铁英</v>
      </c>
    </row>
    <row r="59" spans="2:13">
      <c r="B59" s="6" t="s">
        <v>326</v>
      </c>
      <c r="C59" s="6" t="s">
        <v>379</v>
      </c>
      <c r="D59" s="6" t="str">
        <f>INDEX(tbUnitTypeToIndex[Index],MATCH(tbUnitNameToType[[#This Row],[Type]],tbUnitTypeToIndex[Type],))</f>
        <v>法英</v>
      </c>
    </row>
    <row r="60" spans="2:13">
      <c r="B60" s="6" t="s">
        <v>327</v>
      </c>
      <c r="C60" s="6" t="s">
        <v>379</v>
      </c>
      <c r="D60" s="6" t="str">
        <f>INDEX(tbUnitTypeToIndex[Index],MATCH(tbUnitNameToType[[#This Row],[Type]],tbUnitTypeToIndex[Type],))</f>
        <v>法英</v>
      </c>
    </row>
    <row r="61" spans="2:13">
      <c r="B61" s="6" t="s">
        <v>328</v>
      </c>
      <c r="C61" s="6" t="s">
        <v>380</v>
      </c>
      <c r="D61" s="6" t="str">
        <f>INDEX(tbUnitTypeToIndex[Index],MATCH(tbUnitNameToType[[#This Row],[Type]],tbUnitTypeToIndex[Type],))</f>
        <v>盾英</v>
      </c>
    </row>
    <row r="62" spans="2:13">
      <c r="B62" s="6" t="s">
        <v>329</v>
      </c>
      <c r="C62" s="6" t="s">
        <v>380</v>
      </c>
      <c r="D62" s="6" t="str">
        <f>INDEX(tbUnitTypeToIndex[Index],MATCH(tbUnitNameToType[[#This Row],[Type]],tbUnitTypeToIndex[Type],))</f>
        <v>盾英</v>
      </c>
    </row>
    <row r="63" spans="2:13">
      <c r="B63" s="6" t="s">
        <v>330</v>
      </c>
      <c r="C63" s="6" t="s">
        <v>382</v>
      </c>
      <c r="D63" s="6" t="str">
        <f>INDEX(tbUnitTypeToIndex[Index],MATCH(tbUnitNameToType[[#This Row],[Type]],tbUnitTypeToIndex[Type],))</f>
        <v>铁英</v>
      </c>
    </row>
    <row r="64" spans="2:13">
      <c r="B64" s="6" t="s">
        <v>331</v>
      </c>
      <c r="C64" s="6" t="s">
        <v>387</v>
      </c>
      <c r="D64" s="6" t="str">
        <f>INDEX(tbUnitTypeToIndex[Index],MATCH(tbUnitNameToType[[#This Row],[Type]],tbUnitTypeToIndex[Type],))</f>
        <v>铁英</v>
      </c>
    </row>
    <row r="65" spans="2:4">
      <c r="B65" s="6" t="s">
        <v>332</v>
      </c>
      <c r="C65" s="6" t="s">
        <v>381</v>
      </c>
      <c r="D65" s="6" t="str">
        <f>INDEX(tbUnitTypeToIndex[Index],MATCH(tbUnitNameToType[[#This Row],[Type]],tbUnitTypeToIndex[Type],))</f>
        <v>强英</v>
      </c>
    </row>
    <row r="66" spans="2:4">
      <c r="B66" s="6" t="s">
        <v>333</v>
      </c>
      <c r="C66" s="6" t="s">
        <v>381</v>
      </c>
      <c r="D66" s="6" t="str">
        <f>INDEX(tbUnitTypeToIndex[Index],MATCH(tbUnitNameToType[[#This Row],[Type]],tbUnitTypeToIndex[Type],))</f>
        <v>强英</v>
      </c>
    </row>
    <row r="67" spans="2:4">
      <c r="B67" s="6" t="s">
        <v>334</v>
      </c>
      <c r="C67" s="6" t="s">
        <v>384</v>
      </c>
      <c r="D67" s="6" t="str">
        <f>INDEX(tbUnitTypeToIndex[Index],MATCH(tbUnitNameToType[[#This Row],[Type]],tbUnitTypeToIndex[Type],))</f>
        <v>法英</v>
      </c>
    </row>
    <row r="68" spans="2:4">
      <c r="B68" s="6" t="s">
        <v>335</v>
      </c>
      <c r="C68" s="6" t="s">
        <v>381</v>
      </c>
      <c r="D68" s="6" t="str">
        <f>INDEX(tbUnitTypeToIndex[Index],MATCH(tbUnitNameToType[[#This Row],[Type]],tbUnitTypeToIndex[Type],))</f>
        <v>强英</v>
      </c>
    </row>
    <row r="69" spans="2:4">
      <c r="B69" s="6" t="s">
        <v>336</v>
      </c>
      <c r="C69" s="6" t="s">
        <v>383</v>
      </c>
      <c r="D69" s="6" t="str">
        <f>INDEX(tbUnitTypeToIndex[Index],MATCH(tbUnitNameToType[[#This Row],[Type]],tbUnitTypeToIndex[Type],))</f>
        <v>炼英</v>
      </c>
    </row>
    <row r="70" spans="2:4">
      <c r="B70" s="6" t="s">
        <v>337</v>
      </c>
      <c r="C70" s="6" t="s">
        <v>383</v>
      </c>
      <c r="D70" s="6" t="str">
        <f>INDEX(tbUnitTypeToIndex[Index],MATCH(tbUnitNameToType[[#This Row],[Type]],tbUnitTypeToIndex[Type],))</f>
        <v>炼英</v>
      </c>
    </row>
    <row r="71" spans="2:4">
      <c r="B71" s="6" t="s">
        <v>338</v>
      </c>
      <c r="C71" s="6" t="s">
        <v>383</v>
      </c>
      <c r="D71" s="6" t="str">
        <f>INDEX(tbUnitTypeToIndex[Index],MATCH(tbUnitNameToType[[#This Row],[Type]],tbUnitTypeToIndex[Type],))</f>
        <v>炼英</v>
      </c>
    </row>
    <row r="72" spans="2:4">
      <c r="B72" s="6" t="s">
        <v>339</v>
      </c>
      <c r="C72" s="6" t="s">
        <v>381</v>
      </c>
      <c r="D72" s="6" t="str">
        <f>INDEX(tbUnitTypeToIndex[Index],MATCH(tbUnitNameToType[[#This Row],[Type]],tbUnitTypeToIndex[Type],))</f>
        <v>强英</v>
      </c>
    </row>
    <row r="73" spans="2:4">
      <c r="B73" s="6" t="s">
        <v>340</v>
      </c>
      <c r="C73" s="6" t="s">
        <v>384</v>
      </c>
      <c r="D73" s="6" t="str">
        <f>INDEX(tbUnitTypeToIndex[Index],MATCH(tbUnitNameToType[[#This Row],[Type]],tbUnitTypeToIndex[Type],))</f>
        <v>法英</v>
      </c>
    </row>
    <row r="74" spans="2:4">
      <c r="B74" s="6" t="s">
        <v>341</v>
      </c>
      <c r="C74" s="6" t="s">
        <v>383</v>
      </c>
      <c r="D74" s="6" t="str">
        <f>INDEX(tbUnitTypeToIndex[Index],MATCH(tbUnitNameToType[[#This Row],[Type]],tbUnitTypeToIndex[Type],))</f>
        <v>炼英</v>
      </c>
    </row>
    <row r="75" spans="2:4">
      <c r="B75" s="6" t="s">
        <v>342</v>
      </c>
      <c r="C75" s="6" t="s">
        <v>382</v>
      </c>
      <c r="D75" s="6" t="str">
        <f>INDEX(tbUnitTypeToIndex[Index],MATCH(tbUnitNameToType[[#This Row],[Type]],tbUnitTypeToIndex[Type],))</f>
        <v>铁英</v>
      </c>
    </row>
    <row r="76" spans="2:4">
      <c r="B76" s="6" t="s">
        <v>343</v>
      </c>
      <c r="C76" s="6" t="s">
        <v>380</v>
      </c>
      <c r="D76" s="6" t="str">
        <f>INDEX(tbUnitTypeToIndex[Index],MATCH(tbUnitNameToType[[#This Row],[Type]],tbUnitTypeToIndex[Type],))</f>
        <v>盾英</v>
      </c>
    </row>
    <row r="77" spans="2:4">
      <c r="B77" s="6" t="s">
        <v>344</v>
      </c>
      <c r="C77" s="6" t="s">
        <v>382</v>
      </c>
      <c r="D77" s="6" t="str">
        <f>INDEX(tbUnitTypeToIndex[Index],MATCH(tbUnitNameToType[[#This Row],[Type]],tbUnitTypeToIndex[Type],))</f>
        <v>铁英</v>
      </c>
    </row>
    <row r="78" spans="2:4">
      <c r="B78" s="6" t="s">
        <v>345</v>
      </c>
      <c r="C78" s="6" t="s">
        <v>385</v>
      </c>
      <c r="D78" s="6" t="str">
        <f>INDEX(tbUnitTypeToIndex[Index],MATCH(tbUnitNameToType[[#This Row],[Type]],tbUnitTypeToIndex[Type],))</f>
        <v>刺英</v>
      </c>
    </row>
    <row r="79" spans="2:4">
      <c r="B79" s="6" t="s">
        <v>346</v>
      </c>
      <c r="C79" s="6" t="s">
        <v>381</v>
      </c>
      <c r="D79" s="6" t="str">
        <f>INDEX(tbUnitTypeToIndex[Index],MATCH(tbUnitNameToType[[#This Row],[Type]],tbUnitTypeToIndex[Type],))</f>
        <v>强英</v>
      </c>
    </row>
    <row r="80" spans="2:4">
      <c r="B80" s="6" t="s">
        <v>347</v>
      </c>
      <c r="C80" s="6" t="s">
        <v>383</v>
      </c>
      <c r="D80" s="6" t="str">
        <f>INDEX(tbUnitTypeToIndex[Index],MATCH(tbUnitNameToType[[#This Row],[Type]],tbUnitTypeToIndex[Type],))</f>
        <v>炼英</v>
      </c>
    </row>
    <row r="81" spans="2:4">
      <c r="B81" s="6" t="s">
        <v>348</v>
      </c>
      <c r="C81" s="6" t="s">
        <v>380</v>
      </c>
      <c r="D81" s="6" t="str">
        <f>INDEX(tbUnitTypeToIndex[Index],MATCH(tbUnitNameToType[[#This Row],[Type]],tbUnitTypeToIndex[Type],))</f>
        <v>盾英</v>
      </c>
    </row>
    <row r="82" spans="2:4">
      <c r="B82" s="6" t="s">
        <v>349</v>
      </c>
      <c r="C82" s="6" t="s">
        <v>380</v>
      </c>
      <c r="D82" s="6" t="str">
        <f>INDEX(tbUnitTypeToIndex[Index],MATCH(tbUnitNameToType[[#This Row],[Type]],tbUnitTypeToIndex[Type],))</f>
        <v>盾英</v>
      </c>
    </row>
    <row r="83" spans="2:4">
      <c r="B83" s="6" t="s">
        <v>350</v>
      </c>
      <c r="C83" s="6" t="s">
        <v>385</v>
      </c>
      <c r="D83" s="6" t="str">
        <f>INDEX(tbUnitTypeToIndex[Index],MATCH(tbUnitNameToType[[#This Row],[Type]],tbUnitTypeToIndex[Type],))</f>
        <v>刺英</v>
      </c>
    </row>
    <row r="84" spans="2:4">
      <c r="B84" s="6" t="s">
        <v>351</v>
      </c>
      <c r="C84" s="6" t="s">
        <v>383</v>
      </c>
      <c r="D84" s="6" t="str">
        <f>INDEX(tbUnitTypeToIndex[Index],MATCH(tbUnitNameToType[[#This Row],[Type]],tbUnitTypeToIndex[Type],))</f>
        <v>炼英</v>
      </c>
    </row>
    <row r="85" spans="2:4">
      <c r="B85" s="6" t="s">
        <v>352</v>
      </c>
      <c r="C85" s="6" t="s">
        <v>382</v>
      </c>
      <c r="D85" s="6" t="str">
        <f>INDEX(tbUnitTypeToIndex[Index],MATCH(tbUnitNameToType[[#This Row],[Type]],tbUnitTypeToIndex[Type],))</f>
        <v>铁英</v>
      </c>
    </row>
    <row r="86" spans="2:4">
      <c r="B86" s="6" t="s">
        <v>353</v>
      </c>
      <c r="C86" s="6" t="s">
        <v>385</v>
      </c>
      <c r="D86" s="6" t="str">
        <f>INDEX(tbUnitTypeToIndex[Index],MATCH(tbUnitNameToType[[#This Row],[Type]],tbUnitTypeToIndex[Type],))</f>
        <v>刺英</v>
      </c>
    </row>
    <row r="87" spans="2:4">
      <c r="B87" s="6" t="s">
        <v>354</v>
      </c>
      <c r="C87" s="6" t="s">
        <v>382</v>
      </c>
      <c r="D87" s="6" t="str">
        <f>INDEX(tbUnitTypeToIndex[Index],MATCH(tbUnitNameToType[[#This Row],[Type]],tbUnitTypeToIndex[Type],))</f>
        <v>铁英</v>
      </c>
    </row>
    <row r="88" spans="2:4">
      <c r="B88" s="6" t="s">
        <v>355</v>
      </c>
      <c r="C88" s="6" t="s">
        <v>381</v>
      </c>
      <c r="D88" s="6" t="str">
        <f>INDEX(tbUnitTypeToIndex[Index],MATCH(tbUnitNameToType[[#This Row],[Type]],tbUnitTypeToIndex[Type],))</f>
        <v>强英</v>
      </c>
    </row>
    <row r="89" spans="2:4">
      <c r="B89" s="6" t="s">
        <v>356</v>
      </c>
      <c r="C89" s="6" t="s">
        <v>380</v>
      </c>
      <c r="D89" s="6" t="str">
        <f>INDEX(tbUnitTypeToIndex[Index],MATCH(tbUnitNameToType[[#This Row],[Type]],tbUnitTypeToIndex[Type],))</f>
        <v>盾英</v>
      </c>
    </row>
    <row r="90" spans="2:4">
      <c r="B90" s="6" t="s">
        <v>357</v>
      </c>
      <c r="C90" s="6" t="s">
        <v>381</v>
      </c>
      <c r="D90" s="6" t="str">
        <f>INDEX(tbUnitTypeToIndex[Index],MATCH(tbUnitNameToType[[#This Row],[Type]],tbUnitTypeToIndex[Type],))</f>
        <v>强英</v>
      </c>
    </row>
    <row r="91" spans="2:4">
      <c r="B91" s="6" t="s">
        <v>358</v>
      </c>
      <c r="C91" s="6" t="s">
        <v>383</v>
      </c>
      <c r="D91" s="6" t="str">
        <f>INDEX(tbUnitTypeToIndex[Index],MATCH(tbUnitNameToType[[#This Row],[Type]],tbUnitTypeToIndex[Type],))</f>
        <v>炼英</v>
      </c>
    </row>
    <row r="92" spans="2:4">
      <c r="B92" s="6" t="s">
        <v>359</v>
      </c>
      <c r="C92" s="6" t="s">
        <v>385</v>
      </c>
      <c r="D92" s="6" t="str">
        <f>INDEX(tbUnitTypeToIndex[Index],MATCH(tbUnitNameToType[[#This Row],[Type]],tbUnitTypeToIndex[Type],))</f>
        <v>刺英</v>
      </c>
    </row>
    <row r="93" spans="2:4">
      <c r="B93" s="6" t="s">
        <v>360</v>
      </c>
      <c r="C93" s="6" t="s">
        <v>381</v>
      </c>
      <c r="D93" s="6" t="str">
        <f>INDEX(tbUnitTypeToIndex[Index],MATCH(tbUnitNameToType[[#This Row],[Type]],tbUnitTypeToIndex[Type],))</f>
        <v>强英</v>
      </c>
    </row>
    <row r="94" spans="2:4">
      <c r="B94" s="6" t="s">
        <v>361</v>
      </c>
      <c r="C94" s="6" t="s">
        <v>382</v>
      </c>
      <c r="D94" s="6" t="str">
        <f>INDEX(tbUnitTypeToIndex[Index],MATCH(tbUnitNameToType[[#This Row],[Type]],tbUnitTypeToIndex[Type],))</f>
        <v>铁英</v>
      </c>
    </row>
    <row r="95" spans="2:4">
      <c r="B95" s="6" t="s">
        <v>362</v>
      </c>
      <c r="C95" s="6" t="s">
        <v>384</v>
      </c>
      <c r="D95" s="6" t="str">
        <f>INDEX(tbUnitTypeToIndex[Index],MATCH(tbUnitNameToType[[#This Row],[Type]],tbUnitTypeToIndex[Type],))</f>
        <v>法英</v>
      </c>
    </row>
    <row r="96" spans="2:4">
      <c r="B96" s="6" t="s">
        <v>363</v>
      </c>
      <c r="C96" s="6" t="s">
        <v>381</v>
      </c>
      <c r="D96" s="6" t="str">
        <f>INDEX(tbUnitTypeToIndex[Index],MATCH(tbUnitNameToType[[#This Row],[Type]],tbUnitTypeToIndex[Type],))</f>
        <v>强英</v>
      </c>
    </row>
    <row r="97" spans="2:4">
      <c r="B97" s="6" t="s">
        <v>364</v>
      </c>
      <c r="C97" s="6" t="s">
        <v>380</v>
      </c>
      <c r="D97" s="6" t="str">
        <f>INDEX(tbUnitTypeToIndex[Index],MATCH(tbUnitNameToType[[#This Row],[Type]],tbUnitTypeToIndex[Type],))</f>
        <v>盾英</v>
      </c>
    </row>
    <row r="98" spans="2:4">
      <c r="B98" s="6" t="s">
        <v>435</v>
      </c>
      <c r="C98" s="6" t="s">
        <v>382</v>
      </c>
      <c r="D98" s="6" t="str">
        <f>INDEX(tbUnitTypeToIndex[Index],MATCH(tbUnitNameToType[[#This Row],[Type]],tbUnitTypeToIndex[Type],))</f>
        <v>铁英</v>
      </c>
    </row>
    <row r="99" spans="2:4">
      <c r="B99" s="6" t="s">
        <v>436</v>
      </c>
      <c r="C99" s="6" t="s">
        <v>384</v>
      </c>
      <c r="D99" s="6" t="str">
        <f>INDEX(tbUnitTypeToIndex[Index],MATCH(tbUnitNameToType[[#This Row],[Type]],tbUnitTypeToIndex[Type],))</f>
        <v>法英</v>
      </c>
    </row>
    <row r="100" spans="2:4">
      <c r="B100" s="6" t="s">
        <v>365</v>
      </c>
      <c r="C100" s="6" t="s">
        <v>384</v>
      </c>
      <c r="D100" s="6" t="str">
        <f>INDEX(tbUnitTypeToIndex[Index],MATCH(tbUnitNameToType[[#This Row],[Type]],tbUnitTypeToIndex[Type],))</f>
        <v>法英</v>
      </c>
    </row>
    <row r="101" spans="2:4">
      <c r="B101" s="6" t="s">
        <v>366</v>
      </c>
      <c r="C101" s="6" t="s">
        <v>380</v>
      </c>
      <c r="D101" s="6" t="str">
        <f>INDEX(tbUnitTypeToIndex[Index],MATCH(tbUnitNameToType[[#This Row],[Type]],tbUnitTypeToIndex[Type],))</f>
        <v>盾英</v>
      </c>
    </row>
    <row r="102" spans="2:4">
      <c r="B102" s="6" t="s">
        <v>367</v>
      </c>
      <c r="C102" s="6" t="s">
        <v>382</v>
      </c>
      <c r="D102" s="6" t="str">
        <f>INDEX(tbUnitTypeToIndex[Index],MATCH(tbUnitNameToType[[#This Row],[Type]],tbUnitTypeToIndex[Type],))</f>
        <v>铁英</v>
      </c>
    </row>
    <row r="103" spans="2:4">
      <c r="B103" s="6" t="s">
        <v>368</v>
      </c>
      <c r="C103" s="6" t="s">
        <v>382</v>
      </c>
      <c r="D103" s="6" t="str">
        <f>INDEX(tbUnitTypeToIndex[Index],MATCH(tbUnitNameToType[[#This Row],[Type]],tbUnitTypeToIndex[Type],))</f>
        <v>铁英</v>
      </c>
    </row>
    <row r="104" spans="2:4">
      <c r="B104" s="6" t="s">
        <v>369</v>
      </c>
      <c r="C104" s="6" t="s">
        <v>383</v>
      </c>
      <c r="D104" s="6" t="str">
        <f>INDEX(tbUnitTypeToIndex[Index],MATCH(tbUnitNameToType[[#This Row],[Type]],tbUnitTypeToIndex[Type],))</f>
        <v>炼英</v>
      </c>
    </row>
    <row r="105" spans="2:4">
      <c r="B105" s="6" t="s">
        <v>370</v>
      </c>
      <c r="C105" s="6" t="s">
        <v>381</v>
      </c>
      <c r="D105" s="6" t="str">
        <f>INDEX(tbUnitTypeToIndex[Index],MATCH(tbUnitNameToType[[#This Row],[Type]],tbUnitTypeToIndex[Type],))</f>
        <v>强英</v>
      </c>
    </row>
    <row r="106" spans="2:4">
      <c r="B106" s="6" t="s">
        <v>371</v>
      </c>
      <c r="C106" s="6" t="s">
        <v>380</v>
      </c>
      <c r="D106" s="6" t="str">
        <f>INDEX(tbUnitTypeToIndex[Index],MATCH(tbUnitNameToType[[#This Row],[Type]],tbUnitTypeToIndex[Type],))</f>
        <v>盾英</v>
      </c>
    </row>
    <row r="107" spans="2:4">
      <c r="B107" s="6" t="s">
        <v>437</v>
      </c>
      <c r="C107" s="6" t="s">
        <v>381</v>
      </c>
      <c r="D107" s="6" t="str">
        <f>INDEX(tbUnitTypeToIndex[Index],MATCH(tbUnitNameToType[[#This Row],[Type]],tbUnitTypeToIndex[Type],))</f>
        <v>强英</v>
      </c>
    </row>
    <row r="108" spans="2:4">
      <c r="B108" s="6" t="s">
        <v>438</v>
      </c>
      <c r="C108" s="6" t="s">
        <v>385</v>
      </c>
      <c r="D108" s="6" t="str">
        <f>INDEX(tbUnitTypeToIndex[Index],MATCH(tbUnitNameToType[[#This Row],[Type]],tbUnitTypeToIndex[Type],))</f>
        <v>刺英</v>
      </c>
    </row>
    <row r="109" spans="2:4">
      <c r="B109" s="6" t="s">
        <v>372</v>
      </c>
      <c r="C109" s="6" t="s">
        <v>383</v>
      </c>
      <c r="D109" s="6" t="str">
        <f>INDEX(tbUnitTypeToIndex[Index],MATCH(tbUnitNameToType[[#This Row],[Type]],tbUnitTypeToIndex[Type],))</f>
        <v>炼英</v>
      </c>
    </row>
    <row r="110" spans="2:4">
      <c r="B110" s="6" t="s">
        <v>373</v>
      </c>
      <c r="C110" s="6" t="s">
        <v>385</v>
      </c>
      <c r="D110" s="6" t="str">
        <f>INDEX(tbUnitTypeToIndex[Index],MATCH(tbUnitNameToType[[#This Row],[Type]],tbUnitTypeToIndex[Type],))</f>
        <v>刺英</v>
      </c>
    </row>
    <row r="111" spans="2:4">
      <c r="B111" s="6" t="s">
        <v>439</v>
      </c>
      <c r="C111" s="6" t="s">
        <v>385</v>
      </c>
      <c r="D111" s="6" t="str">
        <f>INDEX(tbUnitTypeToIndex[Index],MATCH(tbUnitNameToType[[#This Row],[Type]],tbUnitTypeToIndex[Type],))</f>
        <v>刺英</v>
      </c>
    </row>
    <row r="112" spans="2:4">
      <c r="B112" s="6" t="s">
        <v>374</v>
      </c>
      <c r="C112" s="6" t="s">
        <v>384</v>
      </c>
      <c r="D112" s="6" t="str">
        <f>INDEX(tbUnitTypeToIndex[Index],MATCH(tbUnitNameToType[[#This Row],[Type]],tbUnitTypeToIndex[Type],))</f>
        <v>法英</v>
      </c>
    </row>
    <row r="113" spans="2:4">
      <c r="B113" s="6" t="s">
        <v>375</v>
      </c>
      <c r="C113" s="6" t="s">
        <v>382</v>
      </c>
      <c r="D113" s="6" t="str">
        <f>INDEX(tbUnitTypeToIndex[Index],MATCH(tbUnitNameToType[[#This Row],[Type]],tbUnitTypeToIndex[Type],))</f>
        <v>铁英</v>
      </c>
    </row>
    <row r="114" spans="2:4">
      <c r="B114" s="6" t="s">
        <v>376</v>
      </c>
      <c r="C114" s="6" t="s">
        <v>382</v>
      </c>
      <c r="D114" s="6" t="str">
        <f>INDEX(tbUnitTypeToIndex[Index],MATCH(tbUnitNameToType[[#This Row],[Type]],tbUnitTypeToIndex[Type],))</f>
        <v>铁英</v>
      </c>
    </row>
    <row r="115" spans="2:4">
      <c r="B115" s="6" t="s">
        <v>377</v>
      </c>
      <c r="C115" s="6" t="s">
        <v>383</v>
      </c>
      <c r="D115" s="6" t="str">
        <f>INDEX(tbUnitTypeToIndex[Index],MATCH(tbUnitNameToType[[#This Row],[Type]],tbUnitTypeToIndex[Type],))</f>
        <v>炼英</v>
      </c>
    </row>
    <row r="116" spans="2:4">
      <c r="B116" s="6" t="s">
        <v>388</v>
      </c>
      <c r="C116" s="6" t="s">
        <v>381</v>
      </c>
      <c r="D116" s="6" t="str">
        <f>INDEX(tbUnitTypeToIndex[Index],MATCH(tbUnitNameToType[[#This Row],[Type]],tbUnitTypeToIndex[Type],))</f>
        <v>强英</v>
      </c>
    </row>
    <row r="117" spans="2:4">
      <c r="B117" s="6" t="s">
        <v>389</v>
      </c>
      <c r="C117" s="6" t="s">
        <v>380</v>
      </c>
      <c r="D117" s="6" t="str">
        <f>INDEX(tbUnitTypeToIndex[Index],MATCH(tbUnitNameToType[[#This Row],[Type]],tbUnitTypeToIndex[Type],))</f>
        <v>盾英</v>
      </c>
    </row>
    <row r="118" spans="2:4">
      <c r="B118" s="6" t="s">
        <v>390</v>
      </c>
      <c r="C118" s="6" t="s">
        <v>381</v>
      </c>
      <c r="D118" s="6" t="str">
        <f>INDEX(tbUnitTypeToIndex[Index],MATCH(tbUnitNameToType[[#This Row],[Type]],tbUnitTypeToIndex[Type],))</f>
        <v>强英</v>
      </c>
    </row>
    <row r="119" spans="2:4">
      <c r="B119" s="6" t="s">
        <v>391</v>
      </c>
      <c r="C119" s="6" t="s">
        <v>385</v>
      </c>
      <c r="D119" s="6" t="str">
        <f>INDEX(tbUnitTypeToIndex[Index],MATCH(tbUnitNameToType[[#This Row],[Type]],tbUnitTypeToIndex[Type],))</f>
        <v>刺英</v>
      </c>
    </row>
    <row r="120" spans="2:4">
      <c r="B120" s="6" t="s">
        <v>392</v>
      </c>
      <c r="C120" s="6" t="s">
        <v>381</v>
      </c>
      <c r="D120" s="6" t="str">
        <f>INDEX(tbUnitTypeToIndex[Index],MATCH(tbUnitNameToType[[#This Row],[Type]],tbUnitTypeToIndex[Type],))</f>
        <v>强英</v>
      </c>
    </row>
    <row r="121" spans="2:4">
      <c r="B121" s="6" t="s">
        <v>393</v>
      </c>
      <c r="C121" s="6" t="s">
        <v>385</v>
      </c>
      <c r="D121" s="6" t="str">
        <f>INDEX(tbUnitTypeToIndex[Index],MATCH(tbUnitNameToType[[#This Row],[Type]],tbUnitTypeToIndex[Type],))</f>
        <v>刺英</v>
      </c>
    </row>
    <row r="122" spans="2:4">
      <c r="B122" s="6" t="s">
        <v>24</v>
      </c>
      <c r="C122" s="6" t="s">
        <v>382</v>
      </c>
      <c r="D122" s="6" t="str">
        <f>INDEX(tbUnitTypeToIndex[Index],MATCH(tbUnitNameToType[[#This Row],[Type]],tbUnitTypeToIndex[Type],))</f>
        <v>铁英</v>
      </c>
    </row>
    <row r="123" spans="2:4">
      <c r="B123" s="6" t="s">
        <v>394</v>
      </c>
      <c r="C123" s="6" t="s">
        <v>382</v>
      </c>
      <c r="D123" s="6" t="str">
        <f>INDEX(tbUnitTypeToIndex[Index],MATCH(tbUnitNameToType[[#This Row],[Type]],tbUnitTypeToIndex[Type],))</f>
        <v>铁英</v>
      </c>
    </row>
    <row r="124" spans="2:4">
      <c r="B124" s="6" t="s">
        <v>27</v>
      </c>
      <c r="C124" s="6" t="s">
        <v>384</v>
      </c>
      <c r="D124" s="6" t="str">
        <f>INDEX(tbUnitTypeToIndex[Index],MATCH(tbUnitNameToType[[#This Row],[Type]],tbUnitTypeToIndex[Type],))</f>
        <v>法英</v>
      </c>
    </row>
    <row r="125" spans="2:4">
      <c r="B125" s="6" t="s">
        <v>395</v>
      </c>
      <c r="C125" s="6" t="s">
        <v>384</v>
      </c>
      <c r="D125" s="6" t="str">
        <f>INDEX(tbUnitTypeToIndex[Index],MATCH(tbUnitNameToType[[#This Row],[Type]],tbUnitTypeToIndex[Type],))</f>
        <v>法英</v>
      </c>
    </row>
    <row r="126" spans="2:4">
      <c r="B126" s="6" t="s">
        <v>396</v>
      </c>
      <c r="C126" s="6" t="s">
        <v>382</v>
      </c>
      <c r="D126" s="6" t="str">
        <f>INDEX(tbUnitTypeToIndex[Index],MATCH(tbUnitNameToType[[#This Row],[Type]],tbUnitTypeToIndex[Type],))</f>
        <v>铁英</v>
      </c>
    </row>
    <row r="127" spans="2:4">
      <c r="B127" s="6" t="s">
        <v>397</v>
      </c>
      <c r="C127" s="6" t="s">
        <v>384</v>
      </c>
      <c r="D127" s="6" t="str">
        <f>INDEX(tbUnitTypeToIndex[Index],MATCH(tbUnitNameToType[[#This Row],[Type]],tbUnitTypeToIndex[Type],))</f>
        <v>法英</v>
      </c>
    </row>
    <row r="128" spans="2:4">
      <c r="B128" s="6" t="s">
        <v>398</v>
      </c>
      <c r="C128" s="6" t="s">
        <v>383</v>
      </c>
      <c r="D128" s="6" t="str">
        <f>INDEX(tbUnitTypeToIndex[Index],MATCH(tbUnitNameToType[[#This Row],[Type]],tbUnitTypeToIndex[Type],))</f>
        <v>炼英</v>
      </c>
    </row>
    <row r="129" spans="2:4">
      <c r="B129" s="6" t="s">
        <v>399</v>
      </c>
      <c r="C129" s="6" t="s">
        <v>380</v>
      </c>
      <c r="D129" s="6" t="str">
        <f>INDEX(tbUnitTypeToIndex[Index],MATCH(tbUnitNameToType[[#This Row],[Type]],tbUnitTypeToIndex[Type],))</f>
        <v>盾英</v>
      </c>
    </row>
    <row r="130" spans="2:4">
      <c r="B130" s="6" t="s">
        <v>400</v>
      </c>
      <c r="C130" s="6" t="s">
        <v>380</v>
      </c>
      <c r="D130" s="6" t="str">
        <f>INDEX(tbUnitTypeToIndex[Index],MATCH(tbUnitNameToType[[#This Row],[Type]],tbUnitTypeToIndex[Type],))</f>
        <v>盾英</v>
      </c>
    </row>
    <row r="131" spans="2:4">
      <c r="B131" s="6" t="s">
        <v>401</v>
      </c>
      <c r="C131" s="6" t="s">
        <v>382</v>
      </c>
      <c r="D131" s="6" t="str">
        <f>INDEX(tbUnitTypeToIndex[Index],MATCH(tbUnitNameToType[[#This Row],[Type]],tbUnitTypeToIndex[Type],))</f>
        <v>铁英</v>
      </c>
    </row>
    <row r="132" spans="2:4">
      <c r="B132" s="6" t="s">
        <v>402</v>
      </c>
      <c r="C132" s="6" t="s">
        <v>383</v>
      </c>
      <c r="D132" s="6" t="str">
        <f>INDEX(tbUnitTypeToIndex[Index],MATCH(tbUnitNameToType[[#This Row],[Type]],tbUnitTypeToIndex[Type],))</f>
        <v>炼英</v>
      </c>
    </row>
    <row r="133" spans="2:4">
      <c r="B133" s="6" t="s">
        <v>403</v>
      </c>
      <c r="C133" s="6" t="s">
        <v>384</v>
      </c>
      <c r="D133" s="6" t="str">
        <f>INDEX(tbUnitTypeToIndex[Index],MATCH(tbUnitNameToType[[#This Row],[Type]],tbUnitTypeToIndex[Type],))</f>
        <v>法英</v>
      </c>
    </row>
    <row r="134" spans="2:4">
      <c r="B134" s="6" t="s">
        <v>404</v>
      </c>
      <c r="C134" s="6" t="s">
        <v>382</v>
      </c>
      <c r="D134" s="6" t="str">
        <f>INDEX(tbUnitTypeToIndex[Index],MATCH(tbUnitNameToType[[#This Row],[Type]],tbUnitTypeToIndex[Type],))</f>
        <v>铁英</v>
      </c>
    </row>
    <row r="135" spans="2:4">
      <c r="B135" s="6" t="s">
        <v>405</v>
      </c>
      <c r="C135" s="6" t="s">
        <v>380</v>
      </c>
      <c r="D135" s="6" t="str">
        <f>INDEX(tbUnitTypeToIndex[Index],MATCH(tbUnitNameToType[[#This Row],[Type]],tbUnitTypeToIndex[Type],))</f>
        <v>盾英</v>
      </c>
    </row>
    <row r="136" spans="2:4">
      <c r="B136" s="6" t="s">
        <v>406</v>
      </c>
      <c r="C136" s="6" t="s">
        <v>383</v>
      </c>
      <c r="D136" s="6" t="str">
        <f>INDEX(tbUnitTypeToIndex[Index],MATCH(tbUnitNameToType[[#This Row],[Type]],tbUnitTypeToIndex[Type],))</f>
        <v>炼英</v>
      </c>
    </row>
    <row r="137" spans="2:4">
      <c r="B137" s="6" t="s">
        <v>407</v>
      </c>
      <c r="C137" s="6" t="s">
        <v>380</v>
      </c>
      <c r="D137" s="6" t="str">
        <f>INDEX(tbUnitTypeToIndex[Index],MATCH(tbUnitNameToType[[#This Row],[Type]],tbUnitTypeToIndex[Type],))</f>
        <v>盾英</v>
      </c>
    </row>
    <row r="138" spans="2:4">
      <c r="B138" s="6" t="s">
        <v>408</v>
      </c>
      <c r="C138" s="6" t="s">
        <v>380</v>
      </c>
      <c r="D138" s="6" t="str">
        <f>INDEX(tbUnitTypeToIndex[Index],MATCH(tbUnitNameToType[[#This Row],[Type]],tbUnitTypeToIndex[Type],))</f>
        <v>盾英</v>
      </c>
    </row>
    <row r="139" spans="2:4">
      <c r="B139" s="6" t="s">
        <v>409</v>
      </c>
      <c r="C139" s="6" t="s">
        <v>381</v>
      </c>
      <c r="D139" s="6" t="str">
        <f>INDEX(tbUnitTypeToIndex[Index],MATCH(tbUnitNameToType[[#This Row],[Type]],tbUnitTypeToIndex[Type],))</f>
        <v>强英</v>
      </c>
    </row>
    <row r="140" spans="2:4">
      <c r="B140" s="6" t="s">
        <v>410</v>
      </c>
      <c r="C140" s="6" t="s">
        <v>380</v>
      </c>
      <c r="D140" s="6" t="str">
        <f>INDEX(tbUnitTypeToIndex[Index],MATCH(tbUnitNameToType[[#This Row],[Type]],tbUnitTypeToIndex[Type],))</f>
        <v>盾英</v>
      </c>
    </row>
    <row r="141" spans="2:4">
      <c r="B141" s="6" t="s">
        <v>411</v>
      </c>
      <c r="C141" s="6" t="s">
        <v>382</v>
      </c>
      <c r="D141" s="6" t="str">
        <f>INDEX(tbUnitTypeToIndex[Index],MATCH(tbUnitNameToType[[#This Row],[Type]],tbUnitTypeToIndex[Type],))</f>
        <v>铁英</v>
      </c>
    </row>
    <row r="142" spans="2:4">
      <c r="B142" s="6" t="s">
        <v>412</v>
      </c>
      <c r="C142" s="6" t="s">
        <v>382</v>
      </c>
      <c r="D142" s="6" t="str">
        <f>INDEX(tbUnitTypeToIndex[Index],MATCH(tbUnitNameToType[[#This Row],[Type]],tbUnitTypeToIndex[Type],))</f>
        <v>铁英</v>
      </c>
    </row>
    <row r="143" spans="2:4">
      <c r="B143" s="6" t="s">
        <v>413</v>
      </c>
      <c r="C143" s="6" t="s">
        <v>380</v>
      </c>
      <c r="D143" s="6" t="str">
        <f>INDEX(tbUnitTypeToIndex[Index],MATCH(tbUnitNameToType[[#This Row],[Type]],tbUnitTypeToIndex[Type],))</f>
        <v>盾英</v>
      </c>
    </row>
    <row r="144" spans="2:4">
      <c r="B144" s="6" t="s">
        <v>414</v>
      </c>
      <c r="C144" s="6" t="s">
        <v>383</v>
      </c>
      <c r="D144" s="6" t="str">
        <f>INDEX(tbUnitTypeToIndex[Index],MATCH(tbUnitNameToType[[#This Row],[Type]],tbUnitTypeToIndex[Type],))</f>
        <v>炼英</v>
      </c>
    </row>
    <row r="145" spans="2:4">
      <c r="B145" s="6" t="s">
        <v>415</v>
      </c>
      <c r="C145" s="6" t="s">
        <v>384</v>
      </c>
      <c r="D145" s="6" t="str">
        <f>INDEX(tbUnitTypeToIndex[Index],MATCH(tbUnitNameToType[[#This Row],[Type]],tbUnitTypeToIndex[Type],))</f>
        <v>法英</v>
      </c>
    </row>
    <row r="146" spans="2:4">
      <c r="B146" s="6" t="s">
        <v>416</v>
      </c>
      <c r="C146" s="6" t="s">
        <v>385</v>
      </c>
      <c r="D146" s="6" t="str">
        <f>INDEX(tbUnitTypeToIndex[Index],MATCH(tbUnitNameToType[[#This Row],[Type]],tbUnitTypeToIndex[Type],))</f>
        <v>刺英</v>
      </c>
    </row>
    <row r="147" spans="2:4">
      <c r="B147" s="6" t="s">
        <v>417</v>
      </c>
      <c r="C147" s="6" t="s">
        <v>382</v>
      </c>
      <c r="D147" s="6" t="str">
        <f>INDEX(tbUnitTypeToIndex[Index],MATCH(tbUnitNameToType[[#This Row],[Type]],tbUnitTypeToIndex[Type],))</f>
        <v>铁英</v>
      </c>
    </row>
    <row r="148" spans="2:4">
      <c r="B148" s="6" t="s">
        <v>418</v>
      </c>
      <c r="C148" s="6" t="s">
        <v>383</v>
      </c>
      <c r="D148" s="6" t="str">
        <f>INDEX(tbUnitTypeToIndex[Index],MATCH(tbUnitNameToType[[#This Row],[Type]],tbUnitTypeToIndex[Type],))</f>
        <v>炼英</v>
      </c>
    </row>
    <row r="149" spans="2:4">
      <c r="B149" s="6" t="s">
        <v>419</v>
      </c>
      <c r="C149" s="6" t="s">
        <v>381</v>
      </c>
      <c r="D149" s="6" t="str">
        <f>INDEX(tbUnitTypeToIndex[Index],MATCH(tbUnitNameToType[[#This Row],[Type]],tbUnitTypeToIndex[Type],))</f>
        <v>强英</v>
      </c>
    </row>
    <row r="150" spans="2:4">
      <c r="B150" s="6" t="s">
        <v>420</v>
      </c>
      <c r="C150" s="6" t="s">
        <v>384</v>
      </c>
      <c r="D150" s="6" t="str">
        <f>INDEX(tbUnitTypeToIndex[Index],MATCH(tbUnitNameToType[[#This Row],[Type]],tbUnitTypeToIndex[Type],))</f>
        <v>法英</v>
      </c>
    </row>
    <row r="151" spans="2:4">
      <c r="B151" s="6" t="s">
        <v>421</v>
      </c>
      <c r="C151" s="6" t="s">
        <v>385</v>
      </c>
      <c r="D151" s="6" t="str">
        <f>INDEX(tbUnitTypeToIndex[Index],MATCH(tbUnitNameToType[[#This Row],[Type]],tbUnitTypeToIndex[Type],))</f>
        <v>刺英</v>
      </c>
    </row>
    <row r="152" spans="2:4">
      <c r="B152" s="6" t="s">
        <v>422</v>
      </c>
      <c r="C152" s="6" t="s">
        <v>380</v>
      </c>
      <c r="D152" s="6" t="str">
        <f>INDEX(tbUnitTypeToIndex[Index],MATCH(tbUnitNameToType[[#This Row],[Type]],tbUnitTypeToIndex[Type],))</f>
        <v>盾英</v>
      </c>
    </row>
    <row r="153" spans="2:4">
      <c r="B153" s="6" t="s">
        <v>423</v>
      </c>
      <c r="C153" s="6" t="s">
        <v>382</v>
      </c>
      <c r="D153" s="6" t="str">
        <f>INDEX(tbUnitTypeToIndex[Index],MATCH(tbUnitNameToType[[#This Row],[Type]],tbUnitTypeToIndex[Type],))</f>
        <v>铁英</v>
      </c>
    </row>
    <row r="154" spans="2:4">
      <c r="B154" s="6" t="s">
        <v>424</v>
      </c>
      <c r="C154" s="6" t="s">
        <v>381</v>
      </c>
      <c r="D154" s="6" t="str">
        <f>INDEX(tbUnitTypeToIndex[Index],MATCH(tbUnitNameToType[[#This Row],[Type]],tbUnitTypeToIndex[Type],))</f>
        <v>强英</v>
      </c>
    </row>
    <row r="155" spans="2:4">
      <c r="B155" s="6" t="s">
        <v>425</v>
      </c>
      <c r="C155" s="6" t="s">
        <v>384</v>
      </c>
      <c r="D155" s="6" t="str">
        <f>INDEX(tbUnitTypeToIndex[Index],MATCH(tbUnitNameToType[[#This Row],[Type]],tbUnitTypeToIndex[Type],))</f>
        <v>法英</v>
      </c>
    </row>
    <row r="156" spans="2:4">
      <c r="B156" s="6" t="s">
        <v>426</v>
      </c>
      <c r="C156" s="6" t="s">
        <v>382</v>
      </c>
      <c r="D156" s="6" t="str">
        <f>INDEX(tbUnitTypeToIndex[Index],MATCH(tbUnitNameToType[[#This Row],[Type]],tbUnitTypeToIndex[Type],))</f>
        <v>铁英</v>
      </c>
    </row>
    <row r="157" spans="2:4">
      <c r="B157" s="6" t="s">
        <v>427</v>
      </c>
      <c r="C157" s="6" t="s">
        <v>383</v>
      </c>
      <c r="D157" s="6" t="str">
        <f>INDEX(tbUnitTypeToIndex[Index],MATCH(tbUnitNameToType[[#This Row],[Type]],tbUnitTypeToIndex[Type],))</f>
        <v>炼英</v>
      </c>
    </row>
    <row r="158" spans="2:4">
      <c r="B158" s="6" t="s">
        <v>428</v>
      </c>
      <c r="C158" s="6" t="s">
        <v>380</v>
      </c>
      <c r="D158" s="6" t="str">
        <f>INDEX(tbUnitTypeToIndex[Index],MATCH(tbUnitNameToType[[#This Row],[Type]],tbUnitTypeToIndex[Type],))</f>
        <v>盾英</v>
      </c>
    </row>
    <row r="159" spans="2:4">
      <c r="B159" s="6" t="s">
        <v>429</v>
      </c>
      <c r="C159" s="6" t="s">
        <v>381</v>
      </c>
      <c r="D159" s="6" t="str">
        <f>INDEX(tbUnitTypeToIndex[Index],MATCH(tbUnitNameToType[[#This Row],[Type]],tbUnitTypeToIndex[Type],))</f>
        <v>强英</v>
      </c>
    </row>
    <row r="160" spans="2:4">
      <c r="B160" s="6" t="s">
        <v>430</v>
      </c>
      <c r="C160" s="6" t="s">
        <v>384</v>
      </c>
      <c r="D160" s="6" t="str">
        <f>INDEX(tbUnitTypeToIndex[Index],MATCH(tbUnitNameToType[[#This Row],[Type]],tbUnitTypeToIndex[Type],))</f>
        <v>法英</v>
      </c>
    </row>
    <row r="161" spans="2:4">
      <c r="B161" s="6" t="s">
        <v>431</v>
      </c>
      <c r="C161" s="6" t="s">
        <v>385</v>
      </c>
      <c r="D161" s="6" t="str">
        <f>INDEX(tbUnitTypeToIndex[Index],MATCH(tbUnitNameToType[[#This Row],[Type]],tbUnitTypeToIndex[Type],))</f>
        <v>刺英</v>
      </c>
    </row>
    <row r="162" spans="2:4">
      <c r="B162" s="6" t="s">
        <v>432</v>
      </c>
      <c r="C162" s="6" t="s">
        <v>385</v>
      </c>
      <c r="D162" s="6" t="str">
        <f>INDEX(tbUnitTypeToIndex[Index],MATCH(tbUnitNameToType[[#This Row],[Type]],tbUnitTypeToIndex[Type],))</f>
        <v>刺英</v>
      </c>
    </row>
    <row r="163" spans="2:4">
      <c r="B163" s="6" t="s">
        <v>433</v>
      </c>
      <c r="C163" s="6" t="s">
        <v>383</v>
      </c>
      <c r="D163" s="6" t="str">
        <f>INDEX(tbUnitTypeToIndex[Index],MATCH(tbUnitNameToType[[#This Row],[Type]],tbUnitTypeToIndex[Type],))</f>
        <v>炼英</v>
      </c>
    </row>
    <row r="164" spans="2:4">
      <c r="B164" s="6" t="s">
        <v>434</v>
      </c>
      <c r="C164" s="6" t="s">
        <v>383</v>
      </c>
      <c r="D164" s="6" t="str">
        <f>INDEX(tbUnitTypeToIndex[Index],MATCH(tbUnitNameToType[[#This Row],[Type]],tbUnitTypeToIndex[Type],))</f>
        <v>炼英</v>
      </c>
    </row>
    <row r="165" spans="2:4">
      <c r="B165" s="22" t="s">
        <v>1183</v>
      </c>
      <c r="C165" s="22" t="s">
        <v>1192</v>
      </c>
      <c r="D165" s="6" t="str">
        <f>INDEX(tbUnitTypeToIndex[Index],MATCH(tbUnitNameToType[[#This Row],[Type]],tbUnitTypeToIndex[Type],))</f>
        <v>盾英</v>
      </c>
    </row>
    <row r="166" spans="2:4">
      <c r="B166" s="22" t="s">
        <v>1184</v>
      </c>
      <c r="C166" s="22" t="s">
        <v>1193</v>
      </c>
      <c r="D166" s="6" t="str">
        <f>INDEX(tbUnitTypeToIndex[Index],MATCH(tbUnitNameToType[[#This Row],[Type]],tbUnitTypeToIndex[Type],))</f>
        <v>铁英</v>
      </c>
    </row>
    <row r="167" spans="2:4">
      <c r="B167" s="22" t="s">
        <v>1185</v>
      </c>
      <c r="C167" s="22" t="s">
        <v>1194</v>
      </c>
      <c r="D167" s="6" t="str">
        <f>INDEX(tbUnitTypeToIndex[Index],MATCH(tbUnitNameToType[[#This Row],[Type]],tbUnitTypeToIndex[Type],))</f>
        <v>炼英</v>
      </c>
    </row>
    <row r="168" spans="2:4">
      <c r="B168" s="22" t="s">
        <v>1186</v>
      </c>
      <c r="C168" s="22" t="s">
        <v>1195</v>
      </c>
      <c r="D168" s="6" t="str">
        <f>INDEX(tbUnitTypeToIndex[Index],MATCH(tbUnitNameToType[[#This Row],[Type]],tbUnitTypeToIndex[Type],))</f>
        <v>刺英</v>
      </c>
    </row>
    <row r="169" spans="2:4">
      <c r="B169" s="22" t="s">
        <v>1188</v>
      </c>
      <c r="C169" s="22" t="s">
        <v>1192</v>
      </c>
      <c r="D169" s="6" t="str">
        <f>INDEX(tbUnitTypeToIndex[Index],MATCH(tbUnitNameToType[[#This Row],[Type]],tbUnitTypeToIndex[Type],))</f>
        <v>盾英</v>
      </c>
    </row>
    <row r="170" spans="2:4">
      <c r="B170" s="22" t="s">
        <v>1189</v>
      </c>
      <c r="C170" s="22" t="s">
        <v>1192</v>
      </c>
      <c r="D170" s="6" t="str">
        <f>INDEX(tbUnitTypeToIndex[Index],MATCH(tbUnitNameToType[[#This Row],[Type]],tbUnitTypeToIndex[Type],))</f>
        <v>盾英</v>
      </c>
    </row>
    <row r="171" spans="2:4">
      <c r="B171" s="22" t="s">
        <v>1190</v>
      </c>
      <c r="C171" s="22" t="s">
        <v>1196</v>
      </c>
      <c r="D171" s="6" t="str">
        <f>INDEX(tbUnitTypeToIndex[Index],MATCH(tbUnitNameToType[[#This Row],[Type]],tbUnitTypeToIndex[Type],))</f>
        <v>法英</v>
      </c>
    </row>
    <row r="172" spans="2:4">
      <c r="B172" s="22" t="s">
        <v>1191</v>
      </c>
      <c r="C172" s="22" t="s">
        <v>1194</v>
      </c>
      <c r="D172" s="6" t="str">
        <f>INDEX(tbUnitTypeToIndex[Index],MATCH(tbUnitNameToType[[#This Row],[Type]],tbUnitTypeToIndex[Type],))</f>
        <v>炼英</v>
      </c>
    </row>
    <row r="173" spans="2:4">
      <c r="B173" s="22" t="s">
        <v>1187</v>
      </c>
      <c r="C173" s="22" t="s">
        <v>1194</v>
      </c>
      <c r="D173" s="6" t="str">
        <f>INDEX(tbUnitTypeToIndex[Index],MATCH(tbUnitNameToType[[#This Row],[Type]],tbUnitTypeToIndex[Type],))</f>
        <v>炼英</v>
      </c>
    </row>
    <row r="174" spans="2:4">
      <c r="B174" s="39" t="s">
        <v>1341</v>
      </c>
      <c r="C174" s="40" t="s">
        <v>383</v>
      </c>
      <c r="D174" s="41" t="str">
        <f>INDEX(tbUnitTypeToIndex[Index],MATCH(tbUnitNameToType[[#This Row],[Type]],tbUnitTypeToIndex[Type],))</f>
        <v>炼英</v>
      </c>
    </row>
    <row r="175" spans="2:4">
      <c r="B175" s="39" t="s">
        <v>1342</v>
      </c>
      <c r="C175" s="40" t="s">
        <v>384</v>
      </c>
      <c r="D175" s="41" t="str">
        <f>INDEX(tbUnitTypeToIndex[Index],MATCH(tbUnitNameToType[[#This Row],[Type]],tbUnitTypeToIndex[Type],))</f>
        <v>法英</v>
      </c>
    </row>
    <row r="176" spans="2:4">
      <c r="B176" s="39" t="s">
        <v>1343</v>
      </c>
      <c r="C176" s="40" t="s">
        <v>380</v>
      </c>
      <c r="D176" s="41" t="str">
        <f>INDEX(tbUnitTypeToIndex[Index],MATCH(tbUnitNameToType[[#This Row],[Type]],tbUnitTypeToIndex[Type],))</f>
        <v>盾英</v>
      </c>
    </row>
    <row r="177" spans="2:4">
      <c r="B177" s="39" t="s">
        <v>1344</v>
      </c>
      <c r="C177" s="40" t="s">
        <v>383</v>
      </c>
      <c r="D177" s="41" t="str">
        <f>INDEX(tbUnitTypeToIndex[Index],MATCH(tbUnitNameToType[[#This Row],[Type]],tbUnitTypeToIndex[Type],))</f>
        <v>炼英</v>
      </c>
    </row>
    <row r="178" spans="2:4">
      <c r="B178" s="39" t="s">
        <v>1345</v>
      </c>
      <c r="C178" s="40" t="s">
        <v>383</v>
      </c>
      <c r="D178" s="41" t="str">
        <f>INDEX(tbUnitTypeToIndex[Index],MATCH(tbUnitNameToType[[#This Row],[Type]],tbUnitTypeToIndex[Type],))</f>
        <v>炼英</v>
      </c>
    </row>
    <row r="179" spans="2:4">
      <c r="B179" s="39" t="s">
        <v>1346</v>
      </c>
      <c r="C179" s="40" t="s">
        <v>384</v>
      </c>
      <c r="D179" s="41" t="str">
        <f>INDEX(tbUnitTypeToIndex[Index],MATCH(tbUnitNameToType[[#This Row],[Type]],tbUnitTypeToIndex[Type],))</f>
        <v>法英</v>
      </c>
    </row>
  </sheetData>
  <phoneticPr fontId="28" type="noConversion"/>
  <conditionalFormatting sqref="B3:B179">
    <cfRule type="duplicateValues" dxfId="0" priority="58"/>
  </conditionalFormatting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K14"/>
  <sheetViews>
    <sheetView showGridLines="0" zoomScale="90" zoomScaleNormal="90" workbookViewId="0">
      <selection activeCell="K16" sqref="K16"/>
    </sheetView>
  </sheetViews>
  <sheetFormatPr defaultColWidth="9" defaultRowHeight="16.5"/>
  <cols>
    <col min="1" max="1" width="5" style="1" customWidth="1"/>
    <col min="2" max="2" width="10.75" style="1" customWidth="1"/>
    <col min="3" max="3" width="9" style="1"/>
    <col min="4" max="4" width="14" style="1" bestFit="1" customWidth="1"/>
    <col min="5" max="5" width="9" style="1"/>
    <col min="6" max="7" width="9.5" style="1" customWidth="1"/>
    <col min="8" max="8" width="12.375" style="1" customWidth="1"/>
    <col min="9" max="9" width="9" style="1"/>
    <col min="10" max="10" width="23.25" style="1" bestFit="1" customWidth="1"/>
    <col min="11" max="11" width="55.5" style="1" bestFit="1" customWidth="1"/>
    <col min="12" max="16384" width="9" style="1"/>
  </cols>
  <sheetData>
    <row r="2" spans="2:11">
      <c r="B2" s="4" t="s">
        <v>188</v>
      </c>
    </row>
    <row r="3" spans="2:11">
      <c r="B3" s="4"/>
    </row>
    <row r="4" spans="2:11">
      <c r="B4" s="6" t="s">
        <v>468</v>
      </c>
      <c r="D4" s="6" t="s">
        <v>481</v>
      </c>
      <c r="F4" s="10" t="s">
        <v>608</v>
      </c>
      <c r="G4" s="10"/>
      <c r="H4" s="15" t="s">
        <v>895</v>
      </c>
      <c r="J4" s="14" t="s">
        <v>886</v>
      </c>
      <c r="K4" s="14" t="s">
        <v>887</v>
      </c>
    </row>
    <row r="5" spans="2:11">
      <c r="B5" s="1" t="s">
        <v>152</v>
      </c>
      <c r="D5" s="1" t="s">
        <v>158</v>
      </c>
      <c r="F5" s="10" t="s">
        <v>609</v>
      </c>
      <c r="G5" s="10"/>
      <c r="H5" s="15" t="s">
        <v>901</v>
      </c>
      <c r="J5" s="34" t="s">
        <v>883</v>
      </c>
      <c r="K5" s="34" t="s">
        <v>888</v>
      </c>
    </row>
    <row r="6" spans="2:11">
      <c r="B6" s="7" t="s">
        <v>153</v>
      </c>
      <c r="D6" s="1" t="s">
        <v>159</v>
      </c>
      <c r="F6" s="10" t="s">
        <v>610</v>
      </c>
      <c r="G6" s="10"/>
      <c r="H6" s="15" t="s">
        <v>902</v>
      </c>
      <c r="J6" s="34" t="s">
        <v>884</v>
      </c>
      <c r="K6" s="34" t="s">
        <v>889</v>
      </c>
    </row>
    <row r="7" spans="2:11">
      <c r="B7" s="7" t="s">
        <v>154</v>
      </c>
      <c r="D7" s="1" t="s">
        <v>160</v>
      </c>
      <c r="F7" s="10" t="s">
        <v>611</v>
      </c>
      <c r="G7" s="10"/>
      <c r="H7" s="15" t="s">
        <v>896</v>
      </c>
      <c r="J7" s="34" t="s">
        <v>885</v>
      </c>
      <c r="K7" s="34" t="s">
        <v>890</v>
      </c>
    </row>
    <row r="8" spans="2:11">
      <c r="B8" s="7" t="s">
        <v>155</v>
      </c>
      <c r="D8" s="1" t="s">
        <v>161</v>
      </c>
      <c r="F8" s="10" t="s">
        <v>612</v>
      </c>
      <c r="G8" s="10"/>
      <c r="H8" s="15" t="s">
        <v>897</v>
      </c>
      <c r="J8" s="34" t="s">
        <v>1291</v>
      </c>
      <c r="K8" s="34" t="s">
        <v>1292</v>
      </c>
    </row>
    <row r="9" spans="2:11">
      <c r="B9" s="7" t="s">
        <v>156</v>
      </c>
      <c r="D9" s="1" t="s">
        <v>162</v>
      </c>
      <c r="F9" s="10" t="s">
        <v>613</v>
      </c>
      <c r="G9" s="10"/>
      <c r="H9" s="15" t="s">
        <v>898</v>
      </c>
    </row>
    <row r="10" spans="2:11">
      <c r="B10" s="7" t="s">
        <v>157</v>
      </c>
      <c r="D10" s="1" t="s">
        <v>163</v>
      </c>
      <c r="F10" s="10" t="s">
        <v>614</v>
      </c>
      <c r="G10" s="10"/>
      <c r="H10" s="15" t="s">
        <v>899</v>
      </c>
    </row>
    <row r="11" spans="2:11">
      <c r="B11" s="7"/>
      <c r="D11" s="1" t="s">
        <v>164</v>
      </c>
      <c r="F11" s="10" t="s">
        <v>615</v>
      </c>
      <c r="G11" s="10"/>
      <c r="H11" s="15" t="s">
        <v>900</v>
      </c>
    </row>
    <row r="12" spans="2:11">
      <c r="B12" s="7"/>
    </row>
    <row r="13" spans="2:11">
      <c r="B13" s="7"/>
    </row>
    <row r="14" spans="2:11">
      <c r="B14" s="7"/>
    </row>
  </sheetData>
  <phoneticPr fontId="28" type="noConversion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F30"/>
  <sheetViews>
    <sheetView showGridLines="0" zoomScale="90" zoomScaleNormal="90" workbookViewId="0">
      <selection activeCell="M20" sqref="M20"/>
    </sheetView>
  </sheetViews>
  <sheetFormatPr defaultRowHeight="16.5"/>
  <cols>
    <col min="1" max="1" width="5" style="34" customWidth="1"/>
    <col min="2" max="2" width="9" style="34"/>
    <col min="3" max="3" width="11" style="34" customWidth="1"/>
    <col min="4" max="4" width="9" style="34"/>
    <col min="5" max="5" width="16.25" style="34" customWidth="1"/>
    <col min="6" max="6" width="10.75" style="34" bestFit="1" customWidth="1"/>
    <col min="7" max="16384" width="9" style="34"/>
  </cols>
  <sheetData>
    <row r="2" spans="2:6" s="38" customFormat="1">
      <c r="B2" s="38" t="s">
        <v>1290</v>
      </c>
      <c r="C2" s="38" t="s">
        <v>470</v>
      </c>
      <c r="D2" s="38" t="s">
        <v>482</v>
      </c>
      <c r="E2" s="38" t="s">
        <v>1293</v>
      </c>
      <c r="F2" s="38" t="s">
        <v>1336</v>
      </c>
    </row>
    <row r="3" spans="2:6">
      <c r="B3" s="34" t="s">
        <v>1289</v>
      </c>
      <c r="C3" s="34" t="s">
        <v>1180</v>
      </c>
      <c r="D3" s="34">
        <v>1</v>
      </c>
      <c r="E3" s="34" t="s">
        <v>33</v>
      </c>
      <c r="F3" s="38">
        <v>0</v>
      </c>
    </row>
    <row r="4" spans="2:6">
      <c r="B4" s="34" t="s">
        <v>1289</v>
      </c>
      <c r="C4" s="34" t="s">
        <v>1180</v>
      </c>
      <c r="D4" s="34">
        <v>2</v>
      </c>
      <c r="E4" s="34" t="s">
        <v>35</v>
      </c>
      <c r="F4" s="38">
        <v>0</v>
      </c>
    </row>
    <row r="5" spans="2:6">
      <c r="B5" s="34" t="s">
        <v>1289</v>
      </c>
      <c r="C5" s="34" t="s">
        <v>1168</v>
      </c>
      <c r="D5" s="34">
        <v>1</v>
      </c>
      <c r="E5" s="34" t="s">
        <v>35</v>
      </c>
      <c r="F5" s="38">
        <v>0</v>
      </c>
    </row>
    <row r="6" spans="2:6">
      <c r="B6" s="34" t="s">
        <v>1289</v>
      </c>
      <c r="C6" s="34" t="s">
        <v>1168</v>
      </c>
      <c r="D6" s="34">
        <v>2</v>
      </c>
      <c r="E6" s="34" t="s">
        <v>35</v>
      </c>
      <c r="F6" s="38">
        <v>0</v>
      </c>
    </row>
    <row r="7" spans="2:6">
      <c r="B7" s="34" t="s">
        <v>1289</v>
      </c>
      <c r="C7" s="34" t="s">
        <v>1125</v>
      </c>
      <c r="D7" s="34">
        <v>1</v>
      </c>
      <c r="E7" s="34" t="s">
        <v>35</v>
      </c>
      <c r="F7" s="38">
        <v>0</v>
      </c>
    </row>
    <row r="8" spans="2:6">
      <c r="B8" s="34" t="s">
        <v>1289</v>
      </c>
      <c r="C8" s="34" t="s">
        <v>1125</v>
      </c>
      <c r="D8" s="34">
        <v>2</v>
      </c>
      <c r="E8" s="34" t="s">
        <v>36</v>
      </c>
      <c r="F8" s="38">
        <v>0</v>
      </c>
    </row>
    <row r="9" spans="2:6">
      <c r="B9" s="34" t="s">
        <v>1289</v>
      </c>
      <c r="C9" s="34" t="s">
        <v>180</v>
      </c>
      <c r="D9" s="34">
        <v>1</v>
      </c>
      <c r="E9" s="34" t="s">
        <v>36</v>
      </c>
      <c r="F9" s="38">
        <v>0</v>
      </c>
    </row>
    <row r="10" spans="2:6">
      <c r="B10" s="34" t="s">
        <v>1289</v>
      </c>
      <c r="C10" s="34" t="s">
        <v>180</v>
      </c>
      <c r="D10" s="34">
        <v>2</v>
      </c>
      <c r="E10" s="34" t="s">
        <v>36</v>
      </c>
      <c r="F10" s="38">
        <v>0</v>
      </c>
    </row>
    <row r="11" spans="2:6">
      <c r="B11" s="38" t="s">
        <v>1334</v>
      </c>
      <c r="C11" s="38" t="s">
        <v>29</v>
      </c>
      <c r="D11" s="38">
        <v>1</v>
      </c>
      <c r="E11" s="38" t="s">
        <v>29</v>
      </c>
      <c r="F11" s="38">
        <v>5</v>
      </c>
    </row>
    <row r="12" spans="2:6">
      <c r="B12" s="38" t="s">
        <v>1334</v>
      </c>
      <c r="C12" s="38" t="s">
        <v>29</v>
      </c>
      <c r="D12" s="38">
        <v>2</v>
      </c>
      <c r="E12" s="38" t="s">
        <v>29</v>
      </c>
      <c r="F12" s="38">
        <v>10</v>
      </c>
    </row>
    <row r="13" spans="2:6">
      <c r="B13" s="38" t="s">
        <v>1334</v>
      </c>
      <c r="C13" s="38" t="s">
        <v>29</v>
      </c>
      <c r="D13" s="38">
        <v>3</v>
      </c>
      <c r="E13" s="38" t="s">
        <v>33</v>
      </c>
      <c r="F13" s="38">
        <v>10</v>
      </c>
    </row>
    <row r="14" spans="2:6">
      <c r="B14" s="38" t="s">
        <v>1334</v>
      </c>
      <c r="C14" s="38" t="s">
        <v>29</v>
      </c>
      <c r="D14" s="38">
        <v>4</v>
      </c>
      <c r="E14" s="38" t="s">
        <v>33</v>
      </c>
      <c r="F14" s="38">
        <v>10</v>
      </c>
    </row>
    <row r="15" spans="2:6">
      <c r="B15" s="38" t="s">
        <v>1334</v>
      </c>
      <c r="C15" s="38" t="s">
        <v>29</v>
      </c>
      <c r="D15" s="38">
        <v>5</v>
      </c>
      <c r="E15" s="38" t="s">
        <v>35</v>
      </c>
      <c r="F15" s="38">
        <v>10</v>
      </c>
    </row>
    <row r="16" spans="2:6">
      <c r="B16" s="38" t="s">
        <v>1334</v>
      </c>
      <c r="C16" s="38" t="s">
        <v>33</v>
      </c>
      <c r="D16" s="38">
        <v>1</v>
      </c>
      <c r="E16" s="38" t="s">
        <v>29</v>
      </c>
      <c r="F16" s="38">
        <v>5</v>
      </c>
    </row>
    <row r="17" spans="2:6">
      <c r="B17" s="38" t="s">
        <v>1334</v>
      </c>
      <c r="C17" s="38" t="s">
        <v>33</v>
      </c>
      <c r="D17" s="38">
        <v>2</v>
      </c>
      <c r="E17" s="38" t="s">
        <v>33</v>
      </c>
      <c r="F17" s="38">
        <v>10</v>
      </c>
    </row>
    <row r="18" spans="2:6">
      <c r="B18" s="38" t="s">
        <v>1334</v>
      </c>
      <c r="C18" s="38" t="s">
        <v>33</v>
      </c>
      <c r="D18" s="38">
        <v>3</v>
      </c>
      <c r="E18" s="38" t="s">
        <v>33</v>
      </c>
      <c r="F18" s="38">
        <v>10</v>
      </c>
    </row>
    <row r="19" spans="2:6">
      <c r="B19" s="38" t="s">
        <v>1334</v>
      </c>
      <c r="C19" s="38" t="s">
        <v>33</v>
      </c>
      <c r="D19" s="38">
        <v>4</v>
      </c>
      <c r="E19" s="38" t="s">
        <v>35</v>
      </c>
      <c r="F19" s="38">
        <v>15</v>
      </c>
    </row>
    <row r="20" spans="2:6">
      <c r="B20" s="38" t="s">
        <v>1334</v>
      </c>
      <c r="C20" s="38" t="s">
        <v>33</v>
      </c>
      <c r="D20" s="38">
        <v>5</v>
      </c>
      <c r="E20" s="38" t="s">
        <v>35</v>
      </c>
      <c r="F20" s="38">
        <v>15</v>
      </c>
    </row>
    <row r="21" spans="2:6">
      <c r="B21" s="38" t="s">
        <v>1334</v>
      </c>
      <c r="C21" s="38" t="s">
        <v>35</v>
      </c>
      <c r="D21" s="38">
        <v>1</v>
      </c>
      <c r="E21" s="38" t="s">
        <v>29</v>
      </c>
      <c r="F21" s="38">
        <v>5</v>
      </c>
    </row>
    <row r="22" spans="2:6">
      <c r="B22" s="38" t="s">
        <v>1334</v>
      </c>
      <c r="C22" s="38" t="s">
        <v>35</v>
      </c>
      <c r="D22" s="38">
        <v>2</v>
      </c>
      <c r="E22" s="38" t="s">
        <v>33</v>
      </c>
      <c r="F22" s="38">
        <v>10</v>
      </c>
    </row>
    <row r="23" spans="2:6">
      <c r="B23" s="38" t="s">
        <v>1334</v>
      </c>
      <c r="C23" s="38" t="s">
        <v>35</v>
      </c>
      <c r="D23" s="38">
        <v>3</v>
      </c>
      <c r="E23" s="38" t="s">
        <v>33</v>
      </c>
      <c r="F23" s="38">
        <v>10</v>
      </c>
    </row>
    <row r="24" spans="2:6">
      <c r="B24" s="38" t="s">
        <v>1334</v>
      </c>
      <c r="C24" s="38" t="s">
        <v>35</v>
      </c>
      <c r="D24" s="38">
        <v>4</v>
      </c>
      <c r="E24" s="38" t="s">
        <v>35</v>
      </c>
      <c r="F24" s="38">
        <v>15</v>
      </c>
    </row>
    <row r="25" spans="2:6">
      <c r="B25" s="38" t="s">
        <v>1334</v>
      </c>
      <c r="C25" s="38" t="s">
        <v>35</v>
      </c>
      <c r="D25" s="38">
        <v>5</v>
      </c>
      <c r="E25" s="38" t="s">
        <v>36</v>
      </c>
      <c r="F25" s="38">
        <v>20</v>
      </c>
    </row>
    <row r="26" spans="2:6">
      <c r="B26" s="38" t="s">
        <v>1334</v>
      </c>
      <c r="C26" s="38" t="s">
        <v>36</v>
      </c>
      <c r="D26" s="38">
        <v>1</v>
      </c>
      <c r="E26" s="38" t="s">
        <v>29</v>
      </c>
      <c r="F26" s="38">
        <v>5</v>
      </c>
    </row>
    <row r="27" spans="2:6">
      <c r="B27" s="38" t="s">
        <v>1334</v>
      </c>
      <c r="C27" s="38" t="s">
        <v>36</v>
      </c>
      <c r="D27" s="38">
        <v>2</v>
      </c>
      <c r="E27" s="38" t="s">
        <v>33</v>
      </c>
      <c r="F27" s="38">
        <v>10</v>
      </c>
    </row>
    <row r="28" spans="2:6">
      <c r="B28" s="38" t="s">
        <v>1334</v>
      </c>
      <c r="C28" s="38" t="s">
        <v>36</v>
      </c>
      <c r="D28" s="38">
        <v>3</v>
      </c>
      <c r="E28" s="38" t="s">
        <v>35</v>
      </c>
      <c r="F28" s="38">
        <v>15</v>
      </c>
    </row>
    <row r="29" spans="2:6">
      <c r="B29" s="38" t="s">
        <v>1334</v>
      </c>
      <c r="C29" s="38" t="s">
        <v>36</v>
      </c>
      <c r="D29" s="38">
        <v>4</v>
      </c>
      <c r="E29" s="38" t="s">
        <v>35</v>
      </c>
      <c r="F29" s="38">
        <v>15</v>
      </c>
    </row>
    <row r="30" spans="2:6">
      <c r="B30" s="38" t="s">
        <v>1334</v>
      </c>
      <c r="C30" s="38" t="s">
        <v>36</v>
      </c>
      <c r="D30" s="38">
        <v>5</v>
      </c>
      <c r="E30" s="38" t="s">
        <v>36</v>
      </c>
      <c r="F30" s="38">
        <v>20</v>
      </c>
    </row>
  </sheetData>
  <phoneticPr fontId="28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19</vt:i4>
      </vt:variant>
    </vt:vector>
  </HeadingPairs>
  <TitlesOfParts>
    <vt:vector size="29" baseType="lpstr">
      <vt:lpstr>group</vt:lpstr>
      <vt:lpstr>story</vt:lpstr>
      <vt:lpstr>hero</vt:lpstr>
      <vt:lpstr>seal</vt:lpstr>
      <vt:lpstr>hero_elite</vt:lpstr>
      <vt:lpstr>test</vt:lpstr>
      <vt:lpstr>group_output</vt:lpstr>
      <vt:lpstr>units</vt:lpstr>
      <vt:lpstr>cfg</vt:lpstr>
      <vt:lpstr>play</vt:lpstr>
      <vt:lpstr>seal!Formations</vt:lpstr>
      <vt:lpstr>test!Formations</vt:lpstr>
      <vt:lpstr>Formations</vt:lpstr>
      <vt:lpstr>GroupInputJsonPath</vt:lpstr>
      <vt:lpstr>GroupOutputJsonPath</vt:lpstr>
      <vt:lpstr>seal!HeroShortNames</vt:lpstr>
      <vt:lpstr>test!HeroShortNames</vt:lpstr>
      <vt:lpstr>HeroShortNames</vt:lpstr>
      <vt:lpstr>seal!SoldierNames</vt:lpstr>
      <vt:lpstr>test!SoldierNames</vt:lpstr>
      <vt:lpstr>SoldierNames</vt:lpstr>
      <vt:lpstr>seal!SoldierShortNames</vt:lpstr>
      <vt:lpstr>test!SoldierShortNames</vt:lpstr>
      <vt:lpstr>SoldierShortNames</vt:lpstr>
      <vt:lpstr>StageDifficultyPath</vt:lpstr>
      <vt:lpstr>StageEnemyPath</vt:lpstr>
      <vt:lpstr>seal!UnitNames</vt:lpstr>
      <vt:lpstr>test!UnitNames</vt:lpstr>
      <vt:lpstr>UnitNames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lovebird</dc:creator>
  <cp:lastModifiedBy>ejoy</cp:lastModifiedBy>
  <dcterms:created xsi:type="dcterms:W3CDTF">2006-09-16T00:00:00Z</dcterms:created>
  <dcterms:modified xsi:type="dcterms:W3CDTF">2016-12-28T04:07:48Z</dcterms:modified>
</cp:coreProperties>
</file>