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2390" activeTab="5"/>
  </bookViews>
  <sheets>
    <sheet name="group" sheetId="8" r:id="rId1"/>
    <sheet name="story" sheetId="13" r:id="rId2"/>
    <sheet name="hero" sheetId="15" r:id="rId3"/>
    <sheet name="seal" sheetId="21" r:id="rId4"/>
    <sheet name="test" sheetId="17" r:id="rId5"/>
    <sheet name="group_output" sheetId="11" r:id="rId6"/>
    <sheet name="units" sheetId="12" r:id="rId7"/>
    <sheet name="cfg" sheetId="9" r:id="rId8"/>
    <sheet name="play" sheetId="20" r:id="rId9"/>
  </sheets>
  <functionGroups builtInGroupCount="18"/>
  <definedNames>
    <definedName name="Formations" localSheetId="3">表7[Formation]</definedName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4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4">表8[Soldier]</definedName>
    <definedName name="SoldierNames">表8[Soldier]</definedName>
    <definedName name="SoldierShortNames" localSheetId="3">表3[SoldierIndex]</definedName>
    <definedName name="SoldierShortNames" localSheetId="4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4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N332" i="8" l="1"/>
  <c r="P332" i="8"/>
  <c r="N322" i="8"/>
  <c r="P322" i="8"/>
  <c r="N312" i="8"/>
  <c r="P312" i="8"/>
  <c r="O10" i="15"/>
  <c r="E113" i="20"/>
  <c r="F113" i="20"/>
  <c r="E114" i="20"/>
  <c r="F114" i="20"/>
  <c r="E111" i="20"/>
  <c r="F112" i="20"/>
  <c r="E112" i="20"/>
  <c r="F111" i="20"/>
  <c r="E109" i="20"/>
  <c r="E110" i="20"/>
  <c r="F109" i="20"/>
  <c r="F110" i="20"/>
  <c r="E108" i="20"/>
  <c r="F108" i="20"/>
  <c r="E107" i="20"/>
  <c r="F107" i="20"/>
  <c r="N400" i="8"/>
  <c r="N396" i="8"/>
  <c r="N376" i="8"/>
  <c r="N386" i="8"/>
  <c r="P400" i="8"/>
  <c r="P396" i="8"/>
  <c r="P376" i="8"/>
  <c r="P380" i="8"/>
  <c r="N380" i="8"/>
  <c r="P406" i="8"/>
  <c r="P386" i="8"/>
  <c r="N406" i="8"/>
  <c r="D109" i="12" l="1"/>
  <c r="D345" i="12"/>
  <c r="J15" i="12" s="1"/>
  <c r="D344" i="12"/>
  <c r="J14" i="12" s="1"/>
  <c r="P32" i="8"/>
  <c r="N342" i="8"/>
  <c r="N32" i="8"/>
  <c r="P33" i="8"/>
  <c r="N33" i="8"/>
  <c r="N47" i="8"/>
  <c r="P42" i="8"/>
  <c r="P336" i="8"/>
  <c r="N42" i="8"/>
  <c r="P316" i="8"/>
  <c r="P342" i="8"/>
  <c r="P47" i="8"/>
  <c r="N316" i="8"/>
  <c r="N336" i="8"/>
  <c r="D181" i="12" l="1"/>
  <c r="D182" i="12"/>
  <c r="D183" i="12"/>
  <c r="D184" i="12"/>
  <c r="D185" i="12"/>
  <c r="D186" i="12"/>
  <c r="D187" i="12"/>
  <c r="D188" i="12"/>
  <c r="D189" i="12"/>
  <c r="J19" i="12" s="1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J18" i="12" s="1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J16" i="12" s="1"/>
  <c r="D341" i="12"/>
  <c r="D342" i="12"/>
  <c r="D343" i="12"/>
  <c r="P23" i="8"/>
  <c r="P233" i="8"/>
  <c r="N239" i="8"/>
  <c r="N230" i="8"/>
  <c r="N229" i="8"/>
  <c r="P214" i="8"/>
  <c r="N221" i="8"/>
  <c r="N228" i="8"/>
  <c r="N234" i="8"/>
  <c r="P218" i="8"/>
  <c r="P231" i="8"/>
  <c r="N224" i="8"/>
  <c r="N219" i="8"/>
  <c r="N236" i="8"/>
  <c r="P221" i="8"/>
  <c r="P225" i="8"/>
  <c r="N23" i="8"/>
  <c r="N217" i="8"/>
  <c r="P234" i="8"/>
  <c r="P236" i="8"/>
  <c r="N238" i="8"/>
  <c r="P232" i="8"/>
  <c r="P216" i="8"/>
  <c r="P210" i="8"/>
  <c r="N17" i="8"/>
  <c r="P38" i="8"/>
  <c r="N212" i="8"/>
  <c r="N226" i="8"/>
  <c r="N235" i="8"/>
  <c r="P219" i="8"/>
  <c r="P220" i="8"/>
  <c r="N214" i="8"/>
  <c r="P223" i="8"/>
  <c r="N227" i="8"/>
  <c r="N232" i="8"/>
  <c r="N233" i="8"/>
  <c r="P213" i="8"/>
  <c r="P227" i="8"/>
  <c r="P211" i="8"/>
  <c r="N211" i="8"/>
  <c r="N222" i="8"/>
  <c r="N231" i="8"/>
  <c r="P217" i="8"/>
  <c r="N225" i="8"/>
  <c r="N218" i="8"/>
  <c r="P237" i="8"/>
  <c r="N210" i="8"/>
  <c r="P215" i="8"/>
  <c r="N220" i="8"/>
  <c r="N223" i="8"/>
  <c r="P222" i="8"/>
  <c r="P228" i="8"/>
  <c r="P229" i="8"/>
  <c r="P212" i="8"/>
  <c r="N38" i="8"/>
  <c r="P226" i="8"/>
  <c r="P235" i="8"/>
  <c r="P224" i="8"/>
  <c r="P239" i="8"/>
  <c r="N216" i="8"/>
  <c r="P238" i="8"/>
  <c r="P230" i="8"/>
  <c r="N237" i="8"/>
  <c r="N213" i="8"/>
  <c r="N215" i="8"/>
  <c r="P17" i="8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J17" i="12" s="1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D2" i="8" l="1"/>
  <c r="E22" i="20" l="1"/>
  <c r="F40" i="20"/>
  <c r="F45" i="20"/>
  <c r="E73" i="20"/>
  <c r="F11" i="20"/>
  <c r="F82" i="20"/>
  <c r="F23" i="20"/>
  <c r="O11" i="17"/>
  <c r="O77" i="17"/>
  <c r="F15" i="20"/>
  <c r="O130" i="17"/>
  <c r="F49" i="20"/>
  <c r="E69" i="20"/>
  <c r="F99" i="20"/>
  <c r="E72" i="20"/>
  <c r="E25" i="20"/>
  <c r="S107" i="17"/>
  <c r="F68" i="20"/>
  <c r="O104" i="17"/>
  <c r="S85" i="17"/>
  <c r="P16" i="8"/>
  <c r="N46" i="8"/>
  <c r="S43" i="17"/>
  <c r="S58" i="17"/>
  <c r="O14" i="17"/>
  <c r="S18" i="17"/>
  <c r="S41" i="17"/>
  <c r="S31" i="17"/>
  <c r="S39" i="17"/>
  <c r="F37" i="20"/>
  <c r="S83" i="17"/>
  <c r="S5" i="17"/>
  <c r="F74" i="20"/>
  <c r="S93" i="17"/>
  <c r="O10" i="17"/>
  <c r="O117" i="17"/>
  <c r="F19" i="20"/>
  <c r="E24" i="20"/>
  <c r="F88" i="20"/>
  <c r="F81" i="20"/>
  <c r="F106" i="20"/>
  <c r="E86" i="20"/>
  <c r="E78" i="20"/>
  <c r="F7" i="20"/>
  <c r="E84" i="20"/>
  <c r="E102" i="20"/>
  <c r="O132" i="17"/>
  <c r="S21" i="17"/>
  <c r="P35" i="8"/>
  <c r="S59" i="17"/>
  <c r="S29" i="17"/>
  <c r="S56" i="17"/>
  <c r="O34" i="17"/>
  <c r="S19" i="17"/>
  <c r="N325" i="8"/>
  <c r="N185" i="8"/>
  <c r="N111" i="8"/>
  <c r="P120" i="8"/>
  <c r="N123" i="8"/>
  <c r="N88" i="8"/>
  <c r="N48" i="8"/>
  <c r="P102" i="8"/>
  <c r="N19" i="8"/>
  <c r="N109" i="8"/>
  <c r="N299" i="8"/>
  <c r="N161" i="8"/>
  <c r="P186" i="8"/>
  <c r="N245" i="8"/>
  <c r="P19" i="8"/>
  <c r="P129" i="8"/>
  <c r="O128" i="17"/>
  <c r="O69" i="17"/>
  <c r="E54" i="20"/>
  <c r="O111" i="17"/>
  <c r="S104" i="17"/>
  <c r="S134" i="17"/>
  <c r="S94" i="17"/>
  <c r="O70" i="17"/>
  <c r="F86" i="20"/>
  <c r="O135" i="17"/>
  <c r="E62" i="20"/>
  <c r="S8" i="17"/>
  <c r="O138" i="17"/>
  <c r="S136" i="17"/>
  <c r="E38" i="20"/>
  <c r="O137" i="17"/>
  <c r="E98" i="20"/>
  <c r="P41" i="8"/>
  <c r="E56" i="20"/>
  <c r="O56" i="17"/>
  <c r="S26" i="17"/>
  <c r="S65" i="17"/>
  <c r="S57" i="17"/>
  <c r="S140" i="17"/>
  <c r="O30" i="17"/>
  <c r="P140" i="8"/>
  <c r="N184" i="8"/>
  <c r="N200" i="8"/>
  <c r="P300" i="8"/>
  <c r="P315" i="8"/>
  <c r="F90" i="20"/>
  <c r="F24" i="20"/>
  <c r="S137" i="17"/>
  <c r="F31" i="20"/>
  <c r="F54" i="20"/>
  <c r="F78" i="20"/>
  <c r="E71" i="20"/>
  <c r="S95" i="17"/>
  <c r="E17" i="20"/>
  <c r="S33" i="17"/>
  <c r="O53" i="17"/>
  <c r="S42" i="17"/>
  <c r="P83" i="8"/>
  <c r="N149" i="8"/>
  <c r="P40" i="8"/>
  <c r="P99" i="8"/>
  <c r="S129" i="17"/>
  <c r="O96" i="17"/>
  <c r="F64" i="20"/>
  <c r="F104" i="20"/>
  <c r="F21" i="20"/>
  <c r="E79" i="20"/>
  <c r="O108" i="17"/>
  <c r="F83" i="20"/>
  <c r="F89" i="20"/>
  <c r="S112" i="17"/>
  <c r="F27" i="20"/>
  <c r="O147" i="17"/>
  <c r="O7" i="17"/>
  <c r="O9" i="17"/>
  <c r="S132" i="17"/>
  <c r="F34" i="20"/>
  <c r="F12" i="20"/>
  <c r="F38" i="20"/>
  <c r="S122" i="17"/>
  <c r="E51" i="20"/>
  <c r="S150" i="17"/>
  <c r="S133" i="17"/>
  <c r="S90" i="17"/>
  <c r="N27" i="8"/>
  <c r="S47" i="17"/>
  <c r="P28" i="8"/>
  <c r="O67" i="17"/>
  <c r="O63" i="17"/>
  <c r="O39" i="17"/>
  <c r="O18" i="17"/>
  <c r="S62" i="17"/>
  <c r="S20" i="17"/>
  <c r="E65" i="20"/>
  <c r="E52" i="20"/>
  <c r="S116" i="17"/>
  <c r="F35" i="20"/>
  <c r="E49" i="20"/>
  <c r="F100" i="20"/>
  <c r="S70" i="17"/>
  <c r="F8" i="20"/>
  <c r="O129" i="17"/>
  <c r="S12" i="17"/>
  <c r="E36" i="20"/>
  <c r="F30" i="20"/>
  <c r="F36" i="20"/>
  <c r="E57" i="20"/>
  <c r="E83" i="20"/>
  <c r="E91" i="20"/>
  <c r="E19" i="20"/>
  <c r="N14" i="8"/>
  <c r="O82" i="17"/>
  <c r="S38" i="17"/>
  <c r="S48" i="17"/>
  <c r="O22" i="17"/>
  <c r="O54" i="17"/>
  <c r="O26" i="17"/>
  <c r="S61" i="17"/>
  <c r="P153" i="8"/>
  <c r="N58" i="8"/>
  <c r="P148" i="8"/>
  <c r="N31" i="8"/>
  <c r="N34" i="8"/>
  <c r="N186" i="8"/>
  <c r="P209" i="8"/>
  <c r="P82" i="8"/>
  <c r="P192" i="8"/>
  <c r="S151" i="17"/>
  <c r="P303" i="8"/>
  <c r="N334" i="8"/>
  <c r="P340" i="8"/>
  <c r="N145" i="8"/>
  <c r="P177" i="8"/>
  <c r="S77" i="17"/>
  <c r="F94" i="20"/>
  <c r="O139" i="17"/>
  <c r="E66" i="20"/>
  <c r="F56" i="20"/>
  <c r="S80" i="17"/>
  <c r="F101" i="20"/>
  <c r="E31" i="20"/>
  <c r="F79" i="20"/>
  <c r="F58" i="20"/>
  <c r="F52" i="20"/>
  <c r="O126" i="17"/>
  <c r="O92" i="17"/>
  <c r="S123" i="17"/>
  <c r="O110" i="17"/>
  <c r="O72" i="17"/>
  <c r="O115" i="17"/>
  <c r="E39" i="20"/>
  <c r="N35" i="8"/>
  <c r="S14" i="17"/>
  <c r="S68" i="17"/>
  <c r="S142" i="17"/>
  <c r="O42" i="17"/>
  <c r="S24" i="17"/>
  <c r="N18" i="8"/>
  <c r="P11" i="8"/>
  <c r="P154" i="8"/>
  <c r="N11" i="8"/>
  <c r="N112" i="8"/>
  <c r="N64" i="8"/>
  <c r="N133" i="8"/>
  <c r="P106" i="8"/>
  <c r="E87" i="20"/>
  <c r="E101" i="20"/>
  <c r="F103" i="20"/>
  <c r="F95" i="20"/>
  <c r="S6" i="17"/>
  <c r="O85" i="17"/>
  <c r="S71" i="17"/>
  <c r="S130" i="17"/>
  <c r="O146" i="17"/>
  <c r="S17" i="17"/>
  <c r="O16" i="17"/>
  <c r="O23" i="17"/>
  <c r="N309" i="8"/>
  <c r="E106" i="20"/>
  <c r="O90" i="17"/>
  <c r="S108" i="17"/>
  <c r="S78" i="17"/>
  <c r="F4" i="20"/>
  <c r="S98" i="17"/>
  <c r="E29" i="20"/>
  <c r="E59" i="20"/>
  <c r="S119" i="17"/>
  <c r="F16" i="20"/>
  <c r="O131" i="17"/>
  <c r="O133" i="17"/>
  <c r="E75" i="20"/>
  <c r="E11" i="20"/>
  <c r="E32" i="20"/>
  <c r="O125" i="17"/>
  <c r="E28" i="20"/>
  <c r="S110" i="17"/>
  <c r="E30" i="20"/>
  <c r="S100" i="17"/>
  <c r="E18" i="20"/>
  <c r="F50" i="20"/>
  <c r="E4" i="20"/>
  <c r="O141" i="17"/>
  <c r="S86" i="17"/>
  <c r="P14" i="8"/>
  <c r="O37" i="17"/>
  <c r="O40" i="17"/>
  <c r="O64" i="17"/>
  <c r="O52" i="17"/>
  <c r="O29" i="17"/>
  <c r="O152" i="17"/>
  <c r="O106" i="17"/>
  <c r="F80" i="20"/>
  <c r="O73" i="17"/>
  <c r="S74" i="17"/>
  <c r="E55" i="20"/>
  <c r="F93" i="20"/>
  <c r="S148" i="17"/>
  <c r="F43" i="20"/>
  <c r="O149" i="17"/>
  <c r="E26" i="20"/>
  <c r="E45" i="20"/>
  <c r="E97" i="20"/>
  <c r="O8" i="17"/>
  <c r="S81" i="17"/>
  <c r="S152" i="17"/>
  <c r="F32" i="20"/>
  <c r="F26" i="20"/>
  <c r="S52" i="17"/>
  <c r="N21" i="8"/>
  <c r="S13" i="17"/>
  <c r="S28" i="17"/>
  <c r="S37" i="17"/>
  <c r="S53" i="17"/>
  <c r="O57" i="17"/>
  <c r="P150" i="8"/>
  <c r="N52" i="8"/>
  <c r="P127" i="8"/>
  <c r="P260" i="8"/>
  <c r="N248" i="8"/>
  <c r="P65" i="8"/>
  <c r="N183" i="8"/>
  <c r="P100" i="8"/>
  <c r="N261" i="8"/>
  <c r="P97" i="8"/>
  <c r="N143" i="8"/>
  <c r="P165" i="8"/>
  <c r="P10" i="8"/>
  <c r="N22" i="8"/>
  <c r="P282" i="8"/>
  <c r="P188" i="8"/>
  <c r="O76" i="17"/>
  <c r="F14" i="20"/>
  <c r="O101" i="17"/>
  <c r="O100" i="17"/>
  <c r="E77" i="20"/>
  <c r="O12" i="17"/>
  <c r="O148" i="17"/>
  <c r="F13" i="20"/>
  <c r="S96" i="17"/>
  <c r="E60" i="20"/>
  <c r="F72" i="20"/>
  <c r="S84" i="17"/>
  <c r="E27" i="20"/>
  <c r="E96" i="20"/>
  <c r="S103" i="17"/>
  <c r="F75" i="20"/>
  <c r="O103" i="17"/>
  <c r="P103" i="8"/>
  <c r="O5" i="17"/>
  <c r="O58" i="17"/>
  <c r="S46" i="17"/>
  <c r="S141" i="17"/>
  <c r="S145" i="17"/>
  <c r="O59" i="17"/>
  <c r="N343" i="8"/>
  <c r="P55" i="8"/>
  <c r="N258" i="8"/>
  <c r="N74" i="8"/>
  <c r="P320" i="8"/>
  <c r="N301" i="8"/>
  <c r="F57" i="20"/>
  <c r="E58" i="20"/>
  <c r="E5" i="20"/>
  <c r="E61" i="20"/>
  <c r="E43" i="20"/>
  <c r="O84" i="17"/>
  <c r="S135" i="17"/>
  <c r="S87" i="17"/>
  <c r="O102" i="17"/>
  <c r="O36" i="17"/>
  <c r="O62" i="17"/>
  <c r="O49" i="17"/>
  <c r="S144" i="17"/>
  <c r="N114" i="8"/>
  <c r="N280" i="8"/>
  <c r="O121" i="17"/>
  <c r="F18" i="20"/>
  <c r="F44" i="20"/>
  <c r="E63" i="20"/>
  <c r="E3" i="20"/>
  <c r="S125" i="17"/>
  <c r="F96" i="20"/>
  <c r="O94" i="17"/>
  <c r="F41" i="20"/>
  <c r="O81" i="17"/>
  <c r="O151" i="17"/>
  <c r="F63" i="20"/>
  <c r="S88" i="17"/>
  <c r="F17" i="20"/>
  <c r="F62" i="20"/>
  <c r="O74" i="17"/>
  <c r="S126" i="17"/>
  <c r="F61" i="20"/>
  <c r="E85" i="20"/>
  <c r="E12" i="20"/>
  <c r="S121" i="17"/>
  <c r="O78" i="17"/>
  <c r="O107" i="17"/>
  <c r="N103" i="8"/>
  <c r="P27" i="8"/>
  <c r="S15" i="17"/>
  <c r="O31" i="17"/>
  <c r="O50" i="17"/>
  <c r="S139" i="17"/>
  <c r="S44" i="17"/>
  <c r="S66" i="17"/>
  <c r="O47" i="17"/>
  <c r="E67" i="20"/>
  <c r="O79" i="17"/>
  <c r="E94" i="20"/>
  <c r="O123" i="17"/>
  <c r="F28" i="20"/>
  <c r="F10" i="20"/>
  <c r="E74" i="20"/>
  <c r="F6" i="20"/>
  <c r="F51" i="20"/>
  <c r="S73" i="17"/>
  <c r="S69" i="17"/>
  <c r="S102" i="17"/>
  <c r="E41" i="20"/>
  <c r="E50" i="20"/>
  <c r="E53" i="20"/>
  <c r="S120" i="17"/>
  <c r="E35" i="20"/>
  <c r="O87" i="17"/>
  <c r="O46" i="17"/>
  <c r="S40" i="17"/>
  <c r="O48" i="17"/>
  <c r="S147" i="17"/>
  <c r="S34" i="17"/>
  <c r="O35" i="17"/>
  <c r="P45" i="8"/>
  <c r="N260" i="8"/>
  <c r="N190" i="8"/>
  <c r="P246" i="8"/>
  <c r="P191" i="8"/>
  <c r="N151" i="8"/>
  <c r="N157" i="8"/>
  <c r="N304" i="8"/>
  <c r="N68" i="8"/>
  <c r="P345" i="8"/>
  <c r="N241" i="8"/>
  <c r="P285" i="8"/>
  <c r="N170" i="8"/>
  <c r="N10" i="8"/>
  <c r="P58" i="8"/>
  <c r="P175" i="8"/>
  <c r="P296" i="8"/>
  <c r="N107" i="8"/>
  <c r="P163" i="8"/>
  <c r="F71" i="20"/>
  <c r="S76" i="17"/>
  <c r="E21" i="20"/>
  <c r="S105" i="17"/>
  <c r="F55" i="20"/>
  <c r="S72" i="17"/>
  <c r="F3" i="20"/>
  <c r="E92" i="20"/>
  <c r="F87" i="20"/>
  <c r="E93" i="20"/>
  <c r="E100" i="20"/>
  <c r="S10" i="17"/>
  <c r="O124" i="17"/>
  <c r="F92" i="20"/>
  <c r="E48" i="20"/>
  <c r="O83" i="17"/>
  <c r="F20" i="20"/>
  <c r="F69" i="20"/>
  <c r="S60" i="17"/>
  <c r="N41" i="8"/>
  <c r="S25" i="17"/>
  <c r="S55" i="17"/>
  <c r="O28" i="17"/>
  <c r="O60" i="17"/>
  <c r="S143" i="17"/>
  <c r="P256" i="8"/>
  <c r="N142" i="8"/>
  <c r="N98" i="8"/>
  <c r="N191" i="8"/>
  <c r="N303" i="8"/>
  <c r="N344" i="8"/>
  <c r="E33" i="20"/>
  <c r="S124" i="17"/>
  <c r="S91" i="17"/>
  <c r="O98" i="17"/>
  <c r="F33" i="20"/>
  <c r="E64" i="20"/>
  <c r="S75" i="17"/>
  <c r="O95" i="17"/>
  <c r="O119" i="17"/>
  <c r="N30" i="8"/>
  <c r="O44" i="17"/>
  <c r="S27" i="17"/>
  <c r="N51" i="8"/>
  <c r="P251" i="8"/>
  <c r="N119" i="8"/>
  <c r="N205" i="8"/>
  <c r="P161" i="8"/>
  <c r="N134" i="8"/>
  <c r="N162" i="8"/>
  <c r="N79" i="8"/>
  <c r="P297" i="8"/>
  <c r="P293" i="8"/>
  <c r="N339" i="8"/>
  <c r="P169" i="8"/>
  <c r="N87" i="8"/>
  <c r="P26" i="8"/>
  <c r="P69" i="8"/>
  <c r="E20" i="20"/>
  <c r="F53" i="20"/>
  <c r="O80" i="17"/>
  <c r="F97" i="20"/>
  <c r="S106" i="17"/>
  <c r="F105" i="20"/>
  <c r="O120" i="17"/>
  <c r="O113" i="17"/>
  <c r="P21" i="8"/>
  <c r="S36" i="17"/>
  <c r="O68" i="17"/>
  <c r="O19" i="17"/>
  <c r="N44" i="8"/>
  <c r="N141" i="8"/>
  <c r="P162" i="8"/>
  <c r="N273" i="8"/>
  <c r="N276" i="8"/>
  <c r="P91" i="8"/>
  <c r="P180" i="8"/>
  <c r="N284" i="8"/>
  <c r="N94" i="8"/>
  <c r="N318" i="8"/>
  <c r="P252" i="8"/>
  <c r="P189" i="8"/>
  <c r="P67" i="8"/>
  <c r="P287" i="8"/>
  <c r="P84" i="8"/>
  <c r="O109" i="17"/>
  <c r="E7" i="20"/>
  <c r="S111" i="17"/>
  <c r="F60" i="20"/>
  <c r="E99" i="20"/>
  <c r="S7" i="17"/>
  <c r="E23" i="20"/>
  <c r="F25" i="20"/>
  <c r="E104" i="20"/>
  <c r="O140" i="17"/>
  <c r="O15" i="17"/>
  <c r="S45" i="17"/>
  <c r="P289" i="8"/>
  <c r="P62" i="8"/>
  <c r="P324" i="8"/>
  <c r="P202" i="8"/>
  <c r="P339" i="8"/>
  <c r="P317" i="8"/>
  <c r="P268" i="8"/>
  <c r="N341" i="8"/>
  <c r="N122" i="8"/>
  <c r="N177" i="8"/>
  <c r="N292" i="8"/>
  <c r="P94" i="8"/>
  <c r="P195" i="8"/>
  <c r="N168" i="8"/>
  <c r="N163" i="8"/>
  <c r="N54" i="8"/>
  <c r="N91" i="8"/>
  <c r="N251" i="8"/>
  <c r="P245" i="8"/>
  <c r="S149" i="17"/>
  <c r="O145" i="17"/>
  <c r="O61" i="17"/>
  <c r="N166" i="8"/>
  <c r="N201" i="8"/>
  <c r="P292" i="8"/>
  <c r="P123" i="8"/>
  <c r="P261" i="8"/>
  <c r="N80" i="8"/>
  <c r="N50" i="8"/>
  <c r="N263" i="8"/>
  <c r="N113" i="8"/>
  <c r="P25" i="8"/>
  <c r="P199" i="8"/>
  <c r="P273" i="8"/>
  <c r="P319" i="8"/>
  <c r="N5" i="8"/>
  <c r="P22" i="8"/>
  <c r="N20" i="8"/>
  <c r="P56" i="8"/>
  <c r="P92" i="8"/>
  <c r="S89" i="17"/>
  <c r="O24" i="17"/>
  <c r="P34" i="8"/>
  <c r="P72" i="8"/>
  <c r="P98" i="8"/>
  <c r="N300" i="8"/>
  <c r="P248" i="8"/>
  <c r="P249" i="8"/>
  <c r="N242" i="8"/>
  <c r="O75" i="17"/>
  <c r="E103" i="20"/>
  <c r="O43" i="17"/>
  <c r="P331" i="8"/>
  <c r="P74" i="8"/>
  <c r="N83" i="8"/>
  <c r="P272" i="8"/>
  <c r="N121" i="8"/>
  <c r="N305" i="8"/>
  <c r="N288" i="8"/>
  <c r="P5" i="8"/>
  <c r="P206" i="8"/>
  <c r="P87" i="8"/>
  <c r="N148" i="8"/>
  <c r="P126" i="8"/>
  <c r="N313" i="8"/>
  <c r="N252" i="8"/>
  <c r="N270" i="8"/>
  <c r="P115" i="8"/>
  <c r="P121" i="8"/>
  <c r="N24" i="8"/>
  <c r="P113" i="8"/>
  <c r="N118" i="8"/>
  <c r="P262" i="8"/>
  <c r="O118" i="17"/>
  <c r="E6" i="20"/>
  <c r="S97" i="17"/>
  <c r="E105" i="20"/>
  <c r="E42" i="20"/>
  <c r="E89" i="20"/>
  <c r="F91" i="20"/>
  <c r="F48" i="20"/>
  <c r="S131" i="17"/>
  <c r="O134" i="17"/>
  <c r="O51" i="17"/>
  <c r="O55" i="17"/>
  <c r="S49" i="17"/>
  <c r="N182" i="8"/>
  <c r="N160" i="8"/>
  <c r="P167" i="8"/>
  <c r="N287" i="8"/>
  <c r="P308" i="8"/>
  <c r="N331" i="8"/>
  <c r="P255" i="8"/>
  <c r="N290" i="8"/>
  <c r="N93" i="8"/>
  <c r="N293" i="8"/>
  <c r="N140" i="8"/>
  <c r="P244" i="8"/>
  <c r="N137" i="8"/>
  <c r="N176" i="8"/>
  <c r="N320" i="8"/>
  <c r="N298" i="8"/>
  <c r="P327" i="8"/>
  <c r="F67" i="20"/>
  <c r="O114" i="17"/>
  <c r="F5" i="20"/>
  <c r="F77" i="20"/>
  <c r="F102" i="20"/>
  <c r="F59" i="20"/>
  <c r="E90" i="20"/>
  <c r="E88" i="20"/>
  <c r="S92" i="17"/>
  <c r="P30" i="8"/>
  <c r="O38" i="17"/>
  <c r="S67" i="17"/>
  <c r="P183" i="8"/>
  <c r="P160" i="8"/>
  <c r="N207" i="8"/>
  <c r="P116" i="8"/>
  <c r="P108" i="8"/>
  <c r="P265" i="8"/>
  <c r="P141" i="8"/>
  <c r="P203" i="8"/>
  <c r="N302" i="8"/>
  <c r="P269" i="8"/>
  <c r="N139" i="8"/>
  <c r="P109" i="8"/>
  <c r="N328" i="8"/>
  <c r="N9" i="8"/>
  <c r="N178" i="8"/>
  <c r="N67" i="8"/>
  <c r="P53" i="8"/>
  <c r="E95" i="20"/>
  <c r="S9" i="17"/>
  <c r="O32" i="17"/>
  <c r="P276" i="8"/>
  <c r="P152" i="8"/>
  <c r="N165" i="8"/>
  <c r="P138" i="8"/>
  <c r="N59" i="8"/>
  <c r="P54" i="8"/>
  <c r="P155" i="8"/>
  <c r="P326" i="8"/>
  <c r="P321" i="8"/>
  <c r="N246" i="8"/>
  <c r="P250" i="8"/>
  <c r="N208" i="8"/>
  <c r="N129" i="8"/>
  <c r="N126" i="8"/>
  <c r="P343" i="8"/>
  <c r="P64" i="8"/>
  <c r="N306" i="8"/>
  <c r="N104" i="8"/>
  <c r="S79" i="17"/>
  <c r="O66" i="17"/>
  <c r="N266" i="8"/>
  <c r="P139" i="8"/>
  <c r="N72" i="8"/>
  <c r="P164" i="8"/>
  <c r="P290" i="8"/>
  <c r="P295" i="8"/>
  <c r="N326" i="8"/>
  <c r="F39" i="20"/>
  <c r="E8" i="20"/>
  <c r="O13" i="17"/>
  <c r="P59" i="8"/>
  <c r="P77" i="8"/>
  <c r="N187" i="8"/>
  <c r="N125" i="8"/>
  <c r="N66" i="8"/>
  <c r="P114" i="8"/>
  <c r="P110" i="8"/>
  <c r="P329" i="8"/>
  <c r="N286" i="8"/>
  <c r="P29" i="8"/>
  <c r="P134" i="8"/>
  <c r="N321" i="8"/>
  <c r="N196" i="8"/>
  <c r="P75" i="8"/>
  <c r="N86" i="8"/>
  <c r="P174" i="8"/>
  <c r="N311" i="8"/>
  <c r="P264" i="8"/>
  <c r="N73" i="8"/>
  <c r="P133" i="8"/>
  <c r="P125" i="8"/>
  <c r="N315" i="8"/>
  <c r="E14" i="20"/>
  <c r="O143" i="17"/>
  <c r="E82" i="20"/>
  <c r="O122" i="17"/>
  <c r="O97" i="17"/>
  <c r="F42" i="20"/>
  <c r="O86" i="17"/>
  <c r="E81" i="20"/>
  <c r="F29" i="20"/>
  <c r="E16" i="20"/>
  <c r="S54" i="17"/>
  <c r="S32" i="17"/>
  <c r="N264" i="8"/>
  <c r="P323" i="8"/>
  <c r="P193" i="8"/>
  <c r="P302" i="8"/>
  <c r="N105" i="8"/>
  <c r="N188" i="8"/>
  <c r="P36" i="8"/>
  <c r="P247" i="8"/>
  <c r="N254" i="8"/>
  <c r="P73" i="8"/>
  <c r="P18" i="8"/>
  <c r="P145" i="8"/>
  <c r="N329" i="8"/>
  <c r="P142" i="8"/>
  <c r="N164" i="8"/>
  <c r="P143" i="8"/>
  <c r="P271" i="8"/>
  <c r="F73" i="20"/>
  <c r="O89" i="17"/>
  <c r="E34" i="20"/>
  <c r="F9" i="20"/>
  <c r="F22" i="20"/>
  <c r="F47" i="20"/>
  <c r="S114" i="17"/>
  <c r="O93" i="17"/>
  <c r="O20" i="17"/>
  <c r="S30" i="17"/>
  <c r="O25" i="17"/>
  <c r="O27" i="17"/>
  <c r="N283" i="8"/>
  <c r="N333" i="8"/>
  <c r="N337" i="8"/>
  <c r="N281" i="8"/>
  <c r="P168" i="8"/>
  <c r="P185" i="8"/>
  <c r="P79" i="8"/>
  <c r="P240" i="8"/>
  <c r="P277" i="8"/>
  <c r="P176" i="8"/>
  <c r="P187" i="8"/>
  <c r="N167" i="8"/>
  <c r="P117" i="8"/>
  <c r="N62" i="8"/>
  <c r="P205" i="8"/>
  <c r="N279" i="8"/>
  <c r="S115" i="17"/>
  <c r="O91" i="17"/>
  <c r="O65" i="17"/>
  <c r="N37" i="8"/>
  <c r="N15" i="8"/>
  <c r="P253" i="8"/>
  <c r="N327" i="8"/>
  <c r="N89" i="8"/>
  <c r="N6" i="8"/>
  <c r="P9" i="8"/>
  <c r="P196" i="8"/>
  <c r="N202" i="8"/>
  <c r="P37" i="8"/>
  <c r="P208" i="8"/>
  <c r="P184" i="8"/>
  <c r="N277" i="8"/>
  <c r="P137" i="8"/>
  <c r="P149" i="8"/>
  <c r="N117" i="8"/>
  <c r="P334" i="8"/>
  <c r="S101" i="17"/>
  <c r="P194" i="8"/>
  <c r="P146" i="8"/>
  <c r="S50" i="17"/>
  <c r="P68" i="8"/>
  <c r="P338" i="8"/>
  <c r="N81" i="8"/>
  <c r="P311" i="8"/>
  <c r="N335" i="8"/>
  <c r="P284" i="8"/>
  <c r="P15" i="8"/>
  <c r="N124" i="8"/>
  <c r="N45" i="8"/>
  <c r="N136" i="8"/>
  <c r="N7" i="8"/>
  <c r="N95" i="8"/>
  <c r="N85" i="8"/>
  <c r="O88" i="17"/>
  <c r="F70" i="20"/>
  <c r="S82" i="17"/>
  <c r="S117" i="17"/>
  <c r="E46" i="20"/>
  <c r="O6" i="17"/>
  <c r="S113" i="17"/>
  <c r="S127" i="17"/>
  <c r="N28" i="8"/>
  <c r="S23" i="17"/>
  <c r="O41" i="17"/>
  <c r="S64" i="17"/>
  <c r="P313" i="8"/>
  <c r="N249" i="8"/>
  <c r="N150" i="8"/>
  <c r="N297" i="8"/>
  <c r="N65" i="8"/>
  <c r="N12" i="8"/>
  <c r="P309" i="8"/>
  <c r="P31" i="8"/>
  <c r="N159" i="8"/>
  <c r="P95" i="8"/>
  <c r="P8" i="8"/>
  <c r="N56" i="8"/>
  <c r="P52" i="8"/>
  <c r="P159" i="8"/>
  <c r="N36" i="8"/>
  <c r="N282" i="8"/>
  <c r="S109" i="17"/>
  <c r="E13" i="20"/>
  <c r="E40" i="20"/>
  <c r="F85" i="20"/>
  <c r="E68" i="20"/>
  <c r="E76" i="20"/>
  <c r="O127" i="17"/>
  <c r="E37" i="20"/>
  <c r="N16" i="8"/>
  <c r="S22" i="17"/>
  <c r="S35" i="17"/>
  <c r="S63" i="17"/>
  <c r="P51" i="8"/>
  <c r="N132" i="8"/>
  <c r="P49" i="8"/>
  <c r="P181" i="8"/>
  <c r="P278" i="8"/>
  <c r="P60" i="8"/>
  <c r="P105" i="8"/>
  <c r="P158" i="8"/>
  <c r="P207" i="8"/>
  <c r="N180" i="8"/>
  <c r="N78" i="8"/>
  <c r="N26" i="8"/>
  <c r="N172" i="8"/>
  <c r="N256" i="8"/>
  <c r="P13" i="8"/>
  <c r="P88" i="8"/>
  <c r="N100" i="8"/>
  <c r="P7" i="8"/>
  <c r="S11" i="17"/>
  <c r="S99" i="17"/>
  <c r="F66" i="20"/>
  <c r="S51" i="17"/>
  <c r="P259" i="8"/>
  <c r="N317" i="8"/>
  <c r="P333" i="8"/>
  <c r="P86" i="8"/>
  <c r="N8" i="8"/>
  <c r="P118" i="8"/>
  <c r="N345" i="8"/>
  <c r="P306" i="8"/>
  <c r="P81" i="8"/>
  <c r="P304" i="8"/>
  <c r="N323" i="8"/>
  <c r="P63" i="8"/>
  <c r="N175" i="8"/>
  <c r="P173" i="8"/>
  <c r="P197" i="8"/>
  <c r="P171" i="8"/>
  <c r="P328" i="8"/>
  <c r="P318" i="8"/>
  <c r="N278" i="8"/>
  <c r="P130" i="8"/>
  <c r="E70" i="20"/>
  <c r="N75" i="8"/>
  <c r="N25" i="8"/>
  <c r="P128" i="8"/>
  <c r="N197" i="8"/>
  <c r="P39" i="8"/>
  <c r="N295" i="8"/>
  <c r="P61" i="8"/>
  <c r="S128" i="17"/>
  <c r="O116" i="17"/>
  <c r="P46" i="8"/>
  <c r="P286" i="8"/>
  <c r="N203" i="8"/>
  <c r="P85" i="8"/>
  <c r="P298" i="8"/>
  <c r="P156" i="8"/>
  <c r="N310" i="8"/>
  <c r="P344" i="8"/>
  <c r="N70" i="8"/>
  <c r="P135" i="8"/>
  <c r="P157" i="8"/>
  <c r="E9" i="20"/>
  <c r="N257" i="8"/>
  <c r="P335" i="8"/>
  <c r="P93" i="8"/>
  <c r="N195" i="8"/>
  <c r="N199" i="8"/>
  <c r="N144" i="8"/>
  <c r="P330" i="8"/>
  <c r="P24" i="8"/>
  <c r="N198" i="8"/>
  <c r="N330" i="8"/>
  <c r="N13" i="8"/>
  <c r="N147" i="8"/>
  <c r="E15" i="20"/>
  <c r="P96" i="8"/>
  <c r="P104" i="8"/>
  <c r="P179" i="8"/>
  <c r="P301" i="8"/>
  <c r="O71" i="17"/>
  <c r="F65" i="20"/>
  <c r="O17" i="17"/>
  <c r="N97" i="8"/>
  <c r="P305" i="8"/>
  <c r="P280" i="8"/>
  <c r="N53" i="8"/>
  <c r="N77" i="8"/>
  <c r="N267" i="8"/>
  <c r="N115" i="8"/>
  <c r="N90" i="8"/>
  <c r="P119" i="8"/>
  <c r="P101" i="8"/>
  <c r="P288" i="8"/>
  <c r="P266" i="8"/>
  <c r="P151" i="8"/>
  <c r="P201" i="8"/>
  <c r="N102" i="8"/>
  <c r="N128" i="8"/>
  <c r="N61" i="8"/>
  <c r="N294" i="8"/>
  <c r="N204" i="8"/>
  <c r="N289" i="8"/>
  <c r="P294" i="8"/>
  <c r="F98" i="20"/>
  <c r="P242" i="8"/>
  <c r="N92" i="8"/>
  <c r="N49" i="8"/>
  <c r="N146" i="8"/>
  <c r="N57" i="8"/>
  <c r="P325" i="8"/>
  <c r="P66" i="8"/>
  <c r="N173" i="8"/>
  <c r="O10" i="21"/>
  <c r="S53" i="21"/>
  <c r="S16" i="21"/>
  <c r="S50" i="21"/>
  <c r="S64" i="21"/>
  <c r="S67" i="21"/>
  <c r="O67" i="21"/>
  <c r="S47" i="21"/>
  <c r="O60" i="21"/>
  <c r="O53" i="21"/>
  <c r="S12" i="21"/>
  <c r="O48" i="21"/>
  <c r="O49" i="21"/>
  <c r="O18" i="21"/>
  <c r="O33" i="21"/>
  <c r="S60" i="21"/>
  <c r="S25" i="21"/>
  <c r="S62" i="21"/>
  <c r="O54" i="21"/>
  <c r="S14" i="21"/>
  <c r="S54" i="21"/>
  <c r="O50" i="21"/>
  <c r="S51" i="21"/>
  <c r="S69" i="21"/>
  <c r="O44" i="21"/>
  <c r="S52" i="21"/>
  <c r="S15" i="21"/>
  <c r="O42" i="21"/>
  <c r="S38" i="21"/>
  <c r="O62" i="21"/>
  <c r="O13" i="21"/>
  <c r="S33" i="21"/>
  <c r="S388" i="15"/>
  <c r="S280" i="15"/>
  <c r="S270" i="15"/>
  <c r="O288" i="15"/>
  <c r="S212" i="15"/>
  <c r="S316" i="15"/>
  <c r="O367" i="15"/>
  <c r="S73" i="15"/>
  <c r="O337" i="15"/>
  <c r="O171" i="15"/>
  <c r="S327" i="15"/>
  <c r="S191" i="15"/>
  <c r="S320" i="15"/>
  <c r="S210" i="15"/>
  <c r="S245" i="15"/>
  <c r="O101" i="15"/>
  <c r="S344" i="15"/>
  <c r="O290" i="15"/>
  <c r="O55" i="15"/>
  <c r="S130" i="15"/>
  <c r="S237" i="15"/>
  <c r="O308" i="15"/>
  <c r="O351" i="15"/>
  <c r="S252" i="15"/>
  <c r="O194" i="15"/>
  <c r="S93" i="15"/>
  <c r="O178" i="15"/>
  <c r="S294" i="15"/>
  <c r="S104" i="15"/>
  <c r="S272" i="15"/>
  <c r="S215" i="15"/>
  <c r="O333" i="15"/>
  <c r="O109" i="15"/>
  <c r="S192" i="15"/>
  <c r="O344" i="15"/>
  <c r="O196" i="15"/>
  <c r="S11" i="15"/>
  <c r="O217" i="15"/>
  <c r="P136" i="8"/>
  <c r="P254" i="8"/>
  <c r="F84" i="20"/>
  <c r="N39" i="8"/>
  <c r="S16" i="17"/>
  <c r="N244" i="8"/>
  <c r="N285" i="8"/>
  <c r="N209" i="8"/>
  <c r="N240" i="8"/>
  <c r="N40" i="8"/>
  <c r="P12" i="8"/>
  <c r="N340" i="8"/>
  <c r="E80" i="20"/>
  <c r="P131" i="8"/>
  <c r="P172" i="8"/>
  <c r="P20" i="8"/>
  <c r="E10" i="20"/>
  <c r="F46" i="20"/>
  <c r="O99" i="17"/>
  <c r="P70" i="8"/>
  <c r="P44" i="8"/>
  <c r="N138" i="8"/>
  <c r="N127" i="8"/>
  <c r="N319" i="8"/>
  <c r="N154" i="8"/>
  <c r="N130" i="8"/>
  <c r="P124" i="8"/>
  <c r="N265" i="8"/>
  <c r="P274" i="8"/>
  <c r="P89" i="8"/>
  <c r="N275" i="8"/>
  <c r="N307" i="8"/>
  <c r="N192" i="8"/>
  <c r="P299" i="8"/>
  <c r="N60" i="8"/>
  <c r="N179" i="8"/>
  <c r="N55" i="8"/>
  <c r="N291" i="8"/>
  <c r="P204" i="8"/>
  <c r="N152" i="8"/>
  <c r="P112" i="8"/>
  <c r="N174" i="8"/>
  <c r="P281" i="8"/>
  <c r="N243" i="8"/>
  <c r="P190" i="8"/>
  <c r="N110" i="8"/>
  <c r="N156" i="8"/>
  <c r="N206" i="8"/>
  <c r="N99" i="8"/>
  <c r="N259" i="8"/>
  <c r="O45" i="21"/>
  <c r="S29" i="21"/>
  <c r="O69" i="21"/>
  <c r="O64" i="21"/>
  <c r="S22" i="21"/>
  <c r="S57" i="21"/>
  <c r="O39" i="21"/>
  <c r="O65" i="21"/>
  <c r="S44" i="21"/>
  <c r="O23" i="21"/>
  <c r="O43" i="21"/>
  <c r="S23" i="21"/>
  <c r="O34" i="21"/>
  <c r="S35" i="21"/>
  <c r="S31" i="21"/>
  <c r="O47" i="21"/>
  <c r="O20" i="21"/>
  <c r="S13" i="21"/>
  <c r="S19" i="21"/>
  <c r="O15" i="21"/>
  <c r="O66" i="21"/>
  <c r="S17" i="21"/>
  <c r="S34" i="21"/>
  <c r="S48" i="21"/>
  <c r="O30" i="21"/>
  <c r="S21" i="21"/>
  <c r="O21" i="21"/>
  <c r="S36" i="21"/>
  <c r="O32" i="21"/>
  <c r="O17" i="21"/>
  <c r="O25" i="21"/>
  <c r="S10" i="21"/>
  <c r="S68" i="21"/>
  <c r="O155" i="15"/>
  <c r="S44" i="15"/>
  <c r="O287" i="15"/>
  <c r="S335" i="15"/>
  <c r="S133" i="15"/>
  <c r="S82" i="15"/>
  <c r="O173" i="15"/>
  <c r="S187" i="15"/>
  <c r="S278" i="15"/>
  <c r="O380" i="15"/>
  <c r="O82" i="15"/>
  <c r="O25" i="15"/>
  <c r="O172" i="15"/>
  <c r="S137" i="15"/>
  <c r="S288" i="15"/>
  <c r="P258" i="8"/>
  <c r="N101" i="8"/>
  <c r="N135" i="8"/>
  <c r="N253" i="8"/>
  <c r="N116" i="8"/>
  <c r="P48" i="8"/>
  <c r="N272" i="8"/>
  <c r="N274" i="8"/>
  <c r="N96" i="8"/>
  <c r="P283" i="8"/>
  <c r="N131" i="8"/>
  <c r="N84" i="8"/>
  <c r="O33" i="17"/>
  <c r="P107" i="8"/>
  <c r="O112" i="17"/>
  <c r="F76" i="20"/>
  <c r="O45" i="17"/>
  <c r="P182" i="8"/>
  <c r="N194" i="8"/>
  <c r="N120" i="8"/>
  <c r="P337" i="8"/>
  <c r="P200" i="8"/>
  <c r="N171" i="8"/>
  <c r="N155" i="8"/>
  <c r="P71" i="8"/>
  <c r="N296" i="8"/>
  <c r="P132" i="8"/>
  <c r="P279" i="8"/>
  <c r="P170" i="8"/>
  <c r="N324" i="8"/>
  <c r="P263" i="8"/>
  <c r="N314" i="8"/>
  <c r="P257" i="8"/>
  <c r="P78" i="8"/>
  <c r="O144" i="17"/>
  <c r="N193" i="8"/>
  <c r="N63" i="8"/>
  <c r="P50" i="8"/>
  <c r="P147" i="8"/>
  <c r="P270" i="8"/>
  <c r="N268" i="8"/>
  <c r="P6" i="8"/>
  <c r="N153" i="8"/>
  <c r="O52" i="21"/>
  <c r="S45" i="21"/>
  <c r="O68" i="21"/>
  <c r="O27" i="21"/>
  <c r="O36" i="21"/>
  <c r="S32" i="21"/>
  <c r="S46" i="21"/>
  <c r="O56" i="21"/>
  <c r="S41" i="21"/>
  <c r="O29" i="21"/>
  <c r="O55" i="21"/>
  <c r="O24" i="21"/>
  <c r="O61" i="21"/>
  <c r="S20" i="21"/>
  <c r="S5" i="21"/>
  <c r="S40" i="21"/>
  <c r="O6" i="21"/>
  <c r="O12" i="21"/>
  <c r="S58" i="21"/>
  <c r="O40" i="21"/>
  <c r="S42" i="21"/>
  <c r="O8" i="21"/>
  <c r="O11" i="21"/>
  <c r="S11" i="21"/>
  <c r="S24" i="21"/>
  <c r="O7" i="21"/>
  <c r="O26" i="21"/>
  <c r="O58" i="21"/>
  <c r="O46" i="21"/>
  <c r="O9" i="21"/>
  <c r="O16" i="21"/>
  <c r="O63" i="21"/>
  <c r="O31" i="21"/>
  <c r="O156" i="15"/>
  <c r="S310" i="15"/>
  <c r="O245" i="15"/>
  <c r="S52" i="15"/>
  <c r="O284" i="15"/>
  <c r="O34" i="15"/>
  <c r="S50" i="15"/>
  <c r="O41" i="15"/>
  <c r="O128" i="15"/>
  <c r="S225" i="15"/>
  <c r="O130" i="15"/>
  <c r="O54" i="15"/>
  <c r="S179" i="15"/>
  <c r="O278" i="15"/>
  <c r="S285" i="15"/>
  <c r="S185" i="15"/>
  <c r="O332" i="15"/>
  <c r="S208" i="15"/>
  <c r="S384" i="15"/>
  <c r="S102" i="15"/>
  <c r="S145" i="15"/>
  <c r="S239" i="15"/>
  <c r="O40" i="15"/>
  <c r="O33" i="15"/>
  <c r="S302" i="15"/>
  <c r="S379" i="15"/>
  <c r="S17" i="15"/>
  <c r="S291" i="15"/>
  <c r="O257" i="15"/>
  <c r="S314" i="15"/>
  <c r="S86" i="15"/>
  <c r="S47" i="15"/>
  <c r="S204" i="15"/>
  <c r="S334" i="15"/>
  <c r="S157" i="15"/>
  <c r="O223" i="15"/>
  <c r="S110" i="15"/>
  <c r="S146" i="17"/>
  <c r="S118" i="17"/>
  <c r="P243" i="8"/>
  <c r="N43" i="8"/>
  <c r="P57" i="8"/>
  <c r="P267" i="8"/>
  <c r="N269" i="8"/>
  <c r="N82" i="8"/>
  <c r="N181" i="8"/>
  <c r="P80" i="8"/>
  <c r="P291" i="8"/>
  <c r="P166" i="8"/>
  <c r="P275" i="8"/>
  <c r="P307" i="8"/>
  <c r="P314" i="8"/>
  <c r="P178" i="8"/>
  <c r="O150" i="17"/>
  <c r="E44" i="20"/>
  <c r="O21" i="17"/>
  <c r="P76" i="8"/>
  <c r="P241" i="8"/>
  <c r="P122" i="8"/>
  <c r="N158" i="8"/>
  <c r="P198" i="8"/>
  <c r="N29" i="8"/>
  <c r="P90" i="8"/>
  <c r="P43" i="8"/>
  <c r="O136" i="17"/>
  <c r="N76" i="8"/>
  <c r="N255" i="8"/>
  <c r="N308" i="8"/>
  <c r="N338" i="8"/>
  <c r="P341" i="8"/>
  <c r="N189" i="8"/>
  <c r="N271" i="8"/>
  <c r="N106" i="8"/>
  <c r="N69" i="8"/>
  <c r="N262" i="8"/>
  <c r="N169" i="8"/>
  <c r="E47" i="20"/>
  <c r="S138" i="17"/>
  <c r="N247" i="8"/>
  <c r="N250" i="8"/>
  <c r="P111" i="8"/>
  <c r="P310" i="8"/>
  <c r="N108" i="8"/>
  <c r="N71" i="8"/>
  <c r="P144" i="8"/>
  <c r="S28" i="21"/>
  <c r="S30" i="21"/>
  <c r="S39" i="21"/>
  <c r="S8" i="21"/>
  <c r="S61" i="21"/>
  <c r="S66" i="21"/>
  <c r="S56" i="21"/>
  <c r="O57" i="21"/>
  <c r="S7" i="21"/>
  <c r="S49" i="21"/>
  <c r="O22" i="21"/>
  <c r="O35" i="21"/>
  <c r="O5" i="21"/>
  <c r="O59" i="21"/>
  <c r="S43" i="21"/>
  <c r="S59" i="21"/>
  <c r="O37" i="21"/>
  <c r="O14" i="21"/>
  <c r="O19" i="21"/>
  <c r="S6" i="21"/>
  <c r="S18" i="21"/>
  <c r="O38" i="21"/>
  <c r="S55" i="21"/>
  <c r="S37" i="21"/>
  <c r="O41" i="21"/>
  <c r="S27" i="21"/>
  <c r="O28" i="21"/>
  <c r="S65" i="21"/>
  <c r="O51" i="21"/>
  <c r="S63" i="21"/>
  <c r="S26" i="21"/>
  <c r="S9" i="21"/>
  <c r="O388" i="15"/>
  <c r="S201" i="15"/>
  <c r="O370" i="15"/>
  <c r="S293" i="15"/>
  <c r="O239" i="15"/>
  <c r="S298" i="15"/>
  <c r="O139" i="15"/>
  <c r="S71" i="15"/>
  <c r="O324" i="15"/>
  <c r="O145" i="15"/>
  <c r="S386" i="15"/>
  <c r="O311" i="15"/>
  <c r="S70" i="15"/>
  <c r="S366" i="15"/>
  <c r="O265" i="15"/>
  <c r="O225" i="15"/>
  <c r="O276" i="15"/>
  <c r="S101" i="15"/>
  <c r="O157" i="15"/>
  <c r="S365" i="15"/>
  <c r="O57" i="15"/>
  <c r="S39" i="15"/>
  <c r="S348" i="15"/>
  <c r="O110" i="15"/>
  <c r="O364" i="15"/>
  <c r="O44" i="15"/>
  <c r="S223" i="15"/>
  <c r="O302" i="15"/>
  <c r="O297" i="15"/>
  <c r="S43" i="15"/>
  <c r="S42" i="15"/>
  <c r="O379" i="15"/>
  <c r="O98" i="15"/>
  <c r="O273" i="15"/>
  <c r="S57" i="15"/>
  <c r="O366" i="15"/>
  <c r="S295" i="15"/>
  <c r="S385" i="15"/>
  <c r="O286" i="15"/>
  <c r="O118" i="15"/>
  <c r="O275" i="15"/>
  <c r="O119" i="15"/>
  <c r="S22" i="15"/>
  <c r="S37" i="15"/>
  <c r="S136" i="15"/>
  <c r="O160" i="15"/>
  <c r="S240" i="15"/>
  <c r="O200" i="15"/>
  <c r="S166" i="15"/>
  <c r="S155" i="15"/>
  <c r="S262" i="15"/>
  <c r="S323" i="15"/>
  <c r="S25" i="15"/>
  <c r="O84" i="15"/>
  <c r="S373" i="15"/>
  <c r="O161" i="15"/>
  <c r="O271" i="15"/>
  <c r="S363" i="15"/>
  <c r="O386" i="15"/>
  <c r="O317" i="15"/>
  <c r="S224" i="15"/>
  <c r="O272" i="15"/>
  <c r="O22" i="15"/>
  <c r="S318" i="15"/>
  <c r="O66" i="15"/>
  <c r="S188" i="15"/>
  <c r="S326" i="15"/>
  <c r="O300" i="15"/>
  <c r="S214" i="15"/>
  <c r="O135" i="15"/>
  <c r="S60" i="15"/>
  <c r="S122" i="15"/>
  <c r="S254" i="15"/>
  <c r="O314" i="15"/>
  <c r="O321" i="15"/>
  <c r="S129" i="15"/>
  <c r="S132" i="15"/>
  <c r="O289" i="15"/>
  <c r="O18" i="15"/>
  <c r="S28" i="15"/>
  <c r="S169" i="15"/>
  <c r="O372" i="15"/>
  <c r="S203" i="15"/>
  <c r="S336" i="15"/>
  <c r="S307" i="15"/>
  <c r="S45" i="15"/>
  <c r="S330" i="15"/>
  <c r="S328" i="15"/>
  <c r="O299" i="15"/>
  <c r="S163" i="15"/>
  <c r="S228" i="15"/>
  <c r="S61" i="15"/>
  <c r="O199" i="15"/>
  <c r="S186" i="15"/>
  <c r="O301" i="15"/>
  <c r="O283" i="15"/>
  <c r="O143" i="15"/>
  <c r="O153" i="15"/>
  <c r="O338" i="15"/>
  <c r="O250" i="15"/>
  <c r="O32" i="15"/>
  <c r="S260" i="15"/>
  <c r="S66" i="15"/>
  <c r="O83" i="15"/>
  <c r="O357" i="15"/>
  <c r="S222" i="15"/>
  <c r="O170" i="15"/>
  <c r="O198" i="15"/>
  <c r="O237" i="15"/>
  <c r="O236" i="15"/>
  <c r="O116" i="15"/>
  <c r="O12" i="15"/>
  <c r="O7" i="15"/>
  <c r="S62" i="15"/>
  <c r="S33" i="15"/>
  <c r="S380" i="15"/>
  <c r="O251" i="15"/>
  <c r="O359" i="15"/>
  <c r="O179" i="15"/>
  <c r="O240" i="15"/>
  <c r="O103" i="15"/>
  <c r="O51" i="15"/>
  <c r="O149" i="15"/>
  <c r="O140" i="15"/>
  <c r="S261" i="15"/>
  <c r="S372" i="15"/>
  <c r="O201" i="15"/>
  <c r="O305" i="15"/>
  <c r="O28" i="15"/>
  <c r="S284" i="15"/>
  <c r="O50" i="15"/>
  <c r="S34" i="15"/>
  <c r="S84" i="15"/>
  <c r="O120" i="15"/>
  <c r="O71" i="15"/>
  <c r="O39" i="15"/>
  <c r="S174" i="15"/>
  <c r="S340" i="15"/>
  <c r="S105" i="15"/>
  <c r="S30" i="15"/>
  <c r="O266" i="15"/>
  <c r="S159" i="15"/>
  <c r="O11" i="15"/>
  <c r="S189" i="15"/>
  <c r="O63" i="15"/>
  <c r="S81" i="15"/>
  <c r="O383" i="15"/>
  <c r="S322" i="15"/>
  <c r="O53" i="15"/>
  <c r="O42" i="15"/>
  <c r="S18" i="15"/>
  <c r="O72" i="15"/>
  <c r="O106" i="15"/>
  <c r="S229" i="15"/>
  <c r="S55" i="15"/>
  <c r="O35" i="15"/>
  <c r="O261" i="15"/>
  <c r="S134" i="15"/>
  <c r="S24" i="15"/>
  <c r="S300" i="15"/>
  <c r="O5" i="15"/>
  <c r="S75" i="15"/>
  <c r="O77" i="15"/>
  <c r="O180" i="15"/>
  <c r="O205" i="15"/>
  <c r="O279" i="15"/>
  <c r="S250" i="15"/>
  <c r="O189" i="15"/>
  <c r="O168" i="15"/>
  <c r="S235" i="15"/>
  <c r="O93" i="15"/>
  <c r="O16" i="15"/>
  <c r="O282" i="15"/>
  <c r="O94" i="15"/>
  <c r="S353" i="15"/>
  <c r="S199" i="15"/>
  <c r="S96" i="15"/>
  <c r="O365" i="15"/>
  <c r="S156" i="15"/>
  <c r="O125" i="15"/>
  <c r="O336" i="15"/>
  <c r="O209" i="15"/>
  <c r="O75" i="15"/>
  <c r="O323" i="15"/>
  <c r="S126" i="15"/>
  <c r="S175" i="15"/>
  <c r="S338" i="15"/>
  <c r="S154" i="15"/>
  <c r="S378" i="15"/>
  <c r="S297" i="15"/>
  <c r="S95" i="15"/>
  <c r="O154" i="15"/>
  <c r="S161" i="15"/>
  <c r="S206" i="15"/>
  <c r="S324" i="15"/>
  <c r="S98" i="15"/>
  <c r="O281" i="15"/>
  <c r="S10" i="15"/>
  <c r="O169" i="15"/>
  <c r="O62" i="15"/>
  <c r="S20" i="15"/>
  <c r="S162" i="15"/>
  <c r="O159" i="15"/>
  <c r="O232" i="15"/>
  <c r="O385" i="15"/>
  <c r="S184" i="15"/>
  <c r="S124" i="15"/>
  <c r="O46" i="15"/>
  <c r="S299" i="15"/>
  <c r="S13" i="15"/>
  <c r="O186" i="15"/>
  <c r="S226" i="15"/>
  <c r="O30" i="15"/>
  <c r="O59" i="15"/>
  <c r="S6" i="15"/>
  <c r="O100" i="15"/>
  <c r="S53" i="15"/>
  <c r="S263" i="15"/>
  <c r="S27" i="15"/>
  <c r="O349" i="15"/>
  <c r="S16" i="15"/>
  <c r="O387" i="15"/>
  <c r="S118" i="15"/>
  <c r="S362" i="15"/>
  <c r="S140" i="15"/>
  <c r="O346" i="15"/>
  <c r="O61" i="15"/>
  <c r="O80" i="15"/>
  <c r="S308" i="15"/>
  <c r="S164" i="15"/>
  <c r="O248" i="15"/>
  <c r="S249" i="15"/>
  <c r="O361" i="15"/>
  <c r="O306" i="15"/>
  <c r="O114" i="15"/>
  <c r="O348" i="15"/>
  <c r="O13" i="15"/>
  <c r="O373" i="15"/>
  <c r="O231" i="15"/>
  <c r="O222" i="15"/>
  <c r="S64" i="15"/>
  <c r="O105" i="15"/>
  <c r="O38" i="15"/>
  <c r="O215" i="15"/>
  <c r="O138" i="15"/>
  <c r="S283" i="15"/>
  <c r="O19" i="15"/>
  <c r="S355" i="15"/>
  <c r="S147" i="15"/>
  <c r="S342" i="15"/>
  <c r="S78" i="15"/>
  <c r="O327" i="15"/>
  <c r="O177" i="15"/>
  <c r="O31" i="15"/>
  <c r="O381" i="15"/>
  <c r="O97" i="15"/>
  <c r="S216" i="15"/>
  <c r="S56" i="15"/>
  <c r="S345" i="15"/>
  <c r="O377" i="15"/>
  <c r="O354" i="15"/>
  <c r="O52" i="15"/>
  <c r="O362" i="15"/>
  <c r="O115" i="15"/>
  <c r="O285" i="15"/>
  <c r="S14" i="15"/>
  <c r="O122" i="15"/>
  <c r="O234" i="15"/>
  <c r="S333" i="15"/>
  <c r="S74" i="15"/>
  <c r="S352" i="15"/>
  <c r="S253" i="15"/>
  <c r="O111" i="15"/>
  <c r="O206" i="15"/>
  <c r="S173" i="15"/>
  <c r="S248" i="15"/>
  <c r="S341" i="15"/>
  <c r="S168" i="15"/>
  <c r="O211" i="15"/>
  <c r="S211" i="15"/>
  <c r="O136" i="15"/>
  <c r="O23" i="15"/>
  <c r="O247" i="15"/>
  <c r="S182" i="15"/>
  <c r="S21" i="15"/>
  <c r="S332" i="15"/>
  <c r="O256" i="15"/>
  <c r="O162" i="15"/>
  <c r="S121" i="15"/>
  <c r="S242" i="15"/>
  <c r="S128" i="15"/>
  <c r="O176" i="15"/>
  <c r="O107" i="15"/>
  <c r="O175" i="15"/>
  <c r="S290" i="15"/>
  <c r="S9" i="15"/>
  <c r="O204" i="15"/>
  <c r="S77" i="15"/>
  <c r="S193" i="15"/>
  <c r="O191" i="15"/>
  <c r="S48" i="15"/>
  <c r="S256" i="15"/>
  <c r="S304" i="15"/>
  <c r="O14" i="15"/>
  <c r="S247" i="15"/>
  <c r="S267" i="15"/>
  <c r="O376" i="15"/>
  <c r="S358" i="15"/>
  <c r="O89" i="15"/>
  <c r="S79" i="15"/>
  <c r="O356" i="15"/>
  <c r="O313" i="15"/>
  <c r="S289" i="15"/>
  <c r="O87" i="15"/>
  <c r="S190" i="15"/>
  <c r="O378" i="15"/>
  <c r="S246" i="15"/>
  <c r="S138" i="15"/>
  <c r="S177" i="15"/>
  <c r="S91" i="15"/>
  <c r="O280" i="15"/>
  <c r="S103" i="15"/>
  <c r="O371" i="15"/>
  <c r="S350" i="15"/>
  <c r="O150" i="15"/>
  <c r="S94" i="15"/>
  <c r="S244" i="15"/>
  <c r="S296" i="15"/>
  <c r="O208" i="15"/>
  <c r="O165" i="15"/>
  <c r="S218" i="15"/>
  <c r="O151" i="15"/>
  <c r="S258" i="15"/>
  <c r="O21" i="15"/>
  <c r="O294" i="15"/>
  <c r="O243" i="15"/>
  <c r="O92" i="15"/>
  <c r="O214" i="15"/>
  <c r="O341" i="15"/>
  <c r="O304" i="15"/>
  <c r="O307" i="15"/>
  <c r="S277" i="15"/>
  <c r="S63" i="15"/>
  <c r="O227" i="15"/>
  <c r="S315" i="15"/>
  <c r="O235" i="15"/>
  <c r="O8" i="15"/>
  <c r="O129" i="15"/>
  <c r="S106" i="15"/>
  <c r="S259" i="15"/>
  <c r="S234" i="15"/>
  <c r="O58" i="15"/>
  <c r="O309" i="15"/>
  <c r="O185" i="15"/>
  <c r="S112" i="15"/>
  <c r="S368" i="15"/>
  <c r="O218" i="15"/>
  <c r="S117" i="15"/>
  <c r="S313" i="15"/>
  <c r="S26" i="15"/>
  <c r="O296" i="15"/>
  <c r="S219" i="15"/>
  <c r="S303" i="15"/>
  <c r="O230" i="15"/>
  <c r="O79" i="15"/>
  <c r="O322" i="15"/>
  <c r="S92" i="15"/>
  <c r="S306" i="15"/>
  <c r="O73" i="15"/>
  <c r="S127" i="15"/>
  <c r="S120" i="15"/>
  <c r="S312" i="15"/>
  <c r="O224" i="15"/>
  <c r="O131" i="15"/>
  <c r="S377" i="15"/>
  <c r="S273" i="15"/>
  <c r="S151" i="15"/>
  <c r="O268" i="15"/>
  <c r="S99" i="15"/>
  <c r="S325" i="15"/>
  <c r="O254" i="15"/>
  <c r="O146" i="15"/>
  <c r="S31" i="15"/>
  <c r="S287" i="15"/>
  <c r="S271" i="15"/>
  <c r="S360" i="15"/>
  <c r="S125" i="15"/>
  <c r="S142" i="15"/>
  <c r="O17" i="15"/>
  <c r="O102" i="15"/>
  <c r="O274" i="15"/>
  <c r="O60" i="15"/>
  <c r="O255" i="15"/>
  <c r="S337" i="15"/>
  <c r="S265" i="15"/>
  <c r="S281" i="15"/>
  <c r="O241" i="15"/>
  <c r="O375" i="15"/>
  <c r="S148" i="15"/>
  <c r="S131" i="15"/>
  <c r="O350" i="15"/>
  <c r="O303" i="15"/>
  <c r="S195" i="15"/>
  <c r="O192" i="15"/>
  <c r="O212" i="15"/>
  <c r="S85" i="15"/>
  <c r="O158" i="15"/>
  <c r="S108" i="15"/>
  <c r="S41" i="15"/>
  <c r="S276" i="15"/>
  <c r="O246" i="15"/>
  <c r="S383" i="15"/>
  <c r="S361" i="15"/>
  <c r="O291" i="15"/>
  <c r="O242" i="15"/>
  <c r="S376" i="15"/>
  <c r="O238" i="15"/>
  <c r="S123" i="15"/>
  <c r="O43" i="15"/>
  <c r="S286" i="15"/>
  <c r="O95" i="15"/>
  <c r="S107" i="15"/>
  <c r="S170" i="15"/>
  <c r="O15" i="15"/>
  <c r="S171" i="15"/>
  <c r="O213" i="15"/>
  <c r="S257" i="15"/>
  <c r="S321" i="15"/>
  <c r="S369" i="15"/>
  <c r="O203" i="15"/>
  <c r="S167" i="15"/>
  <c r="O197" i="15"/>
  <c r="O147" i="15"/>
  <c r="O269" i="15"/>
  <c r="S209" i="15"/>
  <c r="S172" i="15"/>
  <c r="S274" i="15"/>
  <c r="S68" i="15"/>
  <c r="O252" i="15"/>
  <c r="O91" i="15"/>
  <c r="O263" i="15"/>
  <c r="O99" i="15"/>
  <c r="O148" i="15"/>
  <c r="S364" i="15"/>
  <c r="O86" i="15"/>
  <c r="O220" i="15"/>
  <c r="S331" i="15"/>
  <c r="O137" i="15"/>
  <c r="S36" i="15"/>
  <c r="O228" i="15"/>
  <c r="O202" i="15"/>
  <c r="S292" i="15"/>
  <c r="O187" i="15"/>
  <c r="O382" i="15"/>
  <c r="S194" i="15"/>
  <c r="S375" i="15"/>
  <c r="O310" i="15"/>
  <c r="O260" i="15"/>
  <c r="S181" i="15"/>
  <c r="O353" i="15"/>
  <c r="O195" i="15"/>
  <c r="S371" i="15"/>
  <c r="S233" i="15"/>
  <c r="S359" i="15"/>
  <c r="O374" i="15"/>
  <c r="O355" i="15"/>
  <c r="O76" i="15"/>
  <c r="O368" i="15"/>
  <c r="S69" i="15"/>
  <c r="O123" i="15"/>
  <c r="O174" i="15"/>
  <c r="O117" i="15"/>
  <c r="O164" i="15"/>
  <c r="S282" i="15"/>
  <c r="O37" i="15"/>
  <c r="S87" i="15"/>
  <c r="O340" i="15"/>
  <c r="S54" i="15"/>
  <c r="S49" i="15"/>
  <c r="S165" i="15"/>
  <c r="S367" i="15"/>
  <c r="S205" i="15"/>
  <c r="S88" i="15"/>
  <c r="O329" i="15"/>
  <c r="S176" i="15"/>
  <c r="S329" i="15"/>
  <c r="O363" i="15"/>
  <c r="O249" i="15"/>
  <c r="O190" i="15"/>
  <c r="O85" i="15"/>
  <c r="O320" i="15"/>
  <c r="O328" i="15"/>
  <c r="O188" i="15"/>
  <c r="O229" i="15"/>
  <c r="S135" i="15"/>
  <c r="S90" i="15"/>
  <c r="O163" i="15"/>
  <c r="S238" i="15"/>
  <c r="O384" i="15"/>
  <c r="O64" i="15"/>
  <c r="O166" i="15"/>
  <c r="O36" i="15"/>
  <c r="O262" i="15"/>
  <c r="S19" i="15"/>
  <c r="O292" i="15"/>
  <c r="S72" i="15"/>
  <c r="S241" i="15"/>
  <c r="S268" i="15"/>
  <c r="S346" i="15"/>
  <c r="O345" i="15"/>
  <c r="O133" i="15"/>
  <c r="S317" i="15"/>
  <c r="S109" i="15"/>
  <c r="O121" i="15"/>
  <c r="S153" i="15"/>
  <c r="S197" i="15"/>
  <c r="O90" i="15"/>
  <c r="S80" i="15"/>
  <c r="S83" i="15"/>
  <c r="S251" i="15"/>
  <c r="S116" i="15"/>
  <c r="O233" i="15"/>
  <c r="S213" i="15"/>
  <c r="S243" i="15"/>
  <c r="S269" i="15"/>
  <c r="O334" i="15"/>
  <c r="O219" i="15"/>
  <c r="O113" i="15"/>
  <c r="S46" i="15"/>
  <c r="S309" i="15"/>
  <c r="O352" i="15"/>
  <c r="S319" i="15"/>
  <c r="S351" i="15"/>
  <c r="O6" i="15"/>
  <c r="S67" i="15"/>
  <c r="O342" i="15"/>
  <c r="O29" i="15"/>
  <c r="O47" i="15"/>
  <c r="S139" i="15"/>
  <c r="O335" i="15"/>
  <c r="O74" i="15"/>
  <c r="S264" i="15"/>
  <c r="O298" i="15"/>
  <c r="O326" i="15"/>
  <c r="O20" i="15"/>
  <c r="S178" i="15"/>
  <c r="S149" i="15"/>
  <c r="S146" i="15"/>
  <c r="S89" i="15"/>
  <c r="S40" i="15"/>
  <c r="S221" i="15"/>
  <c r="S32" i="15"/>
  <c r="S38" i="15"/>
  <c r="S356" i="15"/>
  <c r="O369" i="15"/>
  <c r="S200" i="15"/>
  <c r="O152" i="15"/>
  <c r="S59" i="15"/>
  <c r="S231" i="15"/>
  <c r="O88" i="15"/>
  <c r="S370" i="15"/>
  <c r="O319" i="15"/>
  <c r="S382" i="15"/>
  <c r="S29" i="15"/>
  <c r="O127" i="15"/>
  <c r="O318" i="15"/>
  <c r="O207" i="15"/>
  <c r="O65" i="15"/>
  <c r="O253" i="15"/>
  <c r="O48" i="15"/>
  <c r="S23" i="15"/>
  <c r="S347" i="15"/>
  <c r="S150" i="15"/>
  <c r="S301" i="15"/>
  <c r="O67" i="15"/>
  <c r="O69" i="15"/>
  <c r="S339" i="15"/>
  <c r="S152" i="15"/>
  <c r="S279" i="15"/>
  <c r="O221" i="15"/>
  <c r="O141" i="15"/>
  <c r="S202" i="15"/>
  <c r="O49" i="15"/>
  <c r="O293" i="15"/>
  <c r="S183" i="15"/>
  <c r="S97" i="15"/>
  <c r="S111" i="15"/>
  <c r="P607" i="13"/>
  <c r="P605" i="13"/>
  <c r="P603" i="13"/>
  <c r="T601" i="13"/>
  <c r="T599" i="13"/>
  <c r="T597" i="13"/>
  <c r="T595" i="13"/>
  <c r="T593" i="13"/>
  <c r="P591" i="13"/>
  <c r="P589" i="13"/>
  <c r="P587" i="13"/>
  <c r="T585" i="13"/>
  <c r="T583" i="13"/>
  <c r="T581" i="13"/>
  <c r="T579" i="13"/>
  <c r="P577" i="13"/>
  <c r="T575" i="13"/>
  <c r="P573" i="13"/>
  <c r="P571" i="13"/>
  <c r="T569" i="13"/>
  <c r="T567" i="13"/>
  <c r="T565" i="13"/>
  <c r="P563" i="13"/>
  <c r="T561" i="13"/>
  <c r="T559" i="13"/>
  <c r="P557" i="13"/>
  <c r="P555" i="13"/>
  <c r="P553" i="13"/>
  <c r="P551" i="13"/>
  <c r="T549" i="13"/>
  <c r="T547" i="13"/>
  <c r="T545" i="13"/>
  <c r="P543" i="13"/>
  <c r="T541" i="13"/>
  <c r="T539" i="13"/>
  <c r="P537" i="13"/>
  <c r="T535" i="13"/>
  <c r="T533" i="13"/>
  <c r="P531" i="13"/>
  <c r="P529" i="13"/>
  <c r="T527" i="13"/>
  <c r="P525" i="13"/>
  <c r="T523" i="13"/>
  <c r="T521" i="13"/>
  <c r="T519" i="13"/>
  <c r="T517" i="13"/>
  <c r="P515" i="13"/>
  <c r="P513" i="13"/>
  <c r="T511" i="13"/>
  <c r="T509" i="13"/>
  <c r="T507" i="13"/>
  <c r="P505" i="13"/>
  <c r="T503" i="13"/>
  <c r="P501" i="13"/>
  <c r="P499" i="13"/>
  <c r="T497" i="13"/>
  <c r="T495" i="13"/>
  <c r="T493" i="13"/>
  <c r="T491" i="13"/>
  <c r="P489" i="13"/>
  <c r="T487" i="13"/>
  <c r="T485" i="13"/>
  <c r="T483" i="13"/>
  <c r="T481" i="13"/>
  <c r="T479" i="13"/>
  <c r="T477" i="13"/>
  <c r="T475" i="13"/>
  <c r="P473" i="13"/>
  <c r="P471" i="13"/>
  <c r="P469" i="13"/>
  <c r="T467" i="13"/>
  <c r="T465" i="13"/>
  <c r="T463" i="13"/>
  <c r="P461" i="13"/>
  <c r="P459" i="13"/>
  <c r="P457" i="13"/>
  <c r="T455" i="13"/>
  <c r="P453" i="13"/>
  <c r="T451" i="13"/>
  <c r="T449" i="13"/>
  <c r="P447" i="13"/>
  <c r="T445" i="13"/>
  <c r="P443" i="13"/>
  <c r="P441" i="13"/>
  <c r="T439" i="13"/>
  <c r="P437" i="13"/>
  <c r="T435" i="13"/>
  <c r="T433" i="13"/>
  <c r="P431" i="13"/>
  <c r="P429" i="13"/>
  <c r="P427" i="13"/>
  <c r="P425" i="13"/>
  <c r="P423" i="13"/>
  <c r="T421" i="13"/>
  <c r="T419" i="13"/>
  <c r="P417" i="13"/>
  <c r="P415" i="13"/>
  <c r="P413" i="13"/>
  <c r="T411" i="13"/>
  <c r="T409" i="13"/>
  <c r="P407" i="13"/>
  <c r="T405" i="13"/>
  <c r="T403" i="13"/>
  <c r="P401" i="13"/>
  <c r="T399" i="13"/>
  <c r="T397" i="13"/>
  <c r="T395" i="13"/>
  <c r="P393" i="13"/>
  <c r="P391" i="13"/>
  <c r="P389" i="13"/>
  <c r="T387" i="13"/>
  <c r="T385" i="13"/>
  <c r="T383" i="13"/>
  <c r="P381" i="13"/>
  <c r="T379" i="13"/>
  <c r="T377" i="13"/>
  <c r="T375" i="13"/>
  <c r="T373" i="13"/>
  <c r="P371" i="13"/>
  <c r="T369" i="13"/>
  <c r="P367" i="13"/>
  <c r="T365" i="13"/>
  <c r="P363" i="13"/>
  <c r="T361" i="13"/>
  <c r="T359" i="13"/>
  <c r="P357" i="13"/>
  <c r="T355" i="13"/>
  <c r="P353" i="13"/>
  <c r="P351" i="13"/>
  <c r="P349" i="13"/>
  <c r="P347" i="13"/>
  <c r="P345" i="13"/>
  <c r="P343" i="13"/>
  <c r="T341" i="13"/>
  <c r="P339" i="13"/>
  <c r="P337" i="13"/>
  <c r="T335" i="13"/>
  <c r="T333" i="13"/>
  <c r="T331" i="13"/>
  <c r="T329" i="13"/>
  <c r="P327" i="13"/>
  <c r="P325" i="13"/>
  <c r="T323" i="13"/>
  <c r="T321" i="13"/>
  <c r="T319" i="13"/>
  <c r="T317" i="13"/>
  <c r="T315" i="13"/>
  <c r="P313" i="13"/>
  <c r="T311" i="13"/>
  <c r="T309" i="13"/>
  <c r="P307" i="13"/>
  <c r="P305" i="13"/>
  <c r="T303" i="13"/>
  <c r="T301" i="13"/>
  <c r="T299" i="13"/>
  <c r="P297" i="13"/>
  <c r="P295" i="13"/>
  <c r="P293" i="13"/>
  <c r="P291" i="13"/>
  <c r="T289" i="13"/>
  <c r="P287" i="13"/>
  <c r="P285" i="13"/>
  <c r="P283" i="13"/>
  <c r="T281" i="13"/>
  <c r="P279" i="13"/>
  <c r="T277" i="13"/>
  <c r="T275" i="13"/>
  <c r="T273" i="13"/>
  <c r="P271" i="13"/>
  <c r="P269" i="13"/>
  <c r="T267" i="13"/>
  <c r="P265" i="13"/>
  <c r="P263" i="13"/>
  <c r="P261" i="13"/>
  <c r="P259" i="13"/>
  <c r="P257" i="13"/>
  <c r="P255" i="13"/>
  <c r="T253" i="13"/>
  <c r="T251" i="13"/>
  <c r="P249" i="13"/>
  <c r="P247" i="13"/>
  <c r="P245" i="13"/>
  <c r="T243" i="13"/>
  <c r="T241" i="13"/>
  <c r="T239" i="13"/>
  <c r="P237" i="13"/>
  <c r="T235" i="13"/>
  <c r="P233" i="13"/>
  <c r="T231" i="13"/>
  <c r="P229" i="13"/>
  <c r="T227" i="13"/>
  <c r="T225" i="13"/>
  <c r="P223" i="13"/>
  <c r="T221" i="13"/>
  <c r="T219" i="13"/>
  <c r="P217" i="13"/>
  <c r="T215" i="13"/>
  <c r="T213" i="13"/>
  <c r="T211" i="13"/>
  <c r="P209" i="13"/>
  <c r="T207" i="13"/>
  <c r="P205" i="13"/>
  <c r="T203" i="13"/>
  <c r="P201" i="13"/>
  <c r="P199" i="13"/>
  <c r="P197" i="13"/>
  <c r="P195" i="13"/>
  <c r="P193" i="13"/>
  <c r="P191" i="13"/>
  <c r="P189" i="13"/>
  <c r="T187" i="13"/>
  <c r="T185" i="13"/>
  <c r="P183" i="13"/>
  <c r="T181" i="13"/>
  <c r="P179" i="13"/>
  <c r="T177" i="13"/>
  <c r="T175" i="13"/>
  <c r="P173" i="13"/>
  <c r="T171" i="13"/>
  <c r="P169" i="13"/>
  <c r="T167" i="13"/>
  <c r="P165" i="13"/>
  <c r="P163" i="13"/>
  <c r="T161" i="13"/>
  <c r="O258" i="15"/>
  <c r="S8" i="15"/>
  <c r="O167" i="15"/>
  <c r="S381" i="15"/>
  <c r="S311" i="15"/>
  <c r="O26" i="15"/>
  <c r="S357" i="15"/>
  <c r="O56" i="15"/>
  <c r="O134" i="15"/>
  <c r="O358" i="15"/>
  <c r="S207" i="15"/>
  <c r="S15" i="15"/>
  <c r="S236" i="15"/>
  <c r="O142" i="15"/>
  <c r="S58" i="15"/>
  <c r="O343" i="15"/>
  <c r="O193" i="15"/>
  <c r="S227" i="15"/>
  <c r="S343" i="15"/>
  <c r="O330" i="15"/>
  <c r="O126" i="15"/>
  <c r="S220" i="15"/>
  <c r="S349" i="15"/>
  <c r="O27" i="15"/>
  <c r="O360" i="15"/>
  <c r="O295" i="15"/>
  <c r="S100" i="15"/>
  <c r="O226" i="15"/>
  <c r="O108" i="15"/>
  <c r="O81" i="15"/>
  <c r="T608" i="13"/>
  <c r="T606" i="13"/>
  <c r="P604" i="13"/>
  <c r="T602" i="13"/>
  <c r="T600" i="13"/>
  <c r="P598" i="13"/>
  <c r="P596" i="13"/>
  <c r="T594" i="13"/>
  <c r="P592" i="13"/>
  <c r="T590" i="13"/>
  <c r="T588" i="13"/>
  <c r="P586" i="13"/>
  <c r="T584" i="13"/>
  <c r="T582" i="13"/>
  <c r="P580" i="13"/>
  <c r="P578" i="13"/>
  <c r="P576" i="13"/>
  <c r="P574" i="13"/>
  <c r="T572" i="13"/>
  <c r="T570" i="13"/>
  <c r="T568" i="13"/>
  <c r="P566" i="13"/>
  <c r="P564" i="13"/>
  <c r="T562" i="13"/>
  <c r="T560" i="13"/>
  <c r="T558" i="13"/>
  <c r="T556" i="13"/>
  <c r="T554" i="13"/>
  <c r="P552" i="13"/>
  <c r="P550" i="13"/>
  <c r="P548" i="13"/>
  <c r="T546" i="13"/>
  <c r="T544" i="13"/>
  <c r="T542" i="13"/>
  <c r="P540" i="13"/>
  <c r="T538" i="13"/>
  <c r="P536" i="13"/>
  <c r="P534" i="13"/>
  <c r="P532" i="13"/>
  <c r="P530" i="13"/>
  <c r="P528" i="13"/>
  <c r="P526" i="13"/>
  <c r="T524" i="13"/>
  <c r="T522" i="13"/>
  <c r="T520" i="13"/>
  <c r="P518" i="13"/>
  <c r="P516" i="13"/>
  <c r="T514" i="13"/>
  <c r="T512" i="13"/>
  <c r="T510" i="13"/>
  <c r="P508" i="13"/>
  <c r="T506" i="13"/>
  <c r="P504" i="13"/>
  <c r="T502" i="13"/>
  <c r="T500" i="13"/>
  <c r="P498" i="13"/>
  <c r="T496" i="13"/>
  <c r="T494" i="13"/>
  <c r="P492" i="13"/>
  <c r="P490" i="13"/>
  <c r="T488" i="13"/>
  <c r="P486" i="13"/>
  <c r="T484" i="13"/>
  <c r="T482" i="13"/>
  <c r="P480" i="13"/>
  <c r="T478" i="13"/>
  <c r="T476" i="13"/>
  <c r="T474" i="13"/>
  <c r="P472" i="13"/>
  <c r="P470" i="13"/>
  <c r="P468" i="13"/>
  <c r="P466" i="13"/>
  <c r="P464" i="13"/>
  <c r="T462" i="13"/>
  <c r="T460" i="13"/>
  <c r="T458" i="13"/>
  <c r="P456" i="13"/>
  <c r="P454" i="13"/>
  <c r="P452" i="13"/>
  <c r="T450" i="13"/>
  <c r="T448" i="13"/>
  <c r="P446" i="13"/>
  <c r="P444" i="13"/>
  <c r="T442" i="13"/>
  <c r="P440" i="13"/>
  <c r="T438" i="13"/>
  <c r="P436" i="13"/>
  <c r="T434" i="13"/>
  <c r="T432" i="13"/>
  <c r="P430" i="13"/>
  <c r="T428" i="13"/>
  <c r="T426" i="13"/>
  <c r="P424" i="13"/>
  <c r="T422" i="13"/>
  <c r="P420" i="13"/>
  <c r="T418" i="13"/>
  <c r="T416" i="13"/>
  <c r="T414" i="13"/>
  <c r="T412" i="13"/>
  <c r="T410" i="13"/>
  <c r="T408" i="13"/>
  <c r="T406" i="13"/>
  <c r="T404" i="13"/>
  <c r="P402" i="13"/>
  <c r="P400" i="13"/>
  <c r="P398" i="13"/>
  <c r="T396" i="13"/>
  <c r="P394" i="13"/>
  <c r="T392" i="13"/>
  <c r="T390" i="13"/>
  <c r="T388" i="13"/>
  <c r="P386" i="13"/>
  <c r="P384" i="13"/>
  <c r="T382" i="13"/>
  <c r="T380" i="13"/>
  <c r="T378" i="13"/>
  <c r="T376" i="13"/>
  <c r="T374" i="13"/>
  <c r="T372" i="13"/>
  <c r="T370" i="13"/>
  <c r="T368" i="13"/>
  <c r="T366" i="13"/>
  <c r="T364" i="13"/>
  <c r="T362" i="13"/>
  <c r="T360" i="13"/>
  <c r="P358" i="13"/>
  <c r="T356" i="13"/>
  <c r="P354" i="13"/>
  <c r="T352" i="13"/>
  <c r="P350" i="13"/>
  <c r="P348" i="13"/>
  <c r="T346" i="13"/>
  <c r="T344" i="13"/>
  <c r="P342" i="13"/>
  <c r="T340" i="13"/>
  <c r="T338" i="13"/>
  <c r="T336" i="13"/>
  <c r="P334" i="13"/>
  <c r="T332" i="13"/>
  <c r="P330" i="13"/>
  <c r="T328" i="13"/>
  <c r="T326" i="13"/>
  <c r="T324" i="13"/>
  <c r="P322" i="13"/>
  <c r="P320" i="13"/>
  <c r="P318" i="13"/>
  <c r="P316" i="13"/>
  <c r="P314" i="13"/>
  <c r="T312" i="13"/>
  <c r="P310" i="13"/>
  <c r="P308" i="13"/>
  <c r="T306" i="13"/>
  <c r="P304" i="13"/>
  <c r="P302" i="13"/>
  <c r="P300" i="13"/>
  <c r="T298" i="13"/>
  <c r="T296" i="13"/>
  <c r="T294" i="13"/>
  <c r="P292" i="13"/>
  <c r="P290" i="13"/>
  <c r="T288" i="13"/>
  <c r="P286" i="13"/>
  <c r="T284" i="13"/>
  <c r="P282" i="13"/>
  <c r="T280" i="13"/>
  <c r="T278" i="13"/>
  <c r="P276" i="13"/>
  <c r="T274" i="13"/>
  <c r="T272" i="13"/>
  <c r="P270" i="13"/>
  <c r="P268" i="13"/>
  <c r="P266" i="13"/>
  <c r="T264" i="13"/>
  <c r="T262" i="13"/>
  <c r="P260" i="13"/>
  <c r="P258" i="13"/>
  <c r="T256" i="13"/>
  <c r="P254" i="13"/>
  <c r="T252" i="13"/>
  <c r="P250" i="13"/>
  <c r="T248" i="13"/>
  <c r="T246" i="13"/>
  <c r="T244" i="13"/>
  <c r="T242" i="13"/>
  <c r="T240" i="13"/>
  <c r="T238" i="13"/>
  <c r="P236" i="13"/>
  <c r="P234" i="13"/>
  <c r="P232" i="13"/>
  <c r="T230" i="13"/>
  <c r="T228" i="13"/>
  <c r="T226" i="13"/>
  <c r="T224" i="13"/>
  <c r="T222" i="13"/>
  <c r="T220" i="13"/>
  <c r="P218" i="13"/>
  <c r="P216" i="13"/>
  <c r="T214" i="13"/>
  <c r="P212" i="13"/>
  <c r="T210" i="13"/>
  <c r="T208" i="13"/>
  <c r="O210" i="15"/>
  <c r="S143" i="15"/>
  <c r="S160" i="15"/>
  <c r="S255" i="15"/>
  <c r="O325" i="15"/>
  <c r="O347" i="15"/>
  <c r="O184" i="15"/>
  <c r="S76" i="15"/>
  <c r="O331" i="15"/>
  <c r="O270" i="15"/>
  <c r="O144" i="15"/>
  <c r="S51" i="15"/>
  <c r="O104" i="15"/>
  <c r="O182" i="15"/>
  <c r="S354" i="15"/>
  <c r="S158" i="15"/>
  <c r="S114" i="15"/>
  <c r="O24" i="15"/>
  <c r="S65" i="15"/>
  <c r="S144" i="15"/>
  <c r="S5" i="15"/>
  <c r="S12" i="15"/>
  <c r="O315" i="15"/>
  <c r="O124" i="15"/>
  <c r="O78" i="15"/>
  <c r="S387" i="15"/>
  <c r="S305" i="15"/>
  <c r="O339" i="15"/>
  <c r="O277" i="15"/>
  <c r="S198" i="15"/>
  <c r="P608" i="13"/>
  <c r="P606" i="13"/>
  <c r="T604" i="13"/>
  <c r="P602" i="13"/>
  <c r="P600" i="13"/>
  <c r="T598" i="13"/>
  <c r="T596" i="13"/>
  <c r="P594" i="13"/>
  <c r="T592" i="13"/>
  <c r="P590" i="13"/>
  <c r="P588" i="13"/>
  <c r="T586" i="13"/>
  <c r="P584" i="13"/>
  <c r="P582" i="13"/>
  <c r="T580" i="13"/>
  <c r="T578" i="13"/>
  <c r="T576" i="13"/>
  <c r="T574" i="13"/>
  <c r="P572" i="13"/>
  <c r="P570" i="13"/>
  <c r="P568" i="13"/>
  <c r="T566" i="13"/>
  <c r="T564" i="13"/>
  <c r="P562" i="13"/>
  <c r="P560" i="13"/>
  <c r="P558" i="13"/>
  <c r="P556" i="13"/>
  <c r="P554" i="13"/>
  <c r="T552" i="13"/>
  <c r="T550" i="13"/>
  <c r="T548" i="13"/>
  <c r="P546" i="13"/>
  <c r="P544" i="13"/>
  <c r="P542" i="13"/>
  <c r="T540" i="13"/>
  <c r="P538" i="13"/>
  <c r="T536" i="13"/>
  <c r="T534" i="13"/>
  <c r="T532" i="13"/>
  <c r="T530" i="13"/>
  <c r="T528" i="13"/>
  <c r="T526" i="13"/>
  <c r="P524" i="13"/>
  <c r="P522" i="13"/>
  <c r="P520" i="13"/>
  <c r="T518" i="13"/>
  <c r="T516" i="13"/>
  <c r="P514" i="13"/>
  <c r="P512" i="13"/>
  <c r="P510" i="13"/>
  <c r="T508" i="13"/>
  <c r="P506" i="13"/>
  <c r="T504" i="13"/>
  <c r="P502" i="13"/>
  <c r="P500" i="13"/>
  <c r="T498" i="13"/>
  <c r="P496" i="13"/>
  <c r="P494" i="13"/>
  <c r="T492" i="13"/>
  <c r="T490" i="13"/>
  <c r="P488" i="13"/>
  <c r="T486" i="13"/>
  <c r="P484" i="13"/>
  <c r="P482" i="13"/>
  <c r="T480" i="13"/>
  <c r="P478" i="13"/>
  <c r="P476" i="13"/>
  <c r="P474" i="13"/>
  <c r="T472" i="13"/>
  <c r="T470" i="13"/>
  <c r="T468" i="13"/>
  <c r="T466" i="13"/>
  <c r="T464" i="13"/>
  <c r="P462" i="13"/>
  <c r="P460" i="13"/>
  <c r="P458" i="13"/>
  <c r="T456" i="13"/>
  <c r="T454" i="13"/>
  <c r="T452" i="13"/>
  <c r="P450" i="13"/>
  <c r="P448" i="13"/>
  <c r="T446" i="13"/>
  <c r="T444" i="13"/>
  <c r="P442" i="13"/>
  <c r="T440" i="13"/>
  <c r="P438" i="13"/>
  <c r="T436" i="13"/>
  <c r="P434" i="13"/>
  <c r="P432" i="13"/>
  <c r="T430" i="13"/>
  <c r="P428" i="13"/>
  <c r="P426" i="13"/>
  <c r="T424" i="13"/>
  <c r="P422" i="13"/>
  <c r="T420" i="13"/>
  <c r="P418" i="13"/>
  <c r="P416" i="13"/>
  <c r="P414" i="13"/>
  <c r="P412" i="13"/>
  <c r="P410" i="13"/>
  <c r="P408" i="13"/>
  <c r="P406" i="13"/>
  <c r="P404" i="13"/>
  <c r="T402" i="13"/>
  <c r="T400" i="13"/>
  <c r="T398" i="13"/>
  <c r="P396" i="13"/>
  <c r="T394" i="13"/>
  <c r="P392" i="13"/>
  <c r="P390" i="13"/>
  <c r="P388" i="13"/>
  <c r="T386" i="13"/>
  <c r="T384" i="13"/>
  <c r="P382" i="13"/>
  <c r="P380" i="13"/>
  <c r="P378" i="13"/>
  <c r="P376" i="13"/>
  <c r="P374" i="13"/>
  <c r="P372" i="13"/>
  <c r="P370" i="13"/>
  <c r="P368" i="13"/>
  <c r="P366" i="13"/>
  <c r="P364" i="13"/>
  <c r="P362" i="13"/>
  <c r="P360" i="13"/>
  <c r="T358" i="13"/>
  <c r="P356" i="13"/>
  <c r="T354" i="13"/>
  <c r="P352" i="13"/>
  <c r="T350" i="13"/>
  <c r="T348" i="13"/>
  <c r="P346" i="13"/>
  <c r="P344" i="13"/>
  <c r="T342" i="13"/>
  <c r="P340" i="13"/>
  <c r="P338" i="13"/>
  <c r="P336" i="13"/>
  <c r="T334" i="13"/>
  <c r="P332" i="13"/>
  <c r="T330" i="13"/>
  <c r="P328" i="13"/>
  <c r="P326" i="13"/>
  <c r="P324" i="13"/>
  <c r="T322" i="13"/>
  <c r="T320" i="13"/>
  <c r="T318" i="13"/>
  <c r="T316" i="13"/>
  <c r="T314" i="13"/>
  <c r="P312" i="13"/>
  <c r="T310" i="13"/>
  <c r="T308" i="13"/>
  <c r="P306" i="13"/>
  <c r="T304" i="13"/>
  <c r="T302" i="13"/>
  <c r="T300" i="13"/>
  <c r="P298" i="13"/>
  <c r="P296" i="13"/>
  <c r="P294" i="13"/>
  <c r="T292" i="13"/>
  <c r="T290" i="13"/>
  <c r="P288" i="13"/>
  <c r="T286" i="13"/>
  <c r="P284" i="13"/>
  <c r="T282" i="13"/>
  <c r="P280" i="13"/>
  <c r="P278" i="13"/>
  <c r="T276" i="13"/>
  <c r="P274" i="13"/>
  <c r="P272" i="13"/>
  <c r="T270" i="13"/>
  <c r="T268" i="13"/>
  <c r="T266" i="13"/>
  <c r="P264" i="13"/>
  <c r="P262" i="13"/>
  <c r="T260" i="13"/>
  <c r="T258" i="13"/>
  <c r="P256" i="13"/>
  <c r="T254" i="13"/>
  <c r="P252" i="13"/>
  <c r="T250" i="13"/>
  <c r="P248" i="13"/>
  <c r="P246" i="13"/>
  <c r="P244" i="13"/>
  <c r="P242" i="13"/>
  <c r="P240" i="13"/>
  <c r="P238" i="13"/>
  <c r="T236" i="13"/>
  <c r="T234" i="13"/>
  <c r="T232" i="13"/>
  <c r="P230" i="13"/>
  <c r="P228" i="13"/>
  <c r="P226" i="13"/>
  <c r="P224" i="13"/>
  <c r="P222" i="13"/>
  <c r="P220" i="13"/>
  <c r="T218" i="13"/>
  <c r="T216" i="13"/>
  <c r="P214" i="13"/>
  <c r="T212" i="13"/>
  <c r="P210" i="13"/>
  <c r="P208" i="13"/>
  <c r="T206" i="13"/>
  <c r="P204" i="13"/>
  <c r="P202" i="13"/>
  <c r="T200" i="13"/>
  <c r="T198" i="13"/>
  <c r="P196" i="13"/>
  <c r="P194" i="13"/>
  <c r="P192" i="13"/>
  <c r="T190" i="13"/>
  <c r="T188" i="13"/>
  <c r="P186" i="13"/>
  <c r="T184" i="13"/>
  <c r="P182" i="13"/>
  <c r="P180" i="13"/>
  <c r="P178" i="13"/>
  <c r="T176" i="13"/>
  <c r="T174" i="13"/>
  <c r="T172" i="13"/>
  <c r="P170" i="13"/>
  <c r="P168" i="13"/>
  <c r="T166" i="13"/>
  <c r="O112" i="15"/>
  <c r="S232" i="15"/>
  <c r="S119" i="15"/>
  <c r="S35" i="15"/>
  <c r="S7" i="15"/>
  <c r="O96" i="15"/>
  <c r="O267" i="15"/>
  <c r="O45" i="15"/>
  <c r="O68" i="15"/>
  <c r="O132" i="15"/>
  <c r="S217" i="15"/>
  <c r="S275" i="15"/>
  <c r="O70" i="15"/>
  <c r="O259" i="15"/>
  <c r="O9" i="15"/>
  <c r="O244" i="15"/>
  <c r="O316" i="15"/>
  <c r="O216" i="15"/>
  <c r="O312" i="15"/>
  <c r="S113" i="15"/>
  <c r="S230" i="15"/>
  <c r="S180" i="15"/>
  <c r="S115" i="15"/>
  <c r="O264" i="15"/>
  <c r="O183" i="15"/>
  <c r="S374" i="15"/>
  <c r="S141" i="15"/>
  <c r="S266" i="15"/>
  <c r="O181" i="15"/>
  <c r="S196" i="15"/>
  <c r="T607" i="13"/>
  <c r="T605" i="13"/>
  <c r="T603" i="13"/>
  <c r="P601" i="13"/>
  <c r="P599" i="13"/>
  <c r="P597" i="13"/>
  <c r="P595" i="13"/>
  <c r="P593" i="13"/>
  <c r="T591" i="13"/>
  <c r="T589" i="13"/>
  <c r="T587" i="13"/>
  <c r="P585" i="13"/>
  <c r="P583" i="13"/>
  <c r="P581" i="13"/>
  <c r="P579" i="13"/>
  <c r="T577" i="13"/>
  <c r="P575" i="13"/>
  <c r="T573" i="13"/>
  <c r="T571" i="13"/>
  <c r="P569" i="13"/>
  <c r="P567" i="13"/>
  <c r="P565" i="13"/>
  <c r="T563" i="13"/>
  <c r="P561" i="13"/>
  <c r="P559" i="13"/>
  <c r="T557" i="13"/>
  <c r="T555" i="13"/>
  <c r="T553" i="13"/>
  <c r="T551" i="13"/>
  <c r="P549" i="13"/>
  <c r="P547" i="13"/>
  <c r="P545" i="13"/>
  <c r="T543" i="13"/>
  <c r="P541" i="13"/>
  <c r="P539" i="13"/>
  <c r="T537" i="13"/>
  <c r="P535" i="13"/>
  <c r="P533" i="13"/>
  <c r="T531" i="13"/>
  <c r="T529" i="13"/>
  <c r="P527" i="13"/>
  <c r="T525" i="13"/>
  <c r="P523" i="13"/>
  <c r="P521" i="13"/>
  <c r="P519" i="13"/>
  <c r="P517" i="13"/>
  <c r="T515" i="13"/>
  <c r="T513" i="13"/>
  <c r="P511" i="13"/>
  <c r="P509" i="13"/>
  <c r="P507" i="13"/>
  <c r="T505" i="13"/>
  <c r="P503" i="13"/>
  <c r="T501" i="13"/>
  <c r="T499" i="13"/>
  <c r="P497" i="13"/>
  <c r="P495" i="13"/>
  <c r="P493" i="13"/>
  <c r="P491" i="13"/>
  <c r="T489" i="13"/>
  <c r="P487" i="13"/>
  <c r="P485" i="13"/>
  <c r="P483" i="13"/>
  <c r="P481" i="13"/>
  <c r="P479" i="13"/>
  <c r="P477" i="13"/>
  <c r="P475" i="13"/>
  <c r="T473" i="13"/>
  <c r="T471" i="13"/>
  <c r="T469" i="13"/>
  <c r="P467" i="13"/>
  <c r="P465" i="13"/>
  <c r="P463" i="13"/>
  <c r="T461" i="13"/>
  <c r="T459" i="13"/>
  <c r="T457" i="13"/>
  <c r="P455" i="13"/>
  <c r="T453" i="13"/>
  <c r="P451" i="13"/>
  <c r="P449" i="13"/>
  <c r="T447" i="13"/>
  <c r="P445" i="13"/>
  <c r="T443" i="13"/>
  <c r="T441" i="13"/>
  <c r="P439" i="13"/>
  <c r="T437" i="13"/>
  <c r="P435" i="13"/>
  <c r="P433" i="13"/>
  <c r="T431" i="13"/>
  <c r="T429" i="13"/>
  <c r="T427" i="13"/>
  <c r="T425" i="13"/>
  <c r="T423" i="13"/>
  <c r="P421" i="13"/>
  <c r="P419" i="13"/>
  <c r="T417" i="13"/>
  <c r="T415" i="13"/>
  <c r="T413" i="13"/>
  <c r="P411" i="13"/>
  <c r="P409" i="13"/>
  <c r="T407" i="13"/>
  <c r="P405" i="13"/>
  <c r="P403" i="13"/>
  <c r="T401" i="13"/>
  <c r="P399" i="13"/>
  <c r="P397" i="13"/>
  <c r="P395" i="13"/>
  <c r="T393" i="13"/>
  <c r="T391" i="13"/>
  <c r="T389" i="13"/>
  <c r="P387" i="13"/>
  <c r="P385" i="13"/>
  <c r="P383" i="13"/>
  <c r="T381" i="13"/>
  <c r="P379" i="13"/>
  <c r="P377" i="13"/>
  <c r="P375" i="13"/>
  <c r="P373" i="13"/>
  <c r="T371" i="13"/>
  <c r="P369" i="13"/>
  <c r="T367" i="13"/>
  <c r="P365" i="13"/>
  <c r="T363" i="13"/>
  <c r="P361" i="13"/>
  <c r="P359" i="13"/>
  <c r="T357" i="13"/>
  <c r="P355" i="13"/>
  <c r="T353" i="13"/>
  <c r="T351" i="13"/>
  <c r="T349" i="13"/>
  <c r="T347" i="13"/>
  <c r="T345" i="13"/>
  <c r="T343" i="13"/>
  <c r="P341" i="13"/>
  <c r="T339" i="13"/>
  <c r="T337" i="13"/>
  <c r="P335" i="13"/>
  <c r="P333" i="13"/>
  <c r="P331" i="13"/>
  <c r="P329" i="13"/>
  <c r="T327" i="13"/>
  <c r="T325" i="13"/>
  <c r="P323" i="13"/>
  <c r="P321" i="13"/>
  <c r="P319" i="13"/>
  <c r="P317" i="13"/>
  <c r="P315" i="13"/>
  <c r="T313" i="13"/>
  <c r="P311" i="13"/>
  <c r="P309" i="13"/>
  <c r="T307" i="13"/>
  <c r="T305" i="13"/>
  <c r="P303" i="13"/>
  <c r="P301" i="13"/>
  <c r="P299" i="13"/>
  <c r="T297" i="13"/>
  <c r="T295" i="13"/>
  <c r="T293" i="13"/>
  <c r="T291" i="13"/>
  <c r="P289" i="13"/>
  <c r="T287" i="13"/>
  <c r="T285" i="13"/>
  <c r="T283" i="13"/>
  <c r="P281" i="13"/>
  <c r="T279" i="13"/>
  <c r="P277" i="13"/>
  <c r="P275" i="13"/>
  <c r="P273" i="13"/>
  <c r="T271" i="13"/>
  <c r="T269" i="13"/>
  <c r="P267" i="13"/>
  <c r="T265" i="13"/>
  <c r="T263" i="13"/>
  <c r="T261" i="13"/>
  <c r="T259" i="13"/>
  <c r="T257" i="13"/>
  <c r="T255" i="13"/>
  <c r="P253" i="13"/>
  <c r="P251" i="13"/>
  <c r="T249" i="13"/>
  <c r="T247" i="13"/>
  <c r="T245" i="13"/>
  <c r="P243" i="13"/>
  <c r="P241" i="13"/>
  <c r="P239" i="13"/>
  <c r="T237" i="13"/>
  <c r="P235" i="13"/>
  <c r="T233" i="13"/>
  <c r="P231" i="13"/>
  <c r="T229" i="13"/>
  <c r="P227" i="13"/>
  <c r="P225" i="13"/>
  <c r="T223" i="13"/>
  <c r="P221" i="13"/>
  <c r="P219" i="13"/>
  <c r="T217" i="13"/>
  <c r="P215" i="13"/>
  <c r="P213" i="13"/>
  <c r="P211" i="13"/>
  <c r="T209" i="13"/>
  <c r="P207" i="13"/>
  <c r="T205" i="13"/>
  <c r="P203" i="13"/>
  <c r="T201" i="13"/>
  <c r="T199" i="13"/>
  <c r="T197" i="13"/>
  <c r="T195" i="13"/>
  <c r="T193" i="13"/>
  <c r="T191" i="13"/>
  <c r="T189" i="13"/>
  <c r="P187" i="13"/>
  <c r="P185" i="13"/>
  <c r="T183" i="13"/>
  <c r="P181" i="13"/>
  <c r="T179" i="13"/>
  <c r="P177" i="13"/>
  <c r="P175" i="13"/>
  <c r="T173" i="13"/>
  <c r="P171" i="13"/>
  <c r="T169" i="13"/>
  <c r="P167" i="13"/>
  <c r="T165" i="13"/>
  <c r="T163" i="13"/>
  <c r="P206" i="13"/>
  <c r="P198" i="13"/>
  <c r="P190" i="13"/>
  <c r="T182" i="13"/>
  <c r="P174" i="13"/>
  <c r="P166" i="13"/>
  <c r="T162" i="13"/>
  <c r="T159" i="13"/>
  <c r="T157" i="13"/>
  <c r="P155" i="13"/>
  <c r="T153" i="13"/>
  <c r="P151" i="13"/>
  <c r="P149" i="13"/>
  <c r="T147" i="13"/>
  <c r="P145" i="13"/>
  <c r="P143" i="13"/>
  <c r="T141" i="13"/>
  <c r="P139" i="13"/>
  <c r="T137" i="13"/>
  <c r="P135" i="13"/>
  <c r="T133" i="13"/>
  <c r="T131" i="13"/>
  <c r="T129" i="13"/>
  <c r="P127" i="13"/>
  <c r="T125" i="13"/>
  <c r="P123" i="13"/>
  <c r="T121" i="13"/>
  <c r="P119" i="13"/>
  <c r="T117" i="13"/>
  <c r="T115" i="13"/>
  <c r="T113" i="13"/>
  <c r="P111" i="13"/>
  <c r="T109" i="13"/>
  <c r="T107" i="13"/>
  <c r="T105" i="13"/>
  <c r="T103" i="13"/>
  <c r="P101" i="13"/>
  <c r="T99" i="13"/>
  <c r="T97" i="13"/>
  <c r="T95" i="13"/>
  <c r="T93" i="13"/>
  <c r="T91" i="13"/>
  <c r="P89" i="13"/>
  <c r="T87" i="13"/>
  <c r="P85" i="13"/>
  <c r="P83" i="13"/>
  <c r="P81" i="13"/>
  <c r="T79" i="13"/>
  <c r="T77" i="13"/>
  <c r="P75" i="13"/>
  <c r="P73" i="13"/>
  <c r="P71" i="13"/>
  <c r="T69" i="13"/>
  <c r="P67" i="13"/>
  <c r="P65" i="13"/>
  <c r="T63" i="13"/>
  <c r="P61" i="13"/>
  <c r="P59" i="13"/>
  <c r="T57" i="13"/>
  <c r="P55" i="13"/>
  <c r="P53" i="13"/>
  <c r="P51" i="13"/>
  <c r="T49" i="13"/>
  <c r="P47" i="13"/>
  <c r="T45" i="13"/>
  <c r="T43" i="13"/>
  <c r="T41" i="13"/>
  <c r="T39" i="13"/>
  <c r="P37" i="13"/>
  <c r="P35" i="13"/>
  <c r="T33" i="13"/>
  <c r="T31" i="13"/>
  <c r="P29" i="13"/>
  <c r="P27" i="13"/>
  <c r="P25" i="13"/>
  <c r="T23" i="13"/>
  <c r="T21" i="13"/>
  <c r="T19" i="13"/>
  <c r="P17" i="13"/>
  <c r="T15" i="13"/>
  <c r="P13" i="13"/>
  <c r="T11" i="13"/>
  <c r="P6" i="13"/>
  <c r="T51" i="13"/>
  <c r="P45" i="13"/>
  <c r="P39" i="13"/>
  <c r="P33" i="13"/>
  <c r="T27" i="13"/>
  <c r="P23" i="13"/>
  <c r="T17" i="13"/>
  <c r="P11" i="13"/>
  <c r="T202" i="13"/>
  <c r="T178" i="13"/>
  <c r="T160" i="13"/>
  <c r="P154" i="13"/>
  <c r="T148" i="13"/>
  <c r="T140" i="13"/>
  <c r="T134" i="13"/>
  <c r="T128" i="13"/>
  <c r="P122" i="13"/>
  <c r="T116" i="13"/>
  <c r="P112" i="13"/>
  <c r="P106" i="13"/>
  <c r="T100" i="13"/>
  <c r="P94" i="13"/>
  <c r="T88" i="13"/>
  <c r="T82" i="13"/>
  <c r="T76" i="13"/>
  <c r="P68" i="13"/>
  <c r="P64" i="13"/>
  <c r="P58" i="13"/>
  <c r="T52" i="13"/>
  <c r="T46" i="13"/>
  <c r="T40" i="13"/>
  <c r="T32" i="13"/>
  <c r="T26" i="13"/>
  <c r="T20" i="13"/>
  <c r="T14" i="13"/>
  <c r="T5" i="13"/>
  <c r="T204" i="13"/>
  <c r="T196" i="13"/>
  <c r="P188" i="13"/>
  <c r="T180" i="13"/>
  <c r="P172" i="13"/>
  <c r="T164" i="13"/>
  <c r="P161" i="13"/>
  <c r="P159" i="13"/>
  <c r="P157" i="13"/>
  <c r="T155" i="13"/>
  <c r="P153" i="13"/>
  <c r="T151" i="13"/>
  <c r="T149" i="13"/>
  <c r="P147" i="13"/>
  <c r="T145" i="13"/>
  <c r="T143" i="13"/>
  <c r="P141" i="13"/>
  <c r="T139" i="13"/>
  <c r="P137" i="13"/>
  <c r="T135" i="13"/>
  <c r="P133" i="13"/>
  <c r="P131" i="13"/>
  <c r="P129" i="13"/>
  <c r="T127" i="13"/>
  <c r="P125" i="13"/>
  <c r="T123" i="13"/>
  <c r="P121" i="13"/>
  <c r="T119" i="13"/>
  <c r="P117" i="13"/>
  <c r="P115" i="13"/>
  <c r="P113" i="13"/>
  <c r="T111" i="13"/>
  <c r="P109" i="13"/>
  <c r="P107" i="13"/>
  <c r="P105" i="13"/>
  <c r="P103" i="13"/>
  <c r="T101" i="13"/>
  <c r="P99" i="13"/>
  <c r="P97" i="13"/>
  <c r="P95" i="13"/>
  <c r="P93" i="13"/>
  <c r="P91" i="13"/>
  <c r="T89" i="13"/>
  <c r="P87" i="13"/>
  <c r="T85" i="13"/>
  <c r="T83" i="13"/>
  <c r="T81" i="13"/>
  <c r="P79" i="13"/>
  <c r="P77" i="13"/>
  <c r="T75" i="13"/>
  <c r="T73" i="13"/>
  <c r="T71" i="13"/>
  <c r="P69" i="13"/>
  <c r="T67" i="13"/>
  <c r="T65" i="13"/>
  <c r="P63" i="13"/>
  <c r="T61" i="13"/>
  <c r="T59" i="13"/>
  <c r="P57" i="13"/>
  <c r="T55" i="13"/>
  <c r="T53" i="13"/>
  <c r="T47" i="13"/>
  <c r="P43" i="13"/>
  <c r="T35" i="13"/>
  <c r="T29" i="13"/>
  <c r="P21" i="13"/>
  <c r="T13" i="13"/>
  <c r="T8" i="13"/>
  <c r="T186" i="13"/>
  <c r="P164" i="13"/>
  <c r="T156" i="13"/>
  <c r="T150" i="13"/>
  <c r="T144" i="13"/>
  <c r="P138" i="13"/>
  <c r="P132" i="13"/>
  <c r="T124" i="13"/>
  <c r="T118" i="13"/>
  <c r="T110" i="13"/>
  <c r="T102" i="13"/>
  <c r="T96" i="13"/>
  <c r="P90" i="13"/>
  <c r="P84" i="13"/>
  <c r="P78" i="13"/>
  <c r="T70" i="13"/>
  <c r="T62" i="13"/>
  <c r="P56" i="13"/>
  <c r="T48" i="13"/>
  <c r="P42" i="13"/>
  <c r="P36" i="13"/>
  <c r="T30" i="13"/>
  <c r="T24" i="13"/>
  <c r="P16" i="13"/>
  <c r="T10" i="13"/>
  <c r="P200" i="13"/>
  <c r="T192" i="13"/>
  <c r="P184" i="13"/>
  <c r="P176" i="13"/>
  <c r="T168" i="13"/>
  <c r="P162" i="13"/>
  <c r="P160" i="13"/>
  <c r="P158" i="13"/>
  <c r="P156" i="13"/>
  <c r="T154" i="13"/>
  <c r="T152" i="13"/>
  <c r="P150" i="13"/>
  <c r="P148" i="13"/>
  <c r="P146" i="13"/>
  <c r="P144" i="13"/>
  <c r="P142" i="13"/>
  <c r="P140" i="13"/>
  <c r="T138" i="13"/>
  <c r="T136" i="13"/>
  <c r="P134" i="13"/>
  <c r="T132" i="13"/>
  <c r="T130" i="13"/>
  <c r="P128" i="13"/>
  <c r="T126" i="13"/>
  <c r="P124" i="13"/>
  <c r="T122" i="13"/>
  <c r="P120" i="13"/>
  <c r="P118" i="13"/>
  <c r="P116" i="13"/>
  <c r="T114" i="13"/>
  <c r="T112" i="13"/>
  <c r="P110" i="13"/>
  <c r="P108" i="13"/>
  <c r="T106" i="13"/>
  <c r="P104" i="13"/>
  <c r="P102" i="13"/>
  <c r="P100" i="13"/>
  <c r="T98" i="13"/>
  <c r="P96" i="13"/>
  <c r="T94" i="13"/>
  <c r="T92" i="13"/>
  <c r="T90" i="13"/>
  <c r="P88" i="13"/>
  <c r="P86" i="13"/>
  <c r="T84" i="13"/>
  <c r="P82" i="13"/>
  <c r="P80" i="13"/>
  <c r="T78" i="13"/>
  <c r="P76" i="13"/>
  <c r="T74" i="13"/>
  <c r="T72" i="13"/>
  <c r="P70" i="13"/>
  <c r="T68" i="13"/>
  <c r="T66" i="13"/>
  <c r="T64" i="13"/>
  <c r="P62" i="13"/>
  <c r="P60" i="13"/>
  <c r="T58" i="13"/>
  <c r="T56" i="13"/>
  <c r="P54" i="13"/>
  <c r="P52" i="13"/>
  <c r="P50" i="13"/>
  <c r="P48" i="13"/>
  <c r="P46" i="13"/>
  <c r="T44" i="13"/>
  <c r="T42" i="13"/>
  <c r="P40" i="13"/>
  <c r="T38" i="13"/>
  <c r="T36" i="13"/>
  <c r="T34" i="13"/>
  <c r="P32" i="13"/>
  <c r="P30" i="13"/>
  <c r="P28" i="13"/>
  <c r="P26" i="13"/>
  <c r="P24" i="13"/>
  <c r="T22" i="13"/>
  <c r="P20" i="13"/>
  <c r="T18" i="13"/>
  <c r="T16" i="13"/>
  <c r="P14" i="13"/>
  <c r="T12" i="13"/>
  <c r="P10" i="13"/>
  <c r="P5" i="13"/>
  <c r="P8" i="13"/>
  <c r="T9" i="13"/>
  <c r="T6" i="13"/>
  <c r="P49" i="13"/>
  <c r="P41" i="13"/>
  <c r="T37" i="13"/>
  <c r="P31" i="13"/>
  <c r="T25" i="13"/>
  <c r="P19" i="13"/>
  <c r="P15" i="13"/>
  <c r="P9" i="13"/>
  <c r="T194" i="13"/>
  <c r="T170" i="13"/>
  <c r="T158" i="13"/>
  <c r="P152" i="13"/>
  <c r="T146" i="13"/>
  <c r="T142" i="13"/>
  <c r="P136" i="13"/>
  <c r="P130" i="13"/>
  <c r="P126" i="13"/>
  <c r="T120" i="13"/>
  <c r="P114" i="13"/>
  <c r="T108" i="13"/>
  <c r="T104" i="13"/>
  <c r="P98" i="13"/>
  <c r="P92" i="13"/>
  <c r="T86" i="13"/>
  <c r="T80" i="13"/>
  <c r="P74" i="13"/>
  <c r="P72" i="13"/>
  <c r="P66" i="13"/>
  <c r="T60" i="13"/>
  <c r="T54" i="13"/>
  <c r="T50" i="13"/>
  <c r="P44" i="13"/>
  <c r="P38" i="13"/>
  <c r="P34" i="13"/>
  <c r="T28" i="13"/>
  <c r="P22" i="13"/>
  <c r="P18" i="13"/>
  <c r="P12" i="13"/>
  <c r="T7" i="13"/>
  <c r="O105" i="17"/>
  <c r="O142" i="17"/>
  <c r="N354" i="8"/>
  <c r="P362" i="8"/>
  <c r="N399" i="8"/>
  <c r="P368" i="8"/>
  <c r="P374" i="8"/>
  <c r="P390" i="8"/>
  <c r="N355" i="8"/>
  <c r="P404" i="8"/>
  <c r="N368" i="8"/>
  <c r="N365" i="8"/>
  <c r="P397" i="8"/>
  <c r="P366" i="8"/>
  <c r="P391" i="8"/>
  <c r="N390" i="8"/>
  <c r="P370" i="8"/>
  <c r="N359" i="8"/>
  <c r="N407" i="8"/>
  <c r="N382" i="8"/>
  <c r="P358" i="8"/>
  <c r="P367" i="8"/>
  <c r="N373" i="8"/>
  <c r="P365" i="8"/>
  <c r="N385" i="8"/>
  <c r="P382" i="8"/>
  <c r="P377" i="8"/>
  <c r="P407" i="8"/>
  <c r="N363" i="8"/>
  <c r="N387" i="8"/>
  <c r="N356" i="8"/>
  <c r="P363" i="8"/>
  <c r="N379" i="8"/>
  <c r="P347" i="8"/>
  <c r="N360" i="8"/>
  <c r="N392" i="8"/>
  <c r="P360" i="8"/>
  <c r="N372" i="8"/>
  <c r="P354" i="8"/>
  <c r="P385" i="8"/>
  <c r="N408" i="8"/>
  <c r="P359" i="8"/>
  <c r="N366" i="8"/>
  <c r="P387" i="8"/>
  <c r="P364" i="8"/>
  <c r="N362" i="8"/>
  <c r="N357" i="8"/>
  <c r="P403" i="8"/>
  <c r="N388" i="8"/>
  <c r="N391" i="8"/>
  <c r="P379" i="8"/>
  <c r="N381" i="8"/>
  <c r="P373" i="8"/>
  <c r="N347" i="8"/>
  <c r="P401" i="8"/>
  <c r="N378" i="8"/>
  <c r="N371" i="8"/>
  <c r="P372" i="8"/>
  <c r="P405" i="8"/>
  <c r="P388" i="8"/>
  <c r="N394" i="8"/>
  <c r="P349" i="8"/>
  <c r="P348" i="8"/>
  <c r="N389" i="8"/>
  <c r="N364" i="8"/>
  <c r="N404" i="8"/>
  <c r="P384" i="8"/>
  <c r="P369" i="8"/>
  <c r="N384" i="8"/>
  <c r="N397" i="8"/>
  <c r="N374" i="8"/>
  <c r="P392" i="8"/>
  <c r="P409" i="8"/>
  <c r="P350" i="8"/>
  <c r="P357" i="8"/>
  <c r="P399" i="8"/>
  <c r="P352" i="8"/>
  <c r="P375" i="8"/>
  <c r="N405" i="8"/>
  <c r="N352" i="8"/>
  <c r="P356" i="8"/>
  <c r="N375" i="8"/>
  <c r="N358" i="8"/>
  <c r="N348" i="8"/>
  <c r="N377" i="8"/>
  <c r="N367" i="8"/>
  <c r="P381" i="8"/>
  <c r="N351" i="8"/>
  <c r="N370" i="8"/>
  <c r="P395" i="8"/>
  <c r="P355" i="8"/>
  <c r="N398" i="8"/>
  <c r="P393" i="8"/>
  <c r="N350" i="8"/>
  <c r="N393" i="8"/>
  <c r="P402" i="8"/>
  <c r="P398" i="8"/>
  <c r="N369" i="8"/>
  <c r="P371" i="8"/>
  <c r="P378" i="8"/>
  <c r="P389" i="8"/>
  <c r="N409" i="8"/>
  <c r="N401" i="8"/>
  <c r="P351" i="8"/>
  <c r="N403" i="8"/>
  <c r="N361" i="8"/>
  <c r="P394" i="8"/>
  <c r="N353" i="8"/>
  <c r="N395" i="8"/>
  <c r="P353" i="8"/>
  <c r="N349" i="8"/>
  <c r="P408" i="8"/>
  <c r="N402" i="8"/>
  <c r="P361" i="8"/>
  <c r="P346" i="8"/>
  <c r="N346" i="8"/>
  <c r="N383" i="8"/>
  <c r="P383" i="8"/>
  <c r="P7" i="13" l="1"/>
</calcChain>
</file>

<file path=xl/sharedStrings.xml><?xml version="1.0" encoding="utf-8"?>
<sst xmlns="http://schemas.openxmlformats.org/spreadsheetml/2006/main" count="15443" uniqueCount="1735">
  <si>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</si>
  <si>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</si>
  <si>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</si>
  <si>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</si>
  <si>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</si>
  <si>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</si>
  <si>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</si>
  <si>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</si>
  <si>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</si>
  <si>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</si>
  <si>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</si>
  <si>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</si>
  <si>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</si>
  <si>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</si>
  <si>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</si>
  <si>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</si>
  <si>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</si>
  <si>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</si>
  <si>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</si>
  <si>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</si>
  <si>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</si>
  <si>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</si>
  <si>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</si>
  <si>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</si>
  <si>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</si>
  <si>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</si>
  <si>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</si>
  <si>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</si>
  <si>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</si>
  <si>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</si>
  <si>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</si>
  <si>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</si>
  <si>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</si>
  <si>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</si>
  <si>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</si>
  <si>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</si>
  <si>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</si>
  <si>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</si>
  <si>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</si>
  <si>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</si>
  <si>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</si>
  <si>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</si>
  <si>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</si>
  <si>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</si>
  <si>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</si>
  <si>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</si>
  <si>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</si>
  <si>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</si>
  <si>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</si>
  <si>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</si>
  <si>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</si>
  <si>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</si>
  <si>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</si>
  <si>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</si>
  <si>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</si>
  <si>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</si>
  <si>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</si>
  <si>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</si>
  <si>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</si>
  <si>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</si>
  <si>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</si>
  <si>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</si>
  <si>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</si>
  <si>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</si>
  <si>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</si>
  <si>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</si>
  <si>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</si>
  <si>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</si>
  <si>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</si>
  <si>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</si>
  <si>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</si>
  <si>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</si>
  <si>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</si>
  <si>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</si>
  <si>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</si>
  <si>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</si>
  <si>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</si>
  <si>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</si>
  <si>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</si>
  <si>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</si>
  <si>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</si>
  <si>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</si>
  <si>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</si>
  <si>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</si>
  <si>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</si>
  <si>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</si>
  <si>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</si>
  <si>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</si>
  <si>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</si>
  <si>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</si>
  <si>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</si>
  <si>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</si>
  <si>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</si>
  <si>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</si>
  <si>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</si>
  <si>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</si>
  <si>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</si>
  <si>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</si>
  <si>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</si>
  <si>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</si>
  <si>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</si>
  <si>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</si>
  <si>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</si>
  <si>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</si>
  <si>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</si>
  <si>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</si>
  <si>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</si>
  <si>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</si>
  <si>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</si>
  <si>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</si>
  <si>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</si>
  <si>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</si>
  <si>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</si>
  <si>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</si>
  <si>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</si>
  <si>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</si>
  <si>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</si>
  <si>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</si>
  <si>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</si>
  <si>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</si>
  <si>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</si>
  <si>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</si>
  <si>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</si>
  <si>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</si>
  <si>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</si>
  <si>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</si>
  <si>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</si>
  <si>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</si>
  <si>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</si>
  <si>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</si>
  <si>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</si>
  <si>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</si>
  <si>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</si>
  <si>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</si>
  <si>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</si>
  <si>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</si>
  <si>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</si>
  <si>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</si>
  <si>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</si>
  <si>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</si>
  <si>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</si>
  <si>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</si>
  <si>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</si>
  <si>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</si>
  <si>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</si>
  <si>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</si>
  <si>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</si>
  <si>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</si>
  <si>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</si>
  <si>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</si>
  <si>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</si>
  <si>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</si>
  <si>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</si>
  <si>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</si>
  <si>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</si>
  <si>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</si>
  <si>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</si>
  <si>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</si>
  <si>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</si>
  <si>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</si>
  <si>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</si>
  <si>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</si>
  <si>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</si>
  <si>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</si>
  <si>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8" type="noConversion"/>
  </si>
  <si>
    <t>简单1兵</t>
    <phoneticPr fontId="38" type="noConversion"/>
  </si>
  <si>
    <t>简单2兵</t>
    <phoneticPr fontId="38" type="noConversion"/>
  </si>
  <si>
    <t>普通1兵</t>
    <phoneticPr fontId="38" type="noConversion"/>
  </si>
  <si>
    <t>普通2兵</t>
    <phoneticPr fontId="38" type="noConversion"/>
  </si>
  <si>
    <t>普通1英</t>
    <phoneticPr fontId="38" type="noConversion"/>
  </si>
  <si>
    <t>普通1英近1兵远</t>
    <phoneticPr fontId="38" type="noConversion"/>
  </si>
  <si>
    <t>普通1英远1兵近</t>
    <phoneticPr fontId="38" type="noConversion"/>
  </si>
  <si>
    <t>三国</t>
    <phoneticPr fontId="38" type="noConversion"/>
  </si>
  <si>
    <t>困难2兵</t>
    <phoneticPr fontId="38" type="noConversion"/>
  </si>
  <si>
    <t>困难2英</t>
    <phoneticPr fontId="38" type="noConversion"/>
  </si>
  <si>
    <t>困难3兵</t>
    <phoneticPr fontId="38" type="noConversion"/>
  </si>
  <si>
    <t>三国</t>
    <phoneticPr fontId="38" type="noConversion"/>
  </si>
  <si>
    <t>困难1英近1兵远</t>
    <phoneticPr fontId="38" type="noConversion"/>
  </si>
  <si>
    <t>困难1英远1兵近</t>
    <phoneticPr fontId="38" type="noConversion"/>
  </si>
  <si>
    <t>超难2英</t>
    <phoneticPr fontId="38" type="noConversion"/>
  </si>
  <si>
    <t>超难</t>
    <phoneticPr fontId="38" type="noConversion"/>
  </si>
  <si>
    <t>超难3英-近近远</t>
    <phoneticPr fontId="38" type="noConversion"/>
  </si>
  <si>
    <t>三国</t>
    <phoneticPr fontId="38" type="noConversion"/>
  </si>
  <si>
    <t>超难</t>
    <phoneticPr fontId="38" type="noConversion"/>
  </si>
  <si>
    <t>超难3英-近远远</t>
    <phoneticPr fontId="38" type="noConversion"/>
  </si>
  <si>
    <t>变态</t>
    <phoneticPr fontId="38" type="noConversion"/>
  </si>
  <si>
    <t>变态3英-近近远</t>
    <phoneticPr fontId="38" type="noConversion"/>
  </si>
  <si>
    <t>变态3英-近远远</t>
    <phoneticPr fontId="38" type="noConversion"/>
  </si>
  <si>
    <t>注: 添加了单位之后记得要更新 GET_SORT_ID 函数</t>
    <phoneticPr fontId="38" type="noConversion"/>
  </si>
  <si>
    <t>困难1英近[B]1兵远</t>
    <phoneticPr fontId="38" type="noConversion"/>
  </si>
  <si>
    <t>困难1英远[B]1兵近</t>
    <phoneticPr fontId="38" type="noConversion"/>
  </si>
  <si>
    <t>困难2英[B]</t>
    <phoneticPr fontId="38" type="noConversion"/>
  </si>
  <si>
    <t>三国</t>
    <phoneticPr fontId="38" type="noConversion"/>
  </si>
  <si>
    <t>超难2英[B]</t>
    <phoneticPr fontId="38" type="noConversion"/>
  </si>
  <si>
    <t>变态</t>
  </si>
  <si>
    <t>超难3英[B]-近近远</t>
    <phoneticPr fontId="38" type="noConversion"/>
  </si>
  <si>
    <t>超难3英[B]-近远远</t>
    <phoneticPr fontId="38" type="noConversion"/>
  </si>
  <si>
    <t>变态3英[B]-近近远</t>
    <phoneticPr fontId="38" type="noConversion"/>
  </si>
  <si>
    <t>变态3英[B]-近远远</t>
    <phoneticPr fontId="38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</si>
  <si>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</si>
  <si>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</si>
  <si>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</si>
  <si>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</si>
  <si>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</si>
  <si>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</si>
  <si>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</si>
  <si>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</si>
  <si>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</si>
  <si>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</si>
  <si>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</si>
  <si>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</si>
  <si>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</si>
  <si>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</si>
  <si>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</si>
  <si>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</si>
  <si>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</si>
  <si>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</si>
  <si>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</si>
  <si>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</si>
  <si>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</si>
  <si>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</si>
  <si>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</si>
  <si>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</si>
  <si>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</si>
  <si>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</si>
  <si>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</si>
  <si>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</si>
  <si>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</si>
  <si>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</si>
  <si>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</si>
  <si>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</si>
  <si>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</si>
  <si>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</si>
  <si>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</si>
  <si>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</si>
  <si>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</si>
  <si>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</si>
  <si>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</si>
  <si>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</si>
  <si>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</si>
  <si>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</si>
  <si>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</si>
  <si>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</si>
  <si>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</si>
  <si>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</si>
  <si>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</si>
  <si>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</si>
  <si>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</si>
  <si>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</si>
  <si>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</si>
  <si>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</si>
  <si>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</si>
  <si>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</si>
  <si>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</si>
  <si>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</si>
  <si>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</si>
  <si>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</si>
  <si>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</si>
  <si>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</si>
  <si>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</si>
  <si>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</si>
  <si>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</si>
  <si>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</si>
  <si>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</si>
  <si>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</si>
  <si>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</si>
  <si>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</si>
  <si>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</si>
  <si>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</si>
  <si>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</si>
  <si>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</si>
  <si>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</si>
  <si>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</si>
  <si>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</si>
  <si>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</si>
  <si>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</si>
  <si>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</si>
  <si>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</si>
  <si>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</si>
  <si>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</si>
  <si>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</si>
  <si>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</si>
  <si>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</si>
  <si>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</si>
  <si>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</si>
  <si>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</si>
  <si>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</si>
  <si>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</si>
  <si>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</si>
  <si>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</si>
  <si>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</si>
  <si>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</si>
  <si>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</si>
  <si>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</si>
  <si>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</si>
  <si>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</si>
  <si>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</si>
  <si>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</si>
  <si>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</si>
  <si>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</si>
  <si>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</si>
  <si>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</si>
  <si>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</si>
  <si>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</si>
  <si>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</si>
  <si>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</si>
  <si>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</si>
  <si>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</si>
  <si>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</si>
  <si>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</si>
  <si>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</si>
  <si>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</si>
  <si>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</si>
  <si>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</si>
  <si>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</si>
  <si>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</si>
  <si>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</si>
  <si>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</si>
  <si>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</si>
  <si>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</si>
  <si>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</si>
  <si>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</si>
  <si>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</si>
  <si>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</si>
  <si>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</si>
  <si>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</si>
  <si>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</si>
  <si>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</si>
  <si>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</si>
  <si>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</si>
  <si>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</si>
  <si>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</si>
  <si>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</si>
  <si>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</si>
  <si>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</si>
  <si>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</si>
  <si>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</si>
  <si>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</si>
  <si>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</si>
  <si>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</si>
  <si>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</si>
  <si>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</si>
  <si>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</si>
  <si>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</si>
  <si>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</si>
  <si>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</si>
  <si>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</si>
  <si>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</si>
  <si>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</si>
  <si>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</si>
  <si>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</si>
  <si>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</si>
  <si>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</si>
  <si>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</si>
  <si>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</si>
  <si>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</si>
  <si>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</si>
  <si>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</si>
  <si>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</si>
  <si>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</si>
  <si>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</si>
  <si>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</si>
  <si>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</si>
  <si>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</si>
  <si>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</si>
  <si>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</si>
  <si>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</si>
  <si>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</si>
  <si>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</si>
  <si>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</si>
  <si>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</si>
  <si>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</si>
  <si>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</si>
  <si>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</si>
  <si>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</si>
  <si>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</si>
  <si>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</si>
  <si>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</si>
  <si>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</si>
  <si>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</si>
  <si>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</si>
  <si>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</si>
  <si>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</si>
  <si>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</si>
  <si>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</si>
  <si>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</si>
  <si>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</si>
  <si>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</si>
  <si>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</si>
  <si>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</si>
  <si>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</si>
  <si>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</si>
  <si>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</si>
  <si>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</si>
  <si>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</si>
  <si>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</si>
  <si>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</si>
  <si>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</si>
  <si>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</si>
  <si>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</si>
  <si>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</si>
  <si>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</si>
  <si>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</si>
  <si>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</si>
  <si>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</si>
  <si>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</si>
  <si>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</si>
  <si>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</si>
  <si>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</si>
  <si>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</si>
  <si>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</si>
  <si>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</si>
  <si>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</si>
  <si>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</si>
  <si>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</si>
  <si>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</si>
  <si>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</si>
  <si>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</si>
  <si>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</si>
  <si>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</si>
  <si>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</si>
  <si>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</si>
  <si>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</si>
  <si>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</si>
  <si>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</si>
  <si>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</si>
  <si>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</si>
  <si>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</si>
  <si>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</si>
  <si>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</si>
  <si>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</si>
  <si>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</si>
  <si>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</si>
  <si>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</si>
  <si>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</si>
  <si>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</si>
  <si>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</si>
  <si>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</si>
  <si>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</si>
  <si>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</si>
  <si>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</si>
  <si>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</si>
  <si>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</si>
  <si>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</si>
  <si>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</si>
  <si>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</si>
  <si>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</si>
  <si>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</si>
  <si>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</si>
  <si>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</si>
  <si>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</si>
  <si>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</si>
  <si>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</si>
  <si>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</si>
  <si>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</si>
  <si>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</si>
  <si>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</si>
  <si>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</si>
  <si>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8" type="noConversion"/>
  </si>
  <si>
    <t>强英</t>
    <phoneticPr fontId="38" type="noConversion"/>
  </si>
  <si>
    <t>炼英</t>
    <phoneticPr fontId="38" type="noConversion"/>
  </si>
  <si>
    <t>法英</t>
    <phoneticPr fontId="38" type="noConversion"/>
  </si>
  <si>
    <t>旗兵</t>
  </si>
  <si>
    <t>教徒</t>
    <phoneticPr fontId="38" type="noConversion"/>
  </si>
  <si>
    <t>盾英</t>
    <phoneticPr fontId="38" type="noConversion"/>
  </si>
  <si>
    <t>刺英</t>
    <phoneticPr fontId="38" type="noConversion"/>
  </si>
  <si>
    <t>Type</t>
    <phoneticPr fontId="38" type="noConversion"/>
  </si>
  <si>
    <t>Index</t>
    <phoneticPr fontId="38" type="noConversion"/>
  </si>
  <si>
    <t>HeroIndex</t>
    <phoneticPr fontId="38" type="noConversion"/>
  </si>
  <si>
    <t>Name</t>
    <phoneticPr fontId="38" type="noConversion"/>
  </si>
  <si>
    <t>Difficulty</t>
    <phoneticPr fontId="38" type="noConversion"/>
  </si>
  <si>
    <t>HeroCount</t>
    <phoneticPr fontId="38" type="noConversion"/>
  </si>
  <si>
    <t>SoldierCount</t>
    <phoneticPr fontId="38" type="noConversion"/>
  </si>
  <si>
    <t>Hero1</t>
    <phoneticPr fontId="38" type="noConversion"/>
  </si>
  <si>
    <t>Hero2</t>
    <phoneticPr fontId="38" type="noConversion"/>
  </si>
  <si>
    <t>Hero3</t>
    <phoneticPr fontId="38" type="noConversion"/>
  </si>
  <si>
    <t>Soldier1</t>
    <phoneticPr fontId="38" type="noConversion"/>
  </si>
  <si>
    <t>Soldier2</t>
    <phoneticPr fontId="38" type="noConversion"/>
  </si>
  <si>
    <t>Soldier3</t>
    <phoneticPr fontId="38" type="noConversion"/>
  </si>
  <si>
    <t>Check</t>
    <phoneticPr fontId="38" type="noConversion"/>
  </si>
  <si>
    <t>Camp</t>
    <phoneticPr fontId="38" type="noConversion"/>
  </si>
  <si>
    <t>SoldierIndex</t>
    <phoneticPr fontId="38" type="noConversion"/>
  </si>
  <si>
    <t>Wave</t>
    <phoneticPr fontId="38" type="noConversion"/>
  </si>
  <si>
    <t>Soldier1</t>
    <phoneticPr fontId="38" type="noConversion"/>
  </si>
  <si>
    <t>Soldier2</t>
    <phoneticPr fontId="38" type="noConversion"/>
  </si>
  <si>
    <t>Soldier3</t>
    <phoneticPr fontId="38" type="noConversion"/>
  </si>
  <si>
    <t>Group</t>
    <phoneticPr fontId="38" type="noConversion"/>
  </si>
  <si>
    <t>GroupCount</t>
    <phoneticPr fontId="38" type="noConversion"/>
  </si>
  <si>
    <t>GroupID</t>
    <phoneticPr fontId="38" type="noConversion"/>
  </si>
  <si>
    <t>Difficulty</t>
    <phoneticPr fontId="38" type="noConversion"/>
  </si>
  <si>
    <t>IsBoss</t>
    <phoneticPr fontId="38" type="noConversion"/>
  </si>
  <si>
    <t>Camp</t>
    <phoneticPr fontId="38" type="noConversion"/>
  </si>
  <si>
    <t>StageName</t>
    <phoneticPr fontId="38" type="noConversion"/>
  </si>
  <si>
    <t>Hero1</t>
    <phoneticPr fontId="38" type="noConversion"/>
  </si>
  <si>
    <t>Hero2</t>
    <phoneticPr fontId="38" type="noConversion"/>
  </si>
  <si>
    <t>Hero3</t>
    <phoneticPr fontId="38" type="noConversion"/>
  </si>
  <si>
    <t>Boss</t>
    <phoneticPr fontId="38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</si>
  <si>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</si>
  <si>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</si>
  <si>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</si>
  <si>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</si>
  <si>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</si>
  <si>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</si>
  <si>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</si>
  <si>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</si>
  <si>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</si>
  <si>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</si>
  <si>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</si>
  <si>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</si>
  <si>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</si>
  <si>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</si>
  <si>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</si>
  <si>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</si>
  <si>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</si>
  <si>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</si>
  <si>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</si>
  <si>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</si>
  <si>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</si>
  <si>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</si>
  <si>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</si>
  <si>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</si>
  <si>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</si>
  <si>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</si>
  <si>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</si>
  <si>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</si>
  <si>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</si>
  <si>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</si>
  <si>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</si>
  <si>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</si>
  <si>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</si>
  <si>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</si>
  <si>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</si>
  <si>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</si>
  <si>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</si>
  <si>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</si>
  <si>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</si>
  <si>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</si>
  <si>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</si>
  <si>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</si>
  <si>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</si>
  <si>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</si>
  <si>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</si>
  <si>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</si>
  <si>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</si>
  <si>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</si>
  <si>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</si>
  <si>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</si>
  <si>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</si>
  <si>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</si>
  <si>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</si>
  <si>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</si>
  <si>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</si>
  <si>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</si>
  <si>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</si>
  <si>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</si>
  <si>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</si>
  <si>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</si>
  <si>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</si>
  <si>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</si>
  <si>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</si>
  <si>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</si>
  <si>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</si>
  <si>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</si>
  <si>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</si>
  <si>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</si>
  <si>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</si>
  <si>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</si>
  <si>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</si>
  <si>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</si>
  <si>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</si>
  <si>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</si>
  <si>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</si>
  <si>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</si>
  <si>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</si>
  <si>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</si>
  <si>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</si>
  <si>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</si>
  <si>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</si>
  <si>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</si>
  <si>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</si>
  <si>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</si>
  <si>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</si>
  <si>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</si>
  <si>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</si>
  <si>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</si>
  <si>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</si>
  <si>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</si>
  <si>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</si>
  <si>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</si>
  <si>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</si>
  <si>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</si>
  <si>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</si>
  <si>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</si>
  <si>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</si>
  <si>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</si>
  <si>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</si>
  <si>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</si>
  <si>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</si>
  <si>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</si>
  <si>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</si>
  <si>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</si>
  <si>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</si>
  <si>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</si>
  <si>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</si>
  <si>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</si>
  <si>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</si>
  <si>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</si>
  <si>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</si>
  <si>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8" type="noConversion"/>
  </si>
  <si>
    <t>铁骑</t>
    <phoneticPr fontId="38" type="noConversion"/>
  </si>
  <si>
    <t>盾甲</t>
    <phoneticPr fontId="38" type="noConversion"/>
  </si>
  <si>
    <t>强弓</t>
    <phoneticPr fontId="38" type="noConversion"/>
  </si>
  <si>
    <t>炼金</t>
    <phoneticPr fontId="38" type="noConversion"/>
  </si>
  <si>
    <t>法师</t>
    <phoneticPr fontId="38" type="noConversion"/>
  </si>
  <si>
    <t>刺客</t>
    <phoneticPr fontId="38" type="noConversion"/>
  </si>
  <si>
    <t>教徒</t>
    <phoneticPr fontId="38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</si>
  <si>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</si>
  <si>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</si>
  <si>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</si>
  <si>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</si>
  <si>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</si>
  <si>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</si>
  <si>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</si>
  <si>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</si>
  <si>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</si>
  <si>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</si>
  <si>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</si>
  <si>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</si>
  <si>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</si>
  <si>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</si>
  <si>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</si>
  <si>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</si>
  <si>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</si>
  <si>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</si>
  <si>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</si>
  <si>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</si>
  <si>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</si>
  <si>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</si>
  <si>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</si>
  <si>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</si>
  <si>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</si>
  <si>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</si>
  <si>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</si>
  <si>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</si>
  <si>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</si>
  <si>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</si>
  <si>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</si>
  <si>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</si>
  <si>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</si>
  <si>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</si>
  <si>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</si>
  <si>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</si>
  <si>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</si>
  <si>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</si>
  <si>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</si>
  <si>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</si>
  <si>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</si>
  <si>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</si>
  <si>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</si>
  <si>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</si>
  <si>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</si>
  <si>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</si>
  <si>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</si>
  <si>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</si>
  <si>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</si>
  <si>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</si>
  <si>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</si>
  <si>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</si>
  <si>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</si>
  <si>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</si>
  <si>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</si>
  <si>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</si>
  <si>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</si>
  <si>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</si>
  <si>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</si>
  <si>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</si>
  <si>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</si>
  <si>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</si>
  <si>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</si>
  <si>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</si>
  <si>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</si>
  <si>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</si>
  <si>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</si>
  <si>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</si>
  <si>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</si>
  <si>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</si>
  <si>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</si>
  <si>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</si>
  <si>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</si>
  <si>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</si>
  <si>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</si>
  <si>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</si>
  <si>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</si>
  <si>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</si>
  <si>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</si>
  <si>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</si>
  <si>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</si>
  <si>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</si>
  <si>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</si>
  <si>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</si>
  <si>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</si>
  <si>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</si>
  <si>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</si>
  <si>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</si>
  <si>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</si>
  <si>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</si>
  <si>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</si>
  <si>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</si>
  <si>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</si>
  <si>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</si>
  <si>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</si>
  <si>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</si>
  <si>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</si>
  <si>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</si>
  <si>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</si>
  <si>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</si>
  <si>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</si>
  <si>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</si>
  <si>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</si>
  <si>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</si>
  <si>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</si>
  <si>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</si>
  <si>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</si>
  <si>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</si>
  <si>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</si>
  <si>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</si>
  <si>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</si>
  <si>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</si>
  <si>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</si>
  <si>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</si>
  <si>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</si>
  <si>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</si>
  <si>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</si>
  <si>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</si>
  <si>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</si>
  <si>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</si>
  <si>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</si>
  <si>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</si>
  <si>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</si>
  <si>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</si>
  <si>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</si>
  <si>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</si>
  <si>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</si>
  <si>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</si>
  <si>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</si>
  <si>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</si>
  <si>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</si>
  <si>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</si>
  <si>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</si>
  <si>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</si>
  <si>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</si>
  <si>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</si>
  <si>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</si>
  <si>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</si>
  <si>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</si>
  <si>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</si>
  <si>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</si>
  <si>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</si>
  <si>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</si>
  <si>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</si>
  <si>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</si>
  <si>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</si>
  <si>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</si>
  <si>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</si>
  <si>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</si>
  <si>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</si>
  <si>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</si>
  <si>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</si>
  <si>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</si>
  <si>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</si>
  <si>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</si>
  <si>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</si>
  <si>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</si>
  <si>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</si>
  <si>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</si>
  <si>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</si>
  <si>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</si>
  <si>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</si>
  <si>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</si>
  <si>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</si>
  <si>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</si>
  <si>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</si>
  <si>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</si>
  <si>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</si>
  <si>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</si>
  <si>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</si>
  <si>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</si>
  <si>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</si>
  <si>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</si>
  <si>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</si>
  <si>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</si>
  <si>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</si>
  <si>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</si>
  <si>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</si>
  <si>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</si>
  <si>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</si>
  <si>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</si>
  <si>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</si>
  <si>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</si>
  <si>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</si>
  <si>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</si>
  <si>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</si>
  <si>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</si>
  <si>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</si>
  <si>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</si>
  <si>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</si>
  <si>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</si>
  <si>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</si>
  <si>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</si>
  <si>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</si>
  <si>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</si>
  <si>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</si>
  <si>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</si>
  <si>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</si>
  <si>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</si>
  <si>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</si>
  <si>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</si>
  <si>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</si>
  <si>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</si>
  <si>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</si>
  <si>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</si>
  <si>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</si>
  <si>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</si>
  <si>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</si>
  <si>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</si>
  <si>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</si>
  <si>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</si>
  <si>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</si>
  <si>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</si>
  <si>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</si>
  <si>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</si>
  <si>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</si>
  <si>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</si>
  <si>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</si>
  <si>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</si>
  <si>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</si>
  <si>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</si>
  <si>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</si>
  <si>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</si>
  <si>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</si>
  <si>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</si>
  <si>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</si>
  <si>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</si>
  <si>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</si>
  <si>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</si>
  <si>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</si>
  <si>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</si>
  <si>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</si>
  <si>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</si>
  <si>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</si>
  <si>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</si>
  <si>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</si>
  <si>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</si>
  <si>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</si>
  <si>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</si>
  <si>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</si>
  <si>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</si>
  <si>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</si>
  <si>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</si>
  <si>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</si>
  <si>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</si>
  <si>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</si>
  <si>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</si>
  <si>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</si>
  <si>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</si>
  <si>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</si>
  <si>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</si>
  <si>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</si>
  <si>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</si>
  <si>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</si>
  <si>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</si>
  <si>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</si>
  <si>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</si>
  <si>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</si>
  <si>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</si>
  <si>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</si>
  <si>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</si>
  <si>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</si>
  <si>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</si>
  <si>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</si>
  <si>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</si>
  <si>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</si>
  <si>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</si>
  <si>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</si>
  <si>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</si>
  <si>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</si>
  <si>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8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</si>
  <si>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8" type="noConversion"/>
  </si>
  <si>
    <t>E:\git_project\monster_group_gen\group_input.json</t>
    <phoneticPr fontId="38" type="noConversion"/>
  </si>
  <si>
    <t>E:\git_project\monster_group_gen\group_output.json</t>
    <phoneticPr fontId="38" type="noConversion"/>
  </si>
  <si>
    <t>E:\git_project\lr_common\design\stage_enemy.xml</t>
    <phoneticPr fontId="38" type="noConversion"/>
  </si>
  <si>
    <t>GroupName</t>
    <phoneticPr fontId="38" type="noConversion"/>
  </si>
  <si>
    <t>Formation</t>
    <phoneticPr fontId="38" type="noConversion"/>
  </si>
  <si>
    <t>VersionID</t>
    <phoneticPr fontId="38" type="noConversion"/>
  </si>
  <si>
    <t>困难1兵</t>
    <phoneticPr fontId="38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</si>
  <si>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</si>
  <si>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</si>
  <si>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</si>
  <si>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</si>
  <si>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</si>
  <si>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8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</si>
  <si>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8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</si>
  <si>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8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</si>
  <si>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</si>
  <si>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</si>
  <si>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</si>
  <si>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</si>
  <si>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</si>
  <si>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</si>
  <si>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</si>
  <si>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8" type="noConversion"/>
  </si>
  <si>
    <t>刺兵</t>
    <phoneticPr fontId="38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</si>
  <si>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</si>
  <si>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</si>
  <si>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</si>
  <si>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</si>
  <si>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</si>
  <si>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</si>
  <si>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</si>
  <si>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</si>
  <si>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</si>
  <si>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</si>
  <si>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</si>
  <si>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</si>
  <si>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</si>
  <si>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</si>
  <si>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</si>
  <si>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</si>
  <si>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</si>
  <si>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</si>
  <si>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</si>
  <si>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</si>
  <si>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</si>
  <si>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</si>
  <si>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</si>
  <si>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</si>
  <si>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</si>
  <si>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</si>
  <si>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</si>
  <si>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</si>
  <si>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</si>
  <si>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</si>
  <si>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</si>
  <si>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</si>
  <si>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</si>
  <si>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</si>
  <si>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</si>
  <si>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</si>
  <si>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8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</si>
  <si>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</si>
  <si>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</si>
  <si>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</si>
  <si>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</si>
  <si>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</si>
  <si>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</si>
  <si>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</si>
  <si>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</si>
  <si>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</si>
  <si>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</si>
  <si>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</si>
  <si>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</si>
  <si>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</si>
  <si>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</si>
  <si>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</si>
  <si>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</si>
  <si>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</si>
  <si>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</si>
  <si>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</si>
  <si>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</si>
  <si>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</si>
  <si>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</si>
  <si>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</si>
  <si>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</si>
  <si>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</si>
  <si>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</si>
  <si>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</si>
  <si>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</si>
  <si>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</si>
  <si>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</si>
  <si>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</si>
  <si>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</si>
  <si>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</si>
  <si>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</si>
  <si>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</si>
  <si>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</si>
  <si>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</si>
  <si>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</si>
  <si>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</si>
  <si>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</si>
  <si>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</si>
  <si>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</si>
  <si>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</si>
  <si>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</si>
  <si>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</si>
  <si>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</si>
  <si>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</si>
  <si>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</si>
  <si>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</si>
  <si>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</si>
  <si>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</si>
  <si>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</si>
  <si>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</si>
  <si>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</si>
  <si>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</si>
  <si>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</si>
  <si>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</si>
  <si>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</si>
  <si>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</si>
  <si>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</si>
  <si>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</si>
  <si>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</si>
  <si>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</si>
  <si>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</si>
  <si>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</si>
  <si>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</si>
  <si>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</si>
  <si>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</si>
  <si>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</si>
  <si>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</si>
  <si>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</si>
  <si>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</si>
  <si>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</si>
  <si>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</si>
  <si>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</si>
  <si>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</si>
  <si>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</si>
  <si>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</si>
  <si>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</si>
  <si>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</si>
  <si>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</si>
  <si>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</si>
  <si>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</si>
  <si>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</si>
  <si>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</si>
  <si>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</si>
  <si>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</si>
  <si>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</si>
  <si>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</si>
  <si>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</si>
  <si>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</si>
  <si>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</si>
  <si>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</si>
  <si>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</si>
  <si>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</si>
  <si>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</si>
  <si>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</si>
  <si>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</si>
  <si>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</si>
  <si>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</si>
  <si>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</si>
  <si>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</si>
  <si>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</si>
  <si>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</si>
  <si>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</si>
  <si>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</si>
  <si>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</si>
  <si>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</si>
  <si>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</si>
  <si>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</si>
  <si>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</si>
  <si>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</si>
  <si>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</si>
  <si>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</si>
  <si>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</si>
  <si>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</si>
  <si>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</si>
  <si>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</si>
  <si>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</si>
  <si>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</si>
  <si>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</si>
  <si>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</si>
  <si>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</si>
  <si>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</si>
  <si>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</si>
  <si>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</si>
  <si>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</si>
  <si>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</si>
  <si>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</si>
  <si>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</si>
  <si>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</si>
  <si>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</si>
  <si>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</si>
  <si>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</si>
  <si>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</si>
  <si>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</si>
  <si>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</si>
  <si>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</si>
  <si>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</si>
  <si>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</si>
  <si>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</si>
  <si>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</si>
  <si>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</si>
  <si>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</si>
  <si>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</si>
  <si>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</si>
  <si>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</si>
  <si>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</si>
  <si>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</si>
  <si>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</si>
  <si>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</si>
  <si>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</si>
  <si>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</si>
  <si>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</si>
  <si>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</si>
  <si>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</si>
  <si>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</si>
  <si>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</si>
  <si>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</si>
  <si>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</si>
  <si>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</si>
  <si>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</si>
  <si>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</si>
  <si>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</si>
  <si>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</si>
  <si>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</si>
  <si>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</si>
  <si>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</si>
  <si>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</si>
  <si>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</si>
  <si>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</si>
  <si>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</si>
  <si>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</si>
  <si>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</si>
  <si>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</si>
  <si>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</si>
  <si>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8" type="noConversion"/>
  </si>
  <si>
    <t>超难</t>
    <phoneticPr fontId="38" type="noConversion"/>
  </si>
  <si>
    <t>AllyHero</t>
    <phoneticPr fontId="38" type="noConversion"/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</si>
  <si>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</si>
  <si>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</si>
  <si>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</si>
  <si>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</si>
  <si>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</si>
  <si>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</si>
  <si>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</si>
  <si>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</si>
  <si>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</si>
  <si>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</si>
  <si>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</si>
  <si>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</si>
  <si>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</si>
  <si>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</si>
  <si>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</si>
  <si>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</si>
  <si>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</si>
  <si>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</si>
  <si>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</si>
  <si>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</si>
  <si>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8" type="noConversion"/>
  </si>
  <si>
    <t>强弓英雄</t>
    <phoneticPr fontId="38" type="noConversion"/>
  </si>
  <si>
    <t>普通</t>
    <phoneticPr fontId="38" type="noConversion"/>
  </si>
  <si>
    <t>困难</t>
    <phoneticPr fontId="38" type="noConversion"/>
  </si>
  <si>
    <t>超难</t>
    <phoneticPr fontId="38" type="noConversion"/>
  </si>
  <si>
    <t>铁骑</t>
    <phoneticPr fontId="38" type="noConversion"/>
  </si>
  <si>
    <t>法师</t>
    <phoneticPr fontId="38" type="noConversion"/>
  </si>
  <si>
    <t>铁骑英雄</t>
    <phoneticPr fontId="38" type="noConversion"/>
  </si>
  <si>
    <t>盾甲</t>
    <phoneticPr fontId="38" type="noConversion"/>
  </si>
  <si>
    <t>强弓</t>
    <phoneticPr fontId="38" type="noConversion"/>
  </si>
  <si>
    <t>炼金</t>
    <phoneticPr fontId="38" type="noConversion"/>
  </si>
  <si>
    <t>盾甲英雄</t>
    <phoneticPr fontId="38" type="noConversion"/>
  </si>
  <si>
    <t>刺客英雄</t>
    <phoneticPr fontId="38" type="noConversion"/>
  </si>
  <si>
    <t>炼金英雄</t>
    <phoneticPr fontId="38" type="noConversion"/>
  </si>
  <si>
    <t>简单</t>
    <phoneticPr fontId="38" type="noConversion"/>
  </si>
  <si>
    <t>教徒</t>
    <phoneticPr fontId="38" type="noConversion"/>
  </si>
  <si>
    <t>刺客</t>
    <phoneticPr fontId="38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</si>
  <si>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</si>
  <si>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</si>
  <si>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</si>
  <si>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</si>
  <si>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</si>
  <si>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</si>
  <si>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</si>
  <si>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</si>
  <si>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</si>
  <si>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8" type="noConversion"/>
  </si>
  <si>
    <t>铁骑英雄</t>
    <phoneticPr fontId="38" type="noConversion"/>
  </si>
  <si>
    <t>刺客英雄</t>
    <phoneticPr fontId="38" type="noConversion"/>
  </si>
  <si>
    <t>盾英</t>
    <phoneticPr fontId="38" type="noConversion"/>
  </si>
  <si>
    <t>heros</t>
    <phoneticPr fontId="38" type="noConversion"/>
  </si>
  <si>
    <t>强英</t>
    <phoneticPr fontId="38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</si>
  <si>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</si>
  <si>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</si>
  <si>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</si>
  <si>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</si>
  <si>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</si>
  <si>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</si>
  <si>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</si>
  <si>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</si>
  <si>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</si>
  <si>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</si>
  <si>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</si>
  <si>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</si>
  <si>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</si>
  <si>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</si>
  <si>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</si>
  <si>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</si>
  <si>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</si>
  <si>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</si>
  <si>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</si>
  <si>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</si>
  <si>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</si>
  <si>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</si>
  <si>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</si>
  <si>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</si>
  <si>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</si>
  <si>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</si>
  <si>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</si>
  <si>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</si>
  <si>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</si>
  <si>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</si>
  <si>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</si>
  <si>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</si>
  <si>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</si>
  <si>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</si>
  <si>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</si>
  <si>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</si>
  <si>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</si>
  <si>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</si>
  <si>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</si>
  <si>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</si>
  <si>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</si>
  <si>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</si>
  <si>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</si>
  <si>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</si>
  <si>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</si>
  <si>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</si>
  <si>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</si>
  <si>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</si>
  <si>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</si>
  <si>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</si>
  <si>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</si>
  <si>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</si>
  <si>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</si>
  <si>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</si>
  <si>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</si>
  <si>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</si>
  <si>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</si>
  <si>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</si>
  <si>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8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</si>
  <si>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</si>
  <si>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</si>
  <si>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</si>
  <si>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</si>
  <si>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</si>
  <si>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8" type="noConversion"/>
  </si>
  <si>
    <t>刺兵</t>
    <phoneticPr fontId="38" type="noConversion"/>
  </si>
  <si>
    <t>row4</t>
  </si>
  <si>
    <t>黄巾-简单-炼兵</t>
  </si>
  <si>
    <t>黄巾-简单-刺兵</t>
  </si>
  <si>
    <t>黄巾-普通-炼兵</t>
  </si>
  <si>
    <t>黄巾-普通-刺兵</t>
  </si>
  <si>
    <r>
      <t>n</t>
    </r>
    <r>
      <rPr>
        <sz val="11"/>
        <color theme="1"/>
        <rFont val="微软雅黑"/>
        <family val="2"/>
        <charset val="134"/>
      </rPr>
      <t>ame</t>
    </r>
    <phoneticPr fontId="38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</si>
  <si>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8" type="noConversion"/>
  </si>
  <si>
    <t>张宝</t>
    <phoneticPr fontId="38" type="noConversion"/>
  </si>
  <si>
    <t>黄巾-困难-法英+教徒</t>
  </si>
  <si>
    <t>炼金英雄</t>
    <phoneticPr fontId="38" type="noConversion"/>
  </si>
  <si>
    <t>炼金</t>
    <phoneticPr fontId="38" type="noConversion"/>
  </si>
  <si>
    <t>2波-简单</t>
  </si>
  <si>
    <t>3波-简单</t>
    <phoneticPr fontId="38" type="noConversion"/>
  </si>
  <si>
    <t>3波-普通</t>
    <phoneticPr fontId="38" type="noConversion"/>
  </si>
  <si>
    <t>3波-困难</t>
  </si>
  <si>
    <t>3波-超难</t>
  </si>
  <si>
    <t>2波-普通</t>
  </si>
  <si>
    <t>2波-困难</t>
  </si>
  <si>
    <t>2波-超难</t>
  </si>
  <si>
    <t>2波</t>
    <phoneticPr fontId="38" type="noConversion"/>
  </si>
  <si>
    <t>Play</t>
    <phoneticPr fontId="38" type="noConversion"/>
  </si>
  <si>
    <t>StageDifficultyPath</t>
    <phoneticPr fontId="38" type="noConversion"/>
  </si>
  <si>
    <t>E:\svn_project\mp\LR\design\S数值规划\关卡难度.xlsx</t>
    <phoneticPr fontId="38" type="noConversion"/>
  </si>
  <si>
    <t>WaveDifficulty</t>
    <phoneticPr fontId="38" type="noConversion"/>
  </si>
  <si>
    <t>黄巾-困难-教徒</t>
  </si>
  <si>
    <t>黄巾-困难-盾英</t>
  </si>
  <si>
    <t>三国-困难-教徒</t>
  </si>
  <si>
    <t>row4</t>
    <phoneticPr fontId="38" type="noConversion"/>
  </si>
  <si>
    <t>张角</t>
    <phoneticPr fontId="38" type="noConversion"/>
  </si>
  <si>
    <t>黄巾-困难-法英1</t>
  </si>
  <si>
    <t>黄巾-普通-教徒1</t>
  </si>
  <si>
    <t>庞统</t>
    <phoneticPr fontId="38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</si>
  <si>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</si>
  <si>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</si>
  <si>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</si>
  <si>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</si>
  <si>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</si>
  <si>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</si>
  <si>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</si>
  <si>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</si>
  <si>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8" type="noConversion"/>
  </si>
  <si>
    <t>强弓英雄</t>
    <phoneticPr fontId="38" type="noConversion"/>
  </si>
  <si>
    <t>铁骑</t>
    <phoneticPr fontId="38" type="noConversion"/>
  </si>
  <si>
    <t>法师</t>
    <phoneticPr fontId="38" type="noConversion"/>
  </si>
  <si>
    <t>强弓</t>
    <phoneticPr fontId="38" type="noConversion"/>
  </si>
  <si>
    <t>铁骑英雄</t>
    <phoneticPr fontId="38" type="noConversion"/>
  </si>
  <si>
    <t>强弓英雄</t>
    <phoneticPr fontId="38" type="noConversion"/>
  </si>
  <si>
    <t>盾甲英雄</t>
    <phoneticPr fontId="38" type="noConversion"/>
  </si>
  <si>
    <t>法师英雄</t>
    <phoneticPr fontId="38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</si>
  <si>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</si>
  <si>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</si>
  <si>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</si>
  <si>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</si>
  <si>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</si>
  <si>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</si>
  <si>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</si>
  <si>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</si>
  <si>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</si>
  <si>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</si>
  <si>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</si>
  <si>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</si>
  <si>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</si>
  <si>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</si>
  <si>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8" type="noConversion"/>
  </si>
  <si>
    <t>WaitTime</t>
    <phoneticPr fontId="38" type="noConversion"/>
  </si>
  <si>
    <t>简单</t>
    <phoneticPr fontId="38" type="noConversion"/>
  </si>
  <si>
    <t>普通</t>
    <phoneticPr fontId="38" type="noConversion"/>
  </si>
  <si>
    <t>简单</t>
    <phoneticPr fontId="38" type="noConversion"/>
  </si>
  <si>
    <t>刘兰芝</t>
    <phoneticPr fontId="49" type="noConversion"/>
  </si>
  <si>
    <t>张让</t>
    <phoneticPr fontId="49" type="noConversion"/>
  </si>
  <si>
    <t>少帝刘辩</t>
    <phoneticPr fontId="49" type="noConversion"/>
  </si>
  <si>
    <t>曹植</t>
    <phoneticPr fontId="49" type="noConversion"/>
  </si>
  <si>
    <t>杨修</t>
    <phoneticPr fontId="49" type="noConversion"/>
  </si>
  <si>
    <t>华佗</t>
    <phoneticPr fontId="49" type="noConversion"/>
  </si>
  <si>
    <t>张角</t>
    <phoneticPr fontId="38" type="noConversion"/>
  </si>
  <si>
    <t>张梁</t>
    <phoneticPr fontId="38" type="noConversion"/>
  </si>
  <si>
    <t>张宝</t>
    <phoneticPr fontId="38" type="noConversion"/>
  </si>
  <si>
    <t>十五将军</t>
    <phoneticPr fontId="38" type="noConversion"/>
  </si>
  <si>
    <t>刘兰芝</t>
  </si>
  <si>
    <t>刘兰芝</t>
    <phoneticPr fontId="38" type="noConversion"/>
  </si>
  <si>
    <t>铁骑英雄</t>
    <phoneticPr fontId="38" type="noConversion"/>
  </si>
  <si>
    <t>何进</t>
    <phoneticPr fontId="38" type="noConversion"/>
  </si>
  <si>
    <t>盾甲英雄</t>
    <phoneticPr fontId="38" type="noConversion"/>
  </si>
  <si>
    <t>张让</t>
  </si>
  <si>
    <t>张让</t>
    <phoneticPr fontId="38" type="noConversion"/>
  </si>
  <si>
    <t>曹操</t>
    <phoneticPr fontId="38" type="noConversion"/>
  </si>
  <si>
    <t>炼金英雄</t>
    <phoneticPr fontId="38" type="noConversion"/>
  </si>
  <si>
    <t>张飞</t>
    <phoneticPr fontId="38" type="noConversion"/>
  </si>
  <si>
    <t>少帝刘辩</t>
  </si>
  <si>
    <t>颜良</t>
    <phoneticPr fontId="38" type="noConversion"/>
  </si>
  <si>
    <t>文丑</t>
    <phoneticPr fontId="38" type="noConversion"/>
  </si>
  <si>
    <t>于吉</t>
    <phoneticPr fontId="38" type="noConversion"/>
  </si>
  <si>
    <t>曹植</t>
  </si>
  <si>
    <t>曹植</t>
    <phoneticPr fontId="38" type="noConversion"/>
  </si>
  <si>
    <t>杨修</t>
  </si>
  <si>
    <t>杨修</t>
    <phoneticPr fontId="38" type="noConversion"/>
  </si>
  <si>
    <t>华佗</t>
    <phoneticPr fontId="38" type="noConversion"/>
  </si>
  <si>
    <t>盾英</t>
    <phoneticPr fontId="38" type="noConversion"/>
  </si>
  <si>
    <t>法英</t>
    <phoneticPr fontId="38" type="noConversion"/>
  </si>
  <si>
    <t>黄巾-超难-[B]盾英+法英+法英</t>
  </si>
  <si>
    <t>强弓</t>
    <phoneticPr fontId="38" type="noConversion"/>
  </si>
  <si>
    <t>强弓英雄</t>
    <phoneticPr fontId="38" type="noConversion"/>
  </si>
  <si>
    <t>法师英雄</t>
    <phoneticPr fontId="38" type="noConversion"/>
  </si>
  <si>
    <t>盾甲</t>
    <phoneticPr fontId="38" type="noConversion"/>
  </si>
  <si>
    <t>刺客英雄</t>
    <phoneticPr fontId="38" type="noConversion"/>
  </si>
  <si>
    <t>炼金</t>
    <phoneticPr fontId="38" type="noConversion"/>
  </si>
  <si>
    <t>教徒</t>
    <phoneticPr fontId="38" type="noConversion"/>
  </si>
  <si>
    <t>法师</t>
    <phoneticPr fontId="38" type="noConversion"/>
  </si>
  <si>
    <t>刺客</t>
    <phoneticPr fontId="38" type="noConversion"/>
  </si>
  <si>
    <t>铁骑</t>
    <phoneticPr fontId="38" type="noConversion"/>
  </si>
  <si>
    <t>法师英雄</t>
    <phoneticPr fontId="38" type="noConversion"/>
  </si>
  <si>
    <t>铁骑英雄</t>
    <phoneticPr fontId="38" type="noConversion"/>
  </si>
  <si>
    <t>埋伏</t>
  </si>
  <si>
    <t>埋伏</t>
    <phoneticPr fontId="38" type="noConversion"/>
  </si>
  <si>
    <t>简单</t>
    <phoneticPr fontId="38" type="noConversion"/>
  </si>
  <si>
    <t>普通</t>
    <phoneticPr fontId="38" type="noConversion"/>
  </si>
  <si>
    <t>困难</t>
    <phoneticPr fontId="38" type="noConversion"/>
  </si>
  <si>
    <t>超难</t>
    <phoneticPr fontId="38" type="noConversion"/>
  </si>
  <si>
    <t>逃逸</t>
    <phoneticPr fontId="38" type="noConversion"/>
  </si>
  <si>
    <t>单挑</t>
    <phoneticPr fontId="38" type="noConversion"/>
  </si>
  <si>
    <t>劫粮</t>
  </si>
  <si>
    <t>劫粮</t>
    <phoneticPr fontId="38" type="noConversion"/>
  </si>
  <si>
    <t>我方埋伏</t>
    <phoneticPr fontId="38" type="noConversion"/>
  </si>
  <si>
    <t>玩法</t>
    <phoneticPr fontId="38" type="noConversion"/>
  </si>
  <si>
    <t>波次数量</t>
    <phoneticPr fontId="38" type="noConversion"/>
  </si>
  <si>
    <t>2波</t>
    <phoneticPr fontId="38" type="noConversion"/>
  </si>
  <si>
    <t>3波</t>
  </si>
  <si>
    <t>3波</t>
    <phoneticPr fontId="38" type="noConversion"/>
  </si>
  <si>
    <t>5波</t>
    <phoneticPr fontId="38" type="noConversion"/>
  </si>
  <si>
    <t>教徒</t>
    <phoneticPr fontId="38" type="noConversion"/>
  </si>
  <si>
    <t>单挑</t>
  </si>
  <si>
    <t>我方埋伏</t>
  </si>
  <si>
    <t>逃逸</t>
  </si>
  <si>
    <t>单挑-简单</t>
    <phoneticPr fontId="38" type="noConversion"/>
  </si>
  <si>
    <t>普通</t>
    <phoneticPr fontId="38" type="noConversion"/>
  </si>
  <si>
    <t>盾甲英雄</t>
    <phoneticPr fontId="38" type="noConversion"/>
  </si>
  <si>
    <t>强弓</t>
    <phoneticPr fontId="38" type="noConversion"/>
  </si>
  <si>
    <t>单挑-超难</t>
    <phoneticPr fontId="38" type="noConversion"/>
  </si>
  <si>
    <t>三国</t>
    <phoneticPr fontId="38" type="noConversion"/>
  </si>
  <si>
    <t>铁骑英雄</t>
    <phoneticPr fontId="38" type="noConversion"/>
  </si>
  <si>
    <t>炼金英雄</t>
    <phoneticPr fontId="38" type="noConversion"/>
  </si>
  <si>
    <t>刺客英雄</t>
    <phoneticPr fontId="38" type="noConversion"/>
  </si>
  <si>
    <t>劫粮-简单</t>
    <phoneticPr fontId="38" type="noConversion"/>
  </si>
  <si>
    <t>劫粮-超难</t>
    <phoneticPr fontId="38" type="noConversion"/>
  </si>
  <si>
    <t>变态</t>
    <phoneticPr fontId="38" type="noConversion"/>
  </si>
  <si>
    <t>攻城-简单</t>
    <phoneticPr fontId="38" type="noConversion"/>
  </si>
  <si>
    <t>困难</t>
    <phoneticPr fontId="38" type="noConversion"/>
  </si>
  <si>
    <t>攻城-超难</t>
    <phoneticPr fontId="38" type="noConversion"/>
  </si>
  <si>
    <t>超难</t>
    <phoneticPr fontId="38" type="noConversion"/>
  </si>
  <si>
    <t>Desc</t>
    <phoneticPr fontId="38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</si>
  <si>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</si>
  <si>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</si>
  <si>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</si>
  <si>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</si>
  <si>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</si>
  <si>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</si>
  <si>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8" type="noConversion"/>
  </si>
  <si>
    <t>法师</t>
    <phoneticPr fontId="38" type="noConversion"/>
  </si>
  <si>
    <t>炼金</t>
    <phoneticPr fontId="38" type="noConversion"/>
  </si>
  <si>
    <t>简单</t>
    <phoneticPr fontId="38" type="noConversion"/>
  </si>
  <si>
    <t>超难</t>
    <phoneticPr fontId="38" type="noConversion"/>
  </si>
  <si>
    <t>攻城</t>
    <phoneticPr fontId="38" type="noConversion"/>
  </si>
  <si>
    <t>普通</t>
    <phoneticPr fontId="38" type="noConversion"/>
  </si>
  <si>
    <t>困难</t>
    <phoneticPr fontId="38" type="noConversion"/>
  </si>
  <si>
    <t>黄巾-普通-教徒+法兵</t>
  </si>
  <si>
    <t>教徒</t>
    <phoneticPr fontId="38" type="noConversion"/>
  </si>
  <si>
    <t>Desc</t>
    <phoneticPr fontId="38" type="noConversion"/>
  </si>
  <si>
    <t>法师</t>
    <phoneticPr fontId="38" type="noConversion"/>
  </si>
  <si>
    <t>董卓</t>
    <phoneticPr fontId="38" type="noConversion"/>
  </si>
  <si>
    <t>盾甲</t>
    <phoneticPr fontId="38" type="noConversion"/>
  </si>
  <si>
    <t>盾英</t>
    <phoneticPr fontId="38" type="noConversion"/>
  </si>
  <si>
    <t>法兵</t>
    <phoneticPr fontId="38" type="noConversion"/>
  </si>
  <si>
    <t>强弓</t>
    <phoneticPr fontId="38" type="noConversion"/>
  </si>
  <si>
    <t>强弓英雄</t>
    <phoneticPr fontId="38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</si>
  <si>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</si>
  <si>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</si>
  <si>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</si>
  <si>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</si>
  <si>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</si>
  <si>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</si>
  <si>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</si>
  <si>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</si>
  <si>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</si>
  <si>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</si>
  <si>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</si>
  <si>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</si>
  <si>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</si>
  <si>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</si>
  <si>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</si>
  <si>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</si>
  <si>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</si>
  <si>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</si>
  <si>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</si>
  <si>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</si>
  <si>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</si>
  <si>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</si>
  <si>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</si>
  <si>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</si>
  <si>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</si>
  <si>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</si>
  <si>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</si>
  <si>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</si>
  <si>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</si>
  <si>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</si>
  <si>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</si>
  <si>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</si>
  <si>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</si>
  <si>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</si>
  <si>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</si>
  <si>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</si>
  <si>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</si>
  <si>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</si>
  <si>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</si>
  <si>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</si>
  <si>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</si>
  <si>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</si>
  <si>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</si>
  <si>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</si>
  <si>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</si>
  <si>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</si>
  <si>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</si>
  <si>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</si>
  <si>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</si>
  <si>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</si>
  <si>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</si>
  <si>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</si>
  <si>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</si>
  <si>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</si>
  <si>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</si>
  <si>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</si>
  <si>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</si>
  <si>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</si>
  <si>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</si>
  <si>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</si>
  <si>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</si>
  <si>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</si>
  <si>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</si>
  <si>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</si>
  <si>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</si>
  <si>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</si>
  <si>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</si>
  <si>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</si>
  <si>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</si>
  <si>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</si>
  <si>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</si>
  <si>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</si>
  <si>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</si>
  <si>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</si>
  <si>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</si>
  <si>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</si>
  <si>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</si>
  <si>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</si>
  <si>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</si>
  <si>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</si>
  <si>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</si>
  <si>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</si>
  <si>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</si>
  <si>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</si>
  <si>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</si>
  <si>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</si>
  <si>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</si>
  <si>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</si>
  <si>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</si>
  <si>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</si>
  <si>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</si>
  <si>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</si>
  <si>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</si>
  <si>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</si>
  <si>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</si>
  <si>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</si>
  <si>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</si>
  <si>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</si>
  <si>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</si>
  <si>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</si>
  <si>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</si>
  <si>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</si>
  <si>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</si>
  <si>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</si>
  <si>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</si>
  <si>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</si>
  <si>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</si>
  <si>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</si>
  <si>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</si>
  <si>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</si>
  <si>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</si>
  <si>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</si>
  <si>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</si>
  <si>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</si>
  <si>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</si>
  <si>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</si>
  <si>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</si>
  <si>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</si>
  <si>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</si>
  <si>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</si>
  <si>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</si>
  <si>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</si>
  <si>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</si>
  <si>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</si>
  <si>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</si>
  <si>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</si>
  <si>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</si>
  <si>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</si>
  <si>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</si>
  <si>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</si>
  <si>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</si>
  <si>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</si>
  <si>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</si>
  <si>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</si>
  <si>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</si>
  <si>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</si>
  <si>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</si>
  <si>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</si>
  <si>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</si>
  <si>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</si>
  <si>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</si>
  <si>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</si>
  <si>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</si>
  <si>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</si>
  <si>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</si>
  <si>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</si>
  <si>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</si>
  <si>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</si>
  <si>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</si>
  <si>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</si>
  <si>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</si>
  <si>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</si>
  <si>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</si>
  <si>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</si>
  <si>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</si>
  <si>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</si>
  <si>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</si>
  <si>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</si>
  <si>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</si>
  <si>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</si>
  <si>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</si>
  <si>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</si>
  <si>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</si>
  <si>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</si>
  <si>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</si>
  <si>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</si>
  <si>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38" type="noConversion"/>
  </si>
  <si>
    <t>盾甲英雄</t>
    <phoneticPr fontId="38" type="noConversion"/>
  </si>
  <si>
    <t>炼金英雄</t>
    <phoneticPr fontId="38" type="noConversion"/>
  </si>
  <si>
    <t>黄巾渠帅</t>
    <phoneticPr fontId="38" type="noConversion"/>
  </si>
  <si>
    <t>教徒</t>
    <phoneticPr fontId="38" type="noConversion"/>
  </si>
  <si>
    <t>教徒</t>
    <phoneticPr fontId="38" type="noConversion"/>
  </si>
  <si>
    <t>强英</t>
    <phoneticPr fontId="38" type="noConversion"/>
  </si>
  <si>
    <t>小方首领</t>
    <phoneticPr fontId="38" type="noConversion"/>
  </si>
  <si>
    <t>大方首领</t>
    <phoneticPr fontId="38" type="noConversion"/>
  </si>
  <si>
    <t>盾英</t>
    <phoneticPr fontId="38" type="noConversion"/>
  </si>
  <si>
    <t>法英</t>
    <phoneticPr fontId="38" type="noConversion"/>
  </si>
  <si>
    <t>heros</t>
    <phoneticPr fontId="38" type="noConversion"/>
  </si>
  <si>
    <t>张角</t>
    <phoneticPr fontId="38" type="noConversion"/>
  </si>
  <si>
    <t>法师</t>
    <phoneticPr fontId="38" type="noConversion"/>
  </si>
  <si>
    <t>吕布</t>
    <phoneticPr fontId="38" type="noConversion"/>
  </si>
  <si>
    <t>吕布亲卫</t>
    <phoneticPr fontId="38" type="noConversion"/>
  </si>
  <si>
    <t>李傕</t>
    <phoneticPr fontId="38" type="noConversion"/>
  </si>
  <si>
    <t>强弓</t>
    <phoneticPr fontId="38" type="noConversion"/>
  </si>
  <si>
    <t>李傕亲卫</t>
    <phoneticPr fontId="38" type="noConversion"/>
  </si>
  <si>
    <t>董卓亲卫</t>
    <phoneticPr fontId="38" type="noConversion"/>
  </si>
  <si>
    <t>飞熊军后卫</t>
    <phoneticPr fontId="38" type="noConversion"/>
  </si>
  <si>
    <t>强弓前锋</t>
    <phoneticPr fontId="38" type="noConversion"/>
  </si>
  <si>
    <t>伍长</t>
    <phoneticPr fontId="38" type="noConversion"/>
  </si>
  <si>
    <t>铁骑前锋</t>
    <phoneticPr fontId="38" type="noConversion"/>
  </si>
  <si>
    <t>什长</t>
    <phoneticPr fontId="38" type="noConversion"/>
  </si>
  <si>
    <t>铁骑</t>
    <phoneticPr fontId="38" type="noConversion"/>
  </si>
  <si>
    <t>困难3英-近近远</t>
  </si>
  <si>
    <t>困难3英-近远远</t>
  </si>
  <si>
    <t>卒伯</t>
    <phoneticPr fontId="38" type="noConversion"/>
  </si>
  <si>
    <t>法术前锋</t>
    <phoneticPr fontId="38" type="noConversion"/>
  </si>
  <si>
    <t>屯长</t>
    <phoneticPr fontId="38" type="noConversion"/>
  </si>
  <si>
    <t>郭汜</t>
    <phoneticPr fontId="38" type="noConversion"/>
  </si>
  <si>
    <t>炼金前锋</t>
    <phoneticPr fontId="38" type="noConversion"/>
  </si>
  <si>
    <t>军候</t>
    <phoneticPr fontId="38" type="noConversion"/>
  </si>
  <si>
    <t>校尉</t>
    <phoneticPr fontId="38" type="noConversion"/>
  </si>
  <si>
    <t>张济亲卫</t>
    <phoneticPr fontId="38" type="noConversion"/>
  </si>
  <si>
    <t>冲锋营先锋</t>
    <phoneticPr fontId="38" type="noConversion"/>
  </si>
  <si>
    <t>冲锋营长</t>
    <phoneticPr fontId="38" type="noConversion"/>
  </si>
  <si>
    <t>盾甲</t>
    <phoneticPr fontId="38" type="noConversion"/>
  </si>
  <si>
    <t>陈宫</t>
    <phoneticPr fontId="38" type="noConversion"/>
  </si>
  <si>
    <t>骁勇军先锋</t>
    <phoneticPr fontId="38" type="noConversion"/>
  </si>
  <si>
    <t>骁勇军长</t>
    <phoneticPr fontId="38" type="noConversion"/>
  </si>
  <si>
    <t>善战军先锋</t>
    <phoneticPr fontId="38" type="noConversion"/>
  </si>
  <si>
    <t>善战军长</t>
    <phoneticPr fontId="38" type="noConversion"/>
  </si>
  <si>
    <t>樊稠亲卫</t>
    <phoneticPr fontId="38" type="noConversion"/>
  </si>
  <si>
    <t>左军营先锋</t>
    <phoneticPr fontId="38" type="noConversion"/>
  </si>
  <si>
    <t>左军营长</t>
    <phoneticPr fontId="38" type="noConversion"/>
  </si>
  <si>
    <t>右军营先锋</t>
    <phoneticPr fontId="38" type="noConversion"/>
  </si>
  <si>
    <t>右军营长</t>
    <phoneticPr fontId="38" type="noConversion"/>
  </si>
  <si>
    <t>徐荣亲卫</t>
    <phoneticPr fontId="38" type="noConversion"/>
  </si>
  <si>
    <t>胡轸</t>
    <phoneticPr fontId="38" type="noConversion"/>
  </si>
  <si>
    <t>徐荣</t>
    <phoneticPr fontId="38" type="noConversion"/>
  </si>
  <si>
    <t>李蒙</t>
  </si>
  <si>
    <t>王方</t>
  </si>
  <si>
    <t>大乔</t>
  </si>
  <si>
    <t>李蒙</t>
    <phoneticPr fontId="38" type="noConversion"/>
  </si>
  <si>
    <t>王方</t>
    <phoneticPr fontId="38" type="noConversion"/>
  </si>
  <si>
    <t>大乔</t>
    <phoneticPr fontId="38" type="noConversion"/>
  </si>
  <si>
    <t>炼金英雄</t>
    <phoneticPr fontId="38" type="noConversion"/>
  </si>
  <si>
    <t>盾甲英雄</t>
    <phoneticPr fontId="38" type="noConversion"/>
  </si>
  <si>
    <t>李肃</t>
    <phoneticPr fontId="38" type="noConversion"/>
  </si>
  <si>
    <t>强英</t>
    <phoneticPr fontId="38" type="noConversion"/>
  </si>
  <si>
    <t>王方</t>
    <phoneticPr fontId="38" type="noConversion"/>
  </si>
  <si>
    <t>铁骑</t>
    <phoneticPr fontId="38" type="noConversion"/>
  </si>
  <si>
    <t>法师</t>
    <phoneticPr fontId="38" type="noConversion"/>
  </si>
  <si>
    <t>盾甲</t>
    <phoneticPr fontId="38" type="noConversion"/>
  </si>
  <si>
    <t>炼金</t>
    <phoneticPr fontId="38" type="noConversion"/>
  </si>
  <si>
    <t>强弓</t>
    <phoneticPr fontId="38" type="noConversion"/>
  </si>
  <si>
    <t>羽林骑精锐</t>
    <phoneticPr fontId="38" type="noConversion"/>
  </si>
  <si>
    <t>陷阵营长</t>
    <phoneticPr fontId="38" type="noConversion"/>
  </si>
  <si>
    <t>宿卫军先锋</t>
    <phoneticPr fontId="38" type="noConversion"/>
  </si>
  <si>
    <t>刺英</t>
    <phoneticPr fontId="38" type="noConversion"/>
  </si>
  <si>
    <t>左翼首领</t>
    <phoneticPr fontId="38" type="noConversion"/>
  </si>
  <si>
    <t>刺客</t>
    <phoneticPr fontId="38" type="noConversion"/>
  </si>
  <si>
    <t>铁骑</t>
    <phoneticPr fontId="38" type="noConversion"/>
  </si>
  <si>
    <t>强弓</t>
    <phoneticPr fontId="38" type="noConversion"/>
  </si>
  <si>
    <t>三军队长</t>
    <phoneticPr fontId="38" type="noConversion"/>
  </si>
  <si>
    <t>炼金</t>
    <phoneticPr fontId="38" type="noConversion"/>
  </si>
  <si>
    <t>教徒</t>
    <phoneticPr fontId="38" type="noConversion"/>
  </si>
  <si>
    <t>盾甲</t>
    <phoneticPr fontId="38" type="noConversion"/>
  </si>
  <si>
    <t>法师</t>
    <phoneticPr fontId="38" type="noConversion"/>
  </si>
  <si>
    <t>纪灵</t>
    <phoneticPr fontId="38" type="noConversion"/>
  </si>
  <si>
    <t>黄巾渠帅</t>
    <phoneticPr fontId="38" type="noConversion"/>
  </si>
  <si>
    <t>强弓英雄</t>
    <phoneticPr fontId="38" type="noConversion"/>
  </si>
  <si>
    <t>法师英雄</t>
    <phoneticPr fontId="38" type="noConversion"/>
  </si>
  <si>
    <t>法师</t>
    <phoneticPr fontId="38" type="noConversion"/>
  </si>
  <si>
    <t>黄巾-普通-强英+教徒</t>
  </si>
  <si>
    <t>黄巾-普通-盾英+法英</t>
  </si>
  <si>
    <t>黄巾-困难-强英+教徒</t>
  </si>
  <si>
    <t>黄巾-困难-盾英+法英+法英</t>
  </si>
  <si>
    <t>黄巾-超难-[B]盾英+法英+刺英</t>
  </si>
  <si>
    <t>[B]黄巾刺客英雄</t>
  </si>
  <si>
    <t>三国-困难-铁英+铁英+强英</t>
  </si>
  <si>
    <t>三国-困难-铁英+铁英+炼英</t>
  </si>
  <si>
    <t>三国-困难-铁英+铁英+法英</t>
  </si>
  <si>
    <t>三国-困难-铁英+铁英+刺英</t>
  </si>
  <si>
    <t>三国-困难-盾英+盾英+强英</t>
  </si>
  <si>
    <t>三国-困难-盾英+盾英+炼英</t>
  </si>
  <si>
    <t>三国-困难-盾英+盾英+法英</t>
  </si>
  <si>
    <t>三国-困难-盾英+盾英+刺英</t>
  </si>
  <si>
    <t>三国-困难-铁英+盾英+强英</t>
  </si>
  <si>
    <t>三国-困难-铁英+盾英+炼英</t>
  </si>
  <si>
    <t>三国-困难-铁英+盾英+法英</t>
  </si>
  <si>
    <t>三国-困难-铁英+盾英+刺英</t>
  </si>
  <si>
    <t>三国-困难-铁英+强英+强英</t>
  </si>
  <si>
    <t>三国-困难-铁英+炼英+炼英</t>
  </si>
  <si>
    <t>三国-困难-铁英+法英+法英</t>
  </si>
  <si>
    <t>三国-困难-铁英+刺英+刺英</t>
  </si>
  <si>
    <t>三国-困难-铁英+强英+炼英</t>
  </si>
  <si>
    <t>三国-困难-铁英+强英+法英</t>
  </si>
  <si>
    <t>三国-困难-铁英+炼英+法英</t>
  </si>
  <si>
    <t>三国-困难-铁英+炼英+刺英</t>
  </si>
  <si>
    <t>三国-困难-铁英+法英+刺英</t>
  </si>
  <si>
    <t>三国-困难-盾英+强英+强英</t>
  </si>
  <si>
    <t>三国-困难-盾英+炼英+炼英</t>
  </si>
  <si>
    <t>三国-困难-盾英+法英+法英</t>
  </si>
  <si>
    <t>三国-困难-盾英+刺英+刺英</t>
  </si>
  <si>
    <t>三国-困难-盾英+强英+炼英</t>
  </si>
  <si>
    <t>三国-困难-盾英+强英+法英</t>
  </si>
  <si>
    <t>三国-困难-盾英+炼英+法英</t>
  </si>
  <si>
    <t>三国-困难-盾英+炼英+刺英</t>
  </si>
  <si>
    <t>三国-困难-盾英+法英+刺英</t>
  </si>
  <si>
    <t>三国-超难-盾英+强英+强英</t>
  </si>
  <si>
    <t>三国-超难-[B]盾英+强英+强英</t>
  </si>
  <si>
    <t>三国-超难-[B]盾英+强英+刺英</t>
  </si>
  <si>
    <t>李蒙</t>
    <phoneticPr fontId="38" type="noConversion"/>
  </si>
  <si>
    <t>王方</t>
    <phoneticPr fontId="38" type="noConversion"/>
  </si>
  <si>
    <t>贾诩</t>
    <phoneticPr fontId="38" type="noConversion"/>
  </si>
  <si>
    <t>十五将军</t>
    <phoneticPr fontId="38" type="noConversion"/>
  </si>
  <si>
    <t>张梁</t>
    <phoneticPr fontId="38" type="noConversion"/>
  </si>
  <si>
    <t>黄巾-困难-[B]盾英+法兵1</t>
  </si>
  <si>
    <t>黄巾-困难-法英+教徒1</t>
  </si>
  <si>
    <t>名将本</t>
    <phoneticPr fontId="38" type="noConversion"/>
  </si>
  <si>
    <t>简单</t>
    <phoneticPr fontId="38" type="noConversion"/>
  </si>
  <si>
    <t>名将本</t>
    <phoneticPr fontId="38" type="noConversion"/>
  </si>
  <si>
    <t>困难</t>
    <phoneticPr fontId="38" type="noConversion"/>
  </si>
  <si>
    <t>盾甲英雄</t>
    <phoneticPr fontId="38" type="noConversion"/>
  </si>
  <si>
    <t>强弓英雄</t>
    <phoneticPr fontId="38" type="noConversion"/>
  </si>
  <si>
    <t>田丰</t>
    <phoneticPr fontId="38" type="noConversion"/>
  </si>
  <si>
    <t>三国-超难-铁英+强英+刺英</t>
  </si>
  <si>
    <t>三国-超难-盾英+强英+刺英</t>
  </si>
  <si>
    <t>三国-超难-[B]铁英+强英+刺英</t>
  </si>
  <si>
    <t>三国-变态-铁英+强英+刺英</t>
  </si>
  <si>
    <t>三国-变态-盾英+强英+强英</t>
  </si>
  <si>
    <t>三国-变态-盾英+强英+刺英</t>
  </si>
  <si>
    <t>三国-变态-[B]铁英+强英+刺英</t>
  </si>
  <si>
    <t>三国-变态-[B]盾英+强英+强英</t>
  </si>
  <si>
    <t>三国-变态-[B]盾英+强英+刺英</t>
  </si>
  <si>
    <t>黄巾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</si>
</sst>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0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9" fillId="0" borderId="0">
      <alignment vertical="center"/>
    </xf>
  </cellStyleXfs>
  <cellXfs count="58">
    <xf numFmtId="0" fontId="0" fillId="0" borderId="0" xfId="0"/>
    <xf numFmtId="0" fontId="40" fillId="0" borderId="0" xfId="0" applyFont="1"/>
    <xf numFmtId="0" fontId="41" fillId="0" borderId="0" xfId="0" applyFont="1"/>
    <xf numFmtId="0" fontId="37" fillId="0" borderId="0" xfId="0" applyFont="1"/>
    <xf numFmtId="0" fontId="42" fillId="0" borderId="0" xfId="0" applyFont="1"/>
    <xf numFmtId="0" fontId="36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45" fillId="0" borderId="0" xfId="0" applyFont="1"/>
    <xf numFmtId="0" fontId="45" fillId="0" borderId="0" xfId="0" applyNumberFormat="1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46" fillId="0" borderId="0" xfId="0" applyFont="1" applyAlignment="1">
      <alignment vertical="center"/>
    </xf>
    <xf numFmtId="0" fontId="24" fillId="0" borderId="0" xfId="0" applyFont="1"/>
    <xf numFmtId="0" fontId="24" fillId="0" borderId="0" xfId="0" applyNumberFormat="1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1" fillId="0" borderId="0" xfId="0" applyNumberFormat="1" applyFont="1"/>
    <xf numFmtId="0" fontId="47" fillId="0" borderId="0" xfId="0" applyFont="1"/>
    <xf numFmtId="0" fontId="47" fillId="0" borderId="0" xfId="0" applyNumberFormat="1" applyFont="1"/>
    <xf numFmtId="0" fontId="48" fillId="0" borderId="0" xfId="0" applyFont="1"/>
    <xf numFmtId="0" fontId="48" fillId="0" borderId="0" xfId="0" applyNumberFormat="1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 applyAlignment="1">
      <alignment vertical="center"/>
    </xf>
    <xf numFmtId="0" fontId="11" fillId="0" borderId="0" xfId="0" applyFont="1"/>
    <xf numFmtId="0" fontId="11" fillId="0" borderId="0" xfId="0" applyNumberFormat="1" applyFont="1"/>
    <xf numFmtId="0" fontId="10" fillId="0" borderId="0" xfId="0" applyFont="1"/>
    <xf numFmtId="0" fontId="9" fillId="0" borderId="0" xfId="0" applyFont="1"/>
    <xf numFmtId="0" fontId="9" fillId="0" borderId="0" xfId="0" applyNumberFormat="1" applyFont="1"/>
    <xf numFmtId="0" fontId="8" fillId="0" borderId="0" xfId="0" applyFont="1"/>
    <xf numFmtId="0" fontId="7" fillId="0" borderId="0" xfId="0" applyFont="1"/>
    <xf numFmtId="0" fontId="7" fillId="0" borderId="0" xfId="0" applyNumberFormat="1" applyFont="1"/>
    <xf numFmtId="0" fontId="6" fillId="0" borderId="1" xfId="0" applyFont="1" applyBorder="1"/>
    <xf numFmtId="0" fontId="6" fillId="0" borderId="0" xfId="0" applyFont="1"/>
    <xf numFmtId="0" fontId="6" fillId="0" borderId="0" xfId="0" applyNumberFormat="1" applyFont="1"/>
    <xf numFmtId="0" fontId="6" fillId="0" borderId="2" xfId="0" applyFont="1" applyBorder="1"/>
    <xf numFmtId="0" fontId="6" fillId="0" borderId="0" xfId="0" applyFont="1" applyBorder="1"/>
    <xf numFmtId="0" fontId="5" fillId="0" borderId="0" xfId="0" applyFont="1"/>
    <xf numFmtId="0" fontId="4" fillId="0" borderId="0" xfId="0" applyFont="1"/>
    <xf numFmtId="0" fontId="3" fillId="0" borderId="0" xfId="0" applyFont="1"/>
    <xf numFmtId="0" fontId="3" fillId="0" borderId="0" xfId="0" applyNumberFormat="1" applyFont="1"/>
    <xf numFmtId="0" fontId="2" fillId="0" borderId="0" xfId="0" applyFont="1"/>
  </cellXfs>
  <cellStyles count="2">
    <cellStyle name="常规" xfId="0" builtinId="0"/>
    <cellStyle name="常规 2" xfId="1"/>
  </cellStyles>
  <dxfs count="1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409" totalsRowShown="0" headerRowDxfId="174" dataDxfId="173">
  <tableColumns count="42">
    <tableColumn id="1" name="Camp" dataDxfId="172"/>
    <tableColumn id="2" name="Difficulty" dataDxfId="171"/>
    <tableColumn id="13" name="Type" dataDxfId="170"/>
    <tableColumn id="11" name="IsBoss" dataDxfId="169"/>
    <tableColumn id="3" name="HeroCount" dataDxfId="168"/>
    <tableColumn id="4" name="SoldierCount" dataDxfId="167"/>
    <tableColumn id="5" name="Hero1" dataDxfId="166"/>
    <tableColumn id="6" name="Hero2" dataDxfId="165"/>
    <tableColumn id="7" name="Hero3" dataDxfId="164"/>
    <tableColumn id="8" name="Soldier1" dataDxfId="163"/>
    <tableColumn id="9" name="Soldier2" dataDxfId="162"/>
    <tableColumn id="14" name="Soldier3" dataDxfId="161"/>
    <tableColumn id="12" name="Check" dataDxfId="160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59"/>
    <tableColumn id="10" name="GroupName" dataDxfId="158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57"/>
    <tableColumn id="16" name="VersionID" dataDxfId="156"/>
    <tableColumn id="43" name="IgnoreGen" dataDxfId="155"/>
    <tableColumn id="18" name="Monster1" dataDxfId="154"/>
    <tableColumn id="19" name="Monster2" dataDxfId="153"/>
    <tableColumn id="20" name="Monster3" dataDxfId="152"/>
    <tableColumn id="21" name="Monster4" dataDxfId="151"/>
    <tableColumn id="22" name="Monster5" dataDxfId="150"/>
    <tableColumn id="23" name="Monster6" dataDxfId="149"/>
    <tableColumn id="24" name="Monster7" dataDxfId="148"/>
    <tableColumn id="25" name="Monster8" dataDxfId="147"/>
    <tableColumn id="26" name="Monster9" dataDxfId="146"/>
    <tableColumn id="27" name="Monster10" dataDxfId="145"/>
    <tableColumn id="28" name="Monster11" dataDxfId="144"/>
    <tableColumn id="29" name="Monster12" dataDxfId="143"/>
    <tableColumn id="30" name="Monster13" dataDxfId="142"/>
    <tableColumn id="31" name="Monster14" dataDxfId="141"/>
    <tableColumn id="32" name="Monster15" dataDxfId="140"/>
    <tableColumn id="33" name="Monster16" dataDxfId="139"/>
    <tableColumn id="34" name="Monster17" dataDxfId="138"/>
    <tableColumn id="35" name="Monster18" dataDxfId="137"/>
    <tableColumn id="36" name="Monster19" dataDxfId="136"/>
    <tableColumn id="37" name="Monster20" dataDxfId="135"/>
    <tableColumn id="38" name="Monster21" dataDxfId="134"/>
    <tableColumn id="39" name="Monster22" dataDxfId="133"/>
    <tableColumn id="40" name="Monster23" dataDxfId="132"/>
    <tableColumn id="41" name="Monster24" dataDxfId="1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28" dataDxfId="127">
  <tableColumns count="19">
    <tableColumn id="2" name="StageName" dataDxfId="126"/>
    <tableColumn id="17" name="Play" dataDxfId="125"/>
    <tableColumn id="3" name="Wave" dataDxfId="124"/>
    <tableColumn id="19" name="Desc" dataDxfId="123"/>
    <tableColumn id="18" name="WaitTime" dataDxfId="122"/>
    <tableColumn id="15" name="Camp" dataDxfId="121"/>
    <tableColumn id="13" name="Difficulty" dataDxfId="120"/>
    <tableColumn id="14" name="IsBoss" dataDxfId="119"/>
    <tableColumn id="4" name="Hero1" dataDxfId="118"/>
    <tableColumn id="5" name="Hero2" dataDxfId="117"/>
    <tableColumn id="6" name="Hero3" dataDxfId="116"/>
    <tableColumn id="7" name="Soldier1" dataDxfId="115"/>
    <tableColumn id="8" name="Soldier2" dataDxfId="114"/>
    <tableColumn id="9" name="Soldier3" dataDxfId="113"/>
    <tableColumn id="10" name="GroupCount" dataDxfId="112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11"/>
    <tableColumn id="1" name="Boss" dataDxfId="110"/>
    <tableColumn id="16" name="AllyHero" dataDxfId="109"/>
    <tableColumn id="12" name="Group" dataDxfId="108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05" dataDxfId="104">
  <tableColumns count="18">
    <tableColumn id="2" name="StageName" dataDxfId="103"/>
    <tableColumn id="17" name="Play" dataDxfId="102"/>
    <tableColumn id="3" name="Wave" dataDxfId="101"/>
    <tableColumn id="18" name="WaitTime" dataDxfId="100"/>
    <tableColumn id="15" name="Camp" dataDxfId="99"/>
    <tableColumn id="13" name="Difficulty" dataDxfId="98"/>
    <tableColumn id="14" name="IsBoss" dataDxfId="97"/>
    <tableColumn id="4" name="Hero1" dataDxfId="96"/>
    <tableColumn id="5" name="Hero2" dataDxfId="95"/>
    <tableColumn id="6" name="Hero3" dataDxfId="94"/>
    <tableColumn id="7" name="Soldier1" dataDxfId="93"/>
    <tableColumn id="8" name="Soldier2" dataDxfId="92"/>
    <tableColumn id="9" name="Soldier3" dataDxfId="91"/>
    <tableColumn id="10" name="GroupCount" dataDxfId="90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89"/>
    <tableColumn id="16" name="AllyHero" dataDxfId="88"/>
    <tableColumn id="1" name="Boss" dataDxfId="87"/>
    <tableColumn id="12" name="Group" dataDxfId="86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83" dataDxfId="82">
  <tableColumns count="18">
    <tableColumn id="2" name="StageName" dataDxfId="81"/>
    <tableColumn id="17" name="Play" dataDxfId="80"/>
    <tableColumn id="3" name="Wave" dataDxfId="79"/>
    <tableColumn id="18" name="WaitTime" dataDxfId="78"/>
    <tableColumn id="15" name="Camp" dataDxfId="77"/>
    <tableColumn id="13" name="Difficulty" dataDxfId="76"/>
    <tableColumn id="14" name="IsBoss" dataDxfId="75"/>
    <tableColumn id="4" name="Hero1" dataDxfId="74"/>
    <tableColumn id="5" name="Hero2" dataDxfId="73"/>
    <tableColumn id="6" name="Hero3" dataDxfId="72"/>
    <tableColumn id="7" name="Soldier1" dataDxfId="71"/>
    <tableColumn id="8" name="Soldier2" dataDxfId="70"/>
    <tableColumn id="9" name="Soldier3" dataDxfId="69"/>
    <tableColumn id="10" name="GroupCount" dataDxfId="68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67"/>
    <tableColumn id="16" name="AllyHero" dataDxfId="66"/>
    <tableColumn id="1" name="Boss" dataDxfId="65"/>
    <tableColumn id="12" name="Group" dataDxfId="64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S152" totalsRowShown="0" headerRowDxfId="61" dataDxfId="60">
  <tableColumns count="18">
    <tableColumn id="2" name="StageName" dataDxfId="59"/>
    <tableColumn id="3" name="Wave" dataDxfId="58"/>
    <tableColumn id="17" name="WaitTime" dataDxfId="57"/>
    <tableColumn id="18" name="Desc" dataDxfId="56"/>
    <tableColumn id="15" name="Camp" dataDxfId="55"/>
    <tableColumn id="13" name="Difficulty" dataDxfId="54"/>
    <tableColumn id="14" name="IsBoss" dataDxfId="53"/>
    <tableColumn id="4" name="Hero1" dataDxfId="52"/>
    <tableColumn id="5" name="Hero2" dataDxfId="51"/>
    <tableColumn id="6" name="Hero3" dataDxfId="50"/>
    <tableColumn id="7" name="Soldier1" dataDxfId="49"/>
    <tableColumn id="8" name="Soldier2" dataDxfId="48"/>
    <tableColumn id="9" name="Soldier3" dataDxfId="47"/>
    <tableColumn id="10" name="GroupCount" dataDxfId="46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45"/>
    <tableColumn id="16" name="AllyHero" dataDxfId="44"/>
    <tableColumn id="1" name="Boss" dataDxfId="43"/>
    <tableColumn id="12" name="Group" dataDxfId="42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39" dataDxfId="38">
  <tableColumns count="2">
    <tableColumn id="1" name="Type" dataDxfId="37"/>
    <tableColumn id="2" name="Index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Type" displayName="tbUnitNameToType" ref="B2:D345" totalsRowShown="0" headerRowDxfId="35" dataDxfId="34">
  <tableColumns count="3">
    <tableColumn id="1" name="Name" dataDxfId="33"/>
    <tableColumn id="2" name="Type" dataDxfId="32"/>
    <tableColumn id="3" name="Index" dataDxfId="31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表13" displayName="表13" ref="I2:J19" totalsRowShown="0" headerRowDxfId="30" dataDxfId="29">
  <tableColumns count="2">
    <tableColumn id="1" name="name" dataDxfId="28"/>
    <tableColumn id="2" name="type" dataDxfId="27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26" dataDxfId="25">
  <tableColumns count="1">
    <tableColumn id="1" name="HeroIndex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23" dataDxfId="22">
  <tableColumns count="1">
    <tableColumn id="1" name="SoldierIndex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20" dataDxfId="19">
  <tableColumns count="1">
    <tableColumn id="1" name="Soldier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8" totalsRowShown="0" headerRowDxfId="17" dataDxfId="16">
  <tableColumns count="2">
    <tableColumn id="1" name="Name" dataDxfId="15"/>
    <tableColumn id="2" name="Value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13" dataDxfId="12">
  <tableColumns count="1">
    <tableColumn id="1" name="Formation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表14" displayName="表14" ref="B2:F114" totalsRowShown="0" headerRowDxfId="10" dataDxfId="9">
  <tableColumns count="5">
    <tableColumn id="1" name="Play" dataDxfId="8"/>
    <tableColumn id="2" name="Difficulty" dataDxfId="7"/>
    <tableColumn id="3" name="Wave" dataDxfId="6"/>
    <tableColumn id="4" name="WaveDifficulty" dataDxfId="5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4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16" displayName="表16" ref="H2:I11" totalsRowShown="0" headerRowDxfId="3" dataDxfId="2">
  <tableColumns count="2">
    <tableColumn id="1" name="玩法" dataDxfId="1"/>
    <tableColumn id="2" name="波次数量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09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A5" sqref="A5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22.1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1238</v>
      </c>
      <c r="P4" s="15" t="s">
        <v>891</v>
      </c>
      <c r="Q4" s="15" t="s">
        <v>892</v>
      </c>
      <c r="R4" s="15" t="s">
        <v>893</v>
      </c>
      <c r="S4" s="15" t="s">
        <v>1239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1180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1182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57" t="s">
        <v>1734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7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7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7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7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7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7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7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1246</v>
      </c>
      <c r="R12" s="15">
        <v>7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7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1273</v>
      </c>
      <c r="R14" s="15">
        <v>7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7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7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>
        <v>1</v>
      </c>
      <c r="G17" s="6">
        <v>1</v>
      </c>
      <c r="H17" s="49" t="s">
        <v>1592</v>
      </c>
      <c r="I17" s="6"/>
      <c r="J17" s="6"/>
      <c r="K17" s="49" t="s">
        <v>1590</v>
      </c>
      <c r="L17" s="49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15" t="s">
        <v>40</v>
      </c>
      <c r="R17" s="15">
        <v>0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1244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15" t="s">
        <v>1246</v>
      </c>
      <c r="R18" s="15">
        <v>7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/>
      <c r="G19" s="6">
        <v>1</v>
      </c>
      <c r="H19" s="6"/>
      <c r="I19" s="6"/>
      <c r="J19" s="6"/>
      <c r="K19" s="30" t="s">
        <v>1245</v>
      </c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15" t="s">
        <v>1246</v>
      </c>
      <c r="R19" s="15">
        <v>7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/>
      <c r="H20" s="6" t="s">
        <v>156</v>
      </c>
      <c r="I20" s="6"/>
      <c r="J20" s="6"/>
      <c r="K20" s="6"/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15" t="s">
        <v>40</v>
      </c>
      <c r="R20" s="15">
        <v>7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>
        <v>1</v>
      </c>
      <c r="H21" s="6" t="s">
        <v>156</v>
      </c>
      <c r="I21" s="6"/>
      <c r="J21" s="6"/>
      <c r="K21" s="6" t="s">
        <v>49</v>
      </c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15" t="s">
        <v>40</v>
      </c>
      <c r="R21" s="15">
        <v>7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23" t="s">
        <v>1177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23" t="s">
        <v>1178</v>
      </c>
      <c r="R22" s="15">
        <v>7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>
        <v>2</v>
      </c>
      <c r="G23" s="6"/>
      <c r="H23" s="49" t="s">
        <v>1595</v>
      </c>
      <c r="I23" s="49" t="s">
        <v>1596</v>
      </c>
      <c r="J23" s="6"/>
      <c r="K23" s="6"/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49" t="s">
        <v>1597</v>
      </c>
      <c r="R23" s="15">
        <v>0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/>
      <c r="G24" s="6">
        <v>2</v>
      </c>
      <c r="H24" s="6"/>
      <c r="I24" s="6"/>
      <c r="J24" s="6"/>
      <c r="K24" s="6" t="s">
        <v>158</v>
      </c>
      <c r="L24" s="6" t="s">
        <v>162</v>
      </c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15" t="s">
        <v>40</v>
      </c>
      <c r="R24" s="15">
        <v>7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33</v>
      </c>
      <c r="D25" s="6"/>
      <c r="E25" s="7"/>
      <c r="F25" s="6"/>
      <c r="G25" s="6">
        <v>2</v>
      </c>
      <c r="H25" s="6"/>
      <c r="I25" s="6"/>
      <c r="J25" s="6"/>
      <c r="K25" s="6" t="s">
        <v>158</v>
      </c>
      <c r="L25" s="6" t="s">
        <v>160</v>
      </c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15" t="s">
        <v>40</v>
      </c>
      <c r="R25" s="15">
        <v>7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33</v>
      </c>
      <c r="D26" s="6"/>
      <c r="E26" s="7"/>
      <c r="F26" s="6">
        <v>1</v>
      </c>
      <c r="G26" s="6"/>
      <c r="H26" s="6" t="s">
        <v>152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15" t="s">
        <v>40</v>
      </c>
      <c r="R26" s="15">
        <v>7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/>
      <c r="G27" s="6">
        <v>1</v>
      </c>
      <c r="H27" s="6"/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15" t="s">
        <v>38</v>
      </c>
      <c r="R27" s="15">
        <v>7</v>
      </c>
      <c r="S27" s="15" t="b">
        <v>1</v>
      </c>
      <c r="T27" s="24" t="s">
        <v>30</v>
      </c>
      <c r="U27" s="24" t="s">
        <v>30</v>
      </c>
      <c r="V27" s="24" t="s">
        <v>30</v>
      </c>
      <c r="W27" s="24" t="s">
        <v>30</v>
      </c>
      <c r="X27" s="24" t="s">
        <v>30</v>
      </c>
      <c r="Y27" s="24" t="s">
        <v>30</v>
      </c>
      <c r="Z27" s="24" t="s">
        <v>30</v>
      </c>
      <c r="AA27" s="24" t="s">
        <v>30</v>
      </c>
      <c r="AB27" s="24" t="s">
        <v>30</v>
      </c>
      <c r="AC27" s="24" t="s">
        <v>30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153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15" t="s">
        <v>40</v>
      </c>
      <c r="R28" s="15">
        <v>7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15" t="s">
        <v>40</v>
      </c>
      <c r="R29" s="15">
        <v>7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/>
      <c r="F30" s="6">
        <v>1</v>
      </c>
      <c r="G30" s="6"/>
      <c r="H30" s="6" t="s">
        <v>156</v>
      </c>
      <c r="I30" s="6"/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>
        <v>1</v>
      </c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15" t="s">
        <v>40</v>
      </c>
      <c r="R30" s="15">
        <v>7</v>
      </c>
      <c r="S30" s="15" t="b">
        <v>1</v>
      </c>
      <c r="T30" s="24" t="s">
        <v>379</v>
      </c>
      <c r="U30" s="24" t="s">
        <v>32</v>
      </c>
      <c r="V30" s="24" t="s">
        <v>32</v>
      </c>
      <c r="W30" s="24" t="s">
        <v>32</v>
      </c>
      <c r="X30" s="24" t="s">
        <v>32</v>
      </c>
      <c r="Y30" s="24" t="s">
        <v>32</v>
      </c>
      <c r="Z30" s="24" t="s">
        <v>32</v>
      </c>
      <c r="AA30" s="24" t="s">
        <v>32</v>
      </c>
      <c r="AB30" s="24" t="s">
        <v>32</v>
      </c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/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15" t="s">
        <v>40</v>
      </c>
      <c r="R31" s="15">
        <v>7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/>
      <c r="F32" s="6">
        <v>1</v>
      </c>
      <c r="G32" s="6">
        <v>1</v>
      </c>
      <c r="H32" s="6" t="s">
        <v>156</v>
      </c>
      <c r="I32" s="6"/>
      <c r="J32" s="6"/>
      <c r="K32" s="6" t="s">
        <v>49</v>
      </c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>
        <v>1</v>
      </c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黄巾-困难-法英+教徒1</v>
      </c>
      <c r="Q32" s="15" t="s">
        <v>40</v>
      </c>
      <c r="R32" s="15">
        <v>0</v>
      </c>
      <c r="S32" s="15" t="b">
        <v>1</v>
      </c>
      <c r="T32" s="24" t="s">
        <v>379</v>
      </c>
      <c r="U32" s="24" t="s">
        <v>32</v>
      </c>
      <c r="V32" s="24" t="s">
        <v>32</v>
      </c>
      <c r="W32" s="24" t="s">
        <v>30</v>
      </c>
      <c r="X32" s="24" t="s">
        <v>30</v>
      </c>
      <c r="Y32" s="24" t="s">
        <v>30</v>
      </c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/>
      <c r="F33" s="6">
        <v>1</v>
      </c>
      <c r="G33" s="6">
        <v>1</v>
      </c>
      <c r="H33" s="6" t="s">
        <v>154</v>
      </c>
      <c r="I33" s="6"/>
      <c r="J33" s="6"/>
      <c r="K33" s="6" t="s">
        <v>49</v>
      </c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黄巾-困难-强英+教徒</v>
      </c>
      <c r="Q33" s="15" t="s">
        <v>40</v>
      </c>
      <c r="R33" s="15">
        <v>0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>
        <v>1</v>
      </c>
      <c r="H34" s="6" t="s">
        <v>156</v>
      </c>
      <c r="I34" s="6"/>
      <c r="J34" s="6"/>
      <c r="K34" s="6" t="s">
        <v>160</v>
      </c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4" s="15" t="s">
        <v>40</v>
      </c>
      <c r="R34" s="15">
        <v>7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1</v>
      </c>
      <c r="G35" s="6">
        <v>1</v>
      </c>
      <c r="H35" s="6" t="s">
        <v>156</v>
      </c>
      <c r="I35" s="6"/>
      <c r="J35" s="6"/>
      <c r="K35" s="6" t="s">
        <v>49</v>
      </c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5" s="15" t="s">
        <v>40</v>
      </c>
      <c r="R35" s="15">
        <v>7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 t="b">
        <v>1</v>
      </c>
      <c r="F36" s="6">
        <v>1</v>
      </c>
      <c r="G36" s="6"/>
      <c r="H36" s="6" t="s">
        <v>156</v>
      </c>
      <c r="I36" s="6"/>
      <c r="J36" s="6"/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6" s="15" t="s">
        <v>40</v>
      </c>
      <c r="R36" s="15">
        <v>7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2</v>
      </c>
      <c r="G37" s="6"/>
      <c r="H37" s="6" t="s">
        <v>152</v>
      </c>
      <c r="I37" s="6" t="s">
        <v>156</v>
      </c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7" s="15" t="s">
        <v>40</v>
      </c>
      <c r="R37" s="15">
        <v>7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/>
      <c r="F38" s="6">
        <v>3</v>
      </c>
      <c r="G38" s="6"/>
      <c r="H38" s="49" t="s">
        <v>1595</v>
      </c>
      <c r="I38" s="49" t="s">
        <v>1596</v>
      </c>
      <c r="J38" s="49" t="s">
        <v>1596</v>
      </c>
      <c r="K38" s="6"/>
      <c r="L38" s="6"/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8" s="49" t="s">
        <v>1597</v>
      </c>
      <c r="R38" s="15">
        <v>0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 t="b">
        <v>1</v>
      </c>
      <c r="F39" s="6">
        <v>1</v>
      </c>
      <c r="G39" s="6"/>
      <c r="H39" s="6" t="s">
        <v>152</v>
      </c>
      <c r="I39" s="6"/>
      <c r="J39" s="6"/>
      <c r="K39" s="6"/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9" s="15" t="s">
        <v>40</v>
      </c>
      <c r="R39" s="15">
        <v>7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35</v>
      </c>
      <c r="D40" s="6"/>
      <c r="E40" s="7" t="b">
        <v>1</v>
      </c>
      <c r="F40" s="6">
        <v>1</v>
      </c>
      <c r="G40" s="6"/>
      <c r="H40" s="23" t="s">
        <v>1177</v>
      </c>
      <c r="I40" s="6"/>
      <c r="J40" s="6"/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40" s="15" t="s">
        <v>40</v>
      </c>
      <c r="R40" s="15">
        <v>7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6" t="s">
        <v>597</v>
      </c>
      <c r="C41" s="6" t="s">
        <v>35</v>
      </c>
      <c r="D41" s="6"/>
      <c r="E41" s="7" t="b">
        <v>1</v>
      </c>
      <c r="F41" s="6">
        <v>1</v>
      </c>
      <c r="G41" s="6">
        <v>1</v>
      </c>
      <c r="H41" s="45" t="s">
        <v>1416</v>
      </c>
      <c r="I41" s="6"/>
      <c r="J41" s="6"/>
      <c r="K41" s="45" t="s">
        <v>1417</v>
      </c>
      <c r="L41" s="6"/>
      <c r="M41" s="6"/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41" s="15" t="s">
        <v>40</v>
      </c>
      <c r="R41" s="15">
        <v>7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6" t="s">
        <v>597</v>
      </c>
      <c r="C42" s="6" t="s">
        <v>35</v>
      </c>
      <c r="D42" s="6"/>
      <c r="E42" s="7" t="b">
        <v>1</v>
      </c>
      <c r="F42" s="6">
        <v>1</v>
      </c>
      <c r="G42" s="6">
        <v>1</v>
      </c>
      <c r="H42" s="45" t="s">
        <v>153</v>
      </c>
      <c r="I42" s="6"/>
      <c r="J42" s="6"/>
      <c r="K42" s="45" t="s">
        <v>162</v>
      </c>
      <c r="L42" s="6"/>
      <c r="M42" s="6"/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>
        <v>1</v>
      </c>
      <c r="P42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黄巾-困难-[B]盾英+法兵1</v>
      </c>
      <c r="Q42" s="15" t="s">
        <v>40</v>
      </c>
      <c r="R42" s="15">
        <v>0</v>
      </c>
      <c r="S42" s="15" t="b">
        <v>1</v>
      </c>
      <c r="T42" s="24" t="s">
        <v>1186</v>
      </c>
      <c r="U42" s="24" t="s">
        <v>32</v>
      </c>
      <c r="V42" s="24" t="s">
        <v>32</v>
      </c>
      <c r="W42" s="24" t="s">
        <v>32</v>
      </c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6" t="s">
        <v>597</v>
      </c>
      <c r="C43" s="6" t="s">
        <v>35</v>
      </c>
      <c r="D43" s="6"/>
      <c r="E43" s="7" t="b">
        <v>1</v>
      </c>
      <c r="F43" s="6">
        <v>1</v>
      </c>
      <c r="G43" s="6"/>
      <c r="H43" s="23" t="s">
        <v>1179</v>
      </c>
      <c r="I43" s="6"/>
      <c r="J43" s="6"/>
      <c r="K43" s="6"/>
      <c r="L43" s="6"/>
      <c r="M43" s="6"/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3" s="15" t="s">
        <v>40</v>
      </c>
      <c r="R43" s="15">
        <v>7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6" t="s">
        <v>597</v>
      </c>
      <c r="C44" s="6" t="s">
        <v>35</v>
      </c>
      <c r="D44" s="6"/>
      <c r="E44" s="7"/>
      <c r="F44" s="6"/>
      <c r="G44" s="6">
        <v>2</v>
      </c>
      <c r="H44" s="6"/>
      <c r="I44" s="6"/>
      <c r="J44" s="6"/>
      <c r="K44" s="6" t="s">
        <v>158</v>
      </c>
      <c r="L44" s="6" t="s">
        <v>162</v>
      </c>
      <c r="M44" s="6"/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4" s="15" t="s">
        <v>40</v>
      </c>
      <c r="R44" s="15">
        <v>7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6" t="s">
        <v>597</v>
      </c>
      <c r="C45" s="6" t="s">
        <v>35</v>
      </c>
      <c r="D45" s="6"/>
      <c r="E45" s="7"/>
      <c r="F45" s="6">
        <v>1</v>
      </c>
      <c r="G45" s="6"/>
      <c r="H45" s="6" t="s">
        <v>152</v>
      </c>
      <c r="I45" s="6"/>
      <c r="J45" s="6"/>
      <c r="K45" s="6"/>
      <c r="L45" s="6"/>
      <c r="M45" s="6"/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5" s="15" t="s">
        <v>40</v>
      </c>
      <c r="R45" s="15">
        <v>7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6" t="s">
        <v>597</v>
      </c>
      <c r="C46" s="6" t="s">
        <v>36</v>
      </c>
      <c r="D46" s="6"/>
      <c r="E46" s="7" t="b">
        <v>1</v>
      </c>
      <c r="F46" s="6">
        <v>3</v>
      </c>
      <c r="G46" s="6"/>
      <c r="H46" s="40" t="s">
        <v>1343</v>
      </c>
      <c r="I46" s="40" t="s">
        <v>1344</v>
      </c>
      <c r="J46" s="40" t="s">
        <v>1344</v>
      </c>
      <c r="K46" s="6"/>
      <c r="L46" s="6"/>
      <c r="M46" s="6"/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6" s="15" t="s">
        <v>40</v>
      </c>
      <c r="R46" s="15">
        <v>7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6" t="s">
        <v>597</v>
      </c>
      <c r="C47" s="6" t="s">
        <v>36</v>
      </c>
      <c r="D47" s="6"/>
      <c r="E47" s="7" t="b">
        <v>1</v>
      </c>
      <c r="F47" s="6">
        <v>3</v>
      </c>
      <c r="G47" s="6"/>
      <c r="H47" s="40" t="s">
        <v>464</v>
      </c>
      <c r="I47" s="40" t="s">
        <v>461</v>
      </c>
      <c r="J47" s="40" t="s">
        <v>157</v>
      </c>
      <c r="K47" s="6"/>
      <c r="L47" s="6"/>
      <c r="M47" s="6"/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黄巾-超难-[B]盾英+法英+刺英</v>
      </c>
      <c r="Q47" s="15" t="s">
        <v>40</v>
      </c>
      <c r="R47" s="15">
        <v>0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165</v>
      </c>
      <c r="G48" s="1">
        <v>1</v>
      </c>
      <c r="K48" s="1" t="s">
        <v>158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8" s="15" t="s">
        <v>40</v>
      </c>
      <c r="R48" s="15">
        <v>7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165</v>
      </c>
      <c r="G49" s="1">
        <v>1</v>
      </c>
      <c r="K49" s="1" t="s">
        <v>159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9" s="15" t="s">
        <v>40</v>
      </c>
      <c r="R49" s="15">
        <v>7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165</v>
      </c>
      <c r="G50" s="1">
        <v>1</v>
      </c>
      <c r="K50" s="1" t="s">
        <v>160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50" s="15" t="s">
        <v>40</v>
      </c>
      <c r="R50" s="15">
        <v>7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165</v>
      </c>
      <c r="G51" s="1">
        <v>1</v>
      </c>
      <c r="K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51" s="15" t="s">
        <v>40</v>
      </c>
      <c r="R51" s="15">
        <v>7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165</v>
      </c>
      <c r="G52" s="1">
        <v>1</v>
      </c>
      <c r="K52" s="1" t="s">
        <v>162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52" s="15" t="s">
        <v>40</v>
      </c>
      <c r="R52" s="15">
        <v>7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165</v>
      </c>
      <c r="G53" s="1">
        <v>1</v>
      </c>
      <c r="K53" s="1" t="s">
        <v>163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53" s="15" t="s">
        <v>40</v>
      </c>
      <c r="R53" s="15">
        <v>7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29</v>
      </c>
      <c r="D54" s="1" t="s">
        <v>165</v>
      </c>
      <c r="G54" s="1">
        <v>1</v>
      </c>
      <c r="K54" s="1" t="s">
        <v>49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4" s="15" t="s">
        <v>40</v>
      </c>
      <c r="R54" s="15">
        <v>7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29</v>
      </c>
      <c r="D55" s="1" t="s">
        <v>166</v>
      </c>
      <c r="G55" s="1">
        <v>2</v>
      </c>
      <c r="K55" s="1" t="s">
        <v>158</v>
      </c>
      <c r="L55" s="1" t="s">
        <v>161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5" s="15" t="s">
        <v>40</v>
      </c>
      <c r="R55" s="15">
        <v>7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29</v>
      </c>
      <c r="D56" s="1" t="s">
        <v>166</v>
      </c>
      <c r="G56" s="1">
        <v>2</v>
      </c>
      <c r="K56" s="1" t="s">
        <v>158</v>
      </c>
      <c r="L56" s="1" t="s">
        <v>160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6" s="15" t="s">
        <v>40</v>
      </c>
      <c r="R56" s="15">
        <v>7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29</v>
      </c>
      <c r="D57" s="1" t="s">
        <v>166</v>
      </c>
      <c r="G57" s="1">
        <v>2</v>
      </c>
      <c r="K57" s="1" t="s">
        <v>158</v>
      </c>
      <c r="L57" s="1" t="s">
        <v>162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7" s="15" t="s">
        <v>40</v>
      </c>
      <c r="R57" s="15">
        <v>7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29</v>
      </c>
      <c r="D58" s="1" t="s">
        <v>166</v>
      </c>
      <c r="G58" s="1">
        <v>2</v>
      </c>
      <c r="K58" s="1" t="s">
        <v>159</v>
      </c>
      <c r="L58" s="1" t="s">
        <v>161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8" s="15" t="s">
        <v>40</v>
      </c>
      <c r="R58" s="15">
        <v>7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29</v>
      </c>
      <c r="D59" s="1" t="s">
        <v>166</v>
      </c>
      <c r="G59" s="1">
        <v>2</v>
      </c>
      <c r="K59" s="1" t="s">
        <v>159</v>
      </c>
      <c r="L59" s="1" t="s">
        <v>160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9" s="15" t="s">
        <v>40</v>
      </c>
      <c r="R59" s="15">
        <v>7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29</v>
      </c>
      <c r="D60" s="1" t="s">
        <v>166</v>
      </c>
      <c r="G60" s="1">
        <v>2</v>
      </c>
      <c r="K60" s="1" t="s">
        <v>159</v>
      </c>
      <c r="L60" s="1" t="s">
        <v>162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60" s="15" t="s">
        <v>40</v>
      </c>
      <c r="R60" s="15">
        <v>7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167</v>
      </c>
      <c r="G61" s="1">
        <v>1</v>
      </c>
      <c r="K61" s="1" t="s">
        <v>158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61" s="15" t="s">
        <v>40</v>
      </c>
      <c r="R61" s="15">
        <v>7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167</v>
      </c>
      <c r="G62" s="1">
        <v>1</v>
      </c>
      <c r="K62" s="1" t="s">
        <v>159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62" s="15" t="s">
        <v>40</v>
      </c>
      <c r="R62" s="15">
        <v>7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167</v>
      </c>
      <c r="G63" s="1">
        <v>1</v>
      </c>
      <c r="K63" s="1" t="s">
        <v>160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63" s="15" t="s">
        <v>40</v>
      </c>
      <c r="R63" s="15">
        <v>7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167</v>
      </c>
      <c r="G64" s="1">
        <v>1</v>
      </c>
      <c r="K64" s="1" t="s">
        <v>161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4" s="15" t="s">
        <v>40</v>
      </c>
      <c r="R64" s="15">
        <v>7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167</v>
      </c>
      <c r="G65" s="1">
        <v>1</v>
      </c>
      <c r="K65" s="1" t="s">
        <v>162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5" s="15" t="s">
        <v>40</v>
      </c>
      <c r="R65" s="15">
        <v>7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167</v>
      </c>
      <c r="G66" s="1">
        <v>1</v>
      </c>
      <c r="K66" s="1" t="s">
        <v>163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6" s="15" t="s">
        <v>40</v>
      </c>
      <c r="R66" s="15">
        <v>7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167</v>
      </c>
      <c r="G67" s="1">
        <v>1</v>
      </c>
      <c r="K67" s="1" t="s">
        <v>49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7" s="15" t="s">
        <v>40</v>
      </c>
      <c r="R67" s="15">
        <v>7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168</v>
      </c>
      <c r="G68" s="1">
        <v>2</v>
      </c>
      <c r="K68" s="1" t="s">
        <v>158</v>
      </c>
      <c r="L68" s="1" t="s">
        <v>161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8" s="15" t="s">
        <v>40</v>
      </c>
      <c r="R68" s="15">
        <v>7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168</v>
      </c>
      <c r="G69" s="1">
        <v>2</v>
      </c>
      <c r="K69" s="1" t="s">
        <v>158</v>
      </c>
      <c r="L69" s="1" t="s">
        <v>160</v>
      </c>
      <c r="N6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8"/>
      <c r="P69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9" s="15" t="s">
        <v>40</v>
      </c>
      <c r="R69" s="15">
        <v>7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168</v>
      </c>
      <c r="G70" s="1">
        <v>2</v>
      </c>
      <c r="K70" s="1" t="s">
        <v>158</v>
      </c>
      <c r="L70" s="1" t="s">
        <v>162</v>
      </c>
      <c r="N7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8"/>
      <c r="P70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70" s="15" t="s">
        <v>40</v>
      </c>
      <c r="R70" s="15">
        <v>7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906</v>
      </c>
      <c r="G71" s="1">
        <v>2</v>
      </c>
      <c r="K71" s="1" t="s">
        <v>158</v>
      </c>
      <c r="L71" s="1" t="s">
        <v>163</v>
      </c>
      <c r="N7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8"/>
      <c r="P71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71" s="15" t="s">
        <v>40</v>
      </c>
      <c r="R71" s="15">
        <v>7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168</v>
      </c>
      <c r="G72" s="1">
        <v>2</v>
      </c>
      <c r="K72" s="1" t="s">
        <v>159</v>
      </c>
      <c r="L72" s="1" t="s">
        <v>161</v>
      </c>
      <c r="N7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8"/>
      <c r="P72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72" s="15" t="s">
        <v>40</v>
      </c>
      <c r="R72" s="15">
        <v>7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168</v>
      </c>
      <c r="G73" s="1">
        <v>2</v>
      </c>
      <c r="K73" s="1" t="s">
        <v>159</v>
      </c>
      <c r="L73" s="1" t="s">
        <v>160</v>
      </c>
      <c r="N7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8"/>
      <c r="P73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73" s="15" t="s">
        <v>40</v>
      </c>
      <c r="R73" s="15">
        <v>7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168</v>
      </c>
      <c r="G74" s="1">
        <v>2</v>
      </c>
      <c r="K74" s="1" t="s">
        <v>159</v>
      </c>
      <c r="L74" s="1" t="s">
        <v>162</v>
      </c>
      <c r="N7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8"/>
      <c r="P74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4" s="15" t="s">
        <v>40</v>
      </c>
      <c r="R74" s="15">
        <v>7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906</v>
      </c>
      <c r="G75" s="1">
        <v>2</v>
      </c>
      <c r="K75" s="1" t="s">
        <v>159</v>
      </c>
      <c r="L75" s="1" t="s">
        <v>163</v>
      </c>
      <c r="N7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8"/>
      <c r="P75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5" s="15" t="s">
        <v>40</v>
      </c>
      <c r="R75" s="15">
        <v>7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169</v>
      </c>
      <c r="F76" s="1">
        <v>1</v>
      </c>
      <c r="H76" s="1" t="s">
        <v>152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6" s="15" t="s">
        <v>40</v>
      </c>
      <c r="R76" s="15">
        <v>7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169</v>
      </c>
      <c r="F77" s="1">
        <v>1</v>
      </c>
      <c r="H77" s="1" t="s">
        <v>153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7" s="15" t="s">
        <v>40</v>
      </c>
      <c r="R77" s="15">
        <v>7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169</v>
      </c>
      <c r="F78" s="1">
        <v>1</v>
      </c>
      <c r="H78" s="1" t="s">
        <v>154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8" s="15" t="s">
        <v>40</v>
      </c>
      <c r="R78" s="15">
        <v>7</v>
      </c>
      <c r="S78" s="15" t="b">
        <v>1</v>
      </c>
      <c r="T78" s="55" t="s">
        <v>1669</v>
      </c>
      <c r="U78" s="55" t="s">
        <v>1661</v>
      </c>
      <c r="V78" s="55" t="s">
        <v>1661</v>
      </c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169</v>
      </c>
      <c r="F79" s="1">
        <v>1</v>
      </c>
      <c r="H79" s="1" t="s">
        <v>155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9" s="15" t="s">
        <v>40</v>
      </c>
      <c r="R79" s="15">
        <v>7</v>
      </c>
      <c r="S79" s="15" t="b">
        <v>1</v>
      </c>
      <c r="T79" s="33" t="s">
        <v>1255</v>
      </c>
      <c r="U79" s="33" t="s">
        <v>1256</v>
      </c>
      <c r="V79" s="33" t="s">
        <v>1256</v>
      </c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169</v>
      </c>
      <c r="F80" s="1">
        <v>1</v>
      </c>
      <c r="H80" s="1" t="s">
        <v>156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80" s="15" t="s">
        <v>40</v>
      </c>
      <c r="R80" s="15">
        <v>7</v>
      </c>
      <c r="S80" s="15" t="b">
        <v>1</v>
      </c>
      <c r="T80" s="55" t="s">
        <v>1670</v>
      </c>
      <c r="U80" s="55" t="s">
        <v>1671</v>
      </c>
      <c r="V80" s="55" t="s">
        <v>1671</v>
      </c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169</v>
      </c>
      <c r="F81" s="1">
        <v>1</v>
      </c>
      <c r="H81" s="1" t="s">
        <v>157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81" s="15" t="s">
        <v>40</v>
      </c>
      <c r="R81" s="15">
        <v>7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152</v>
      </c>
      <c r="K82" s="1" t="s">
        <v>160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82" s="15" t="s">
        <v>40</v>
      </c>
      <c r="R82" s="15">
        <v>7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170</v>
      </c>
      <c r="F83" s="1">
        <v>1</v>
      </c>
      <c r="G83" s="1">
        <v>1</v>
      </c>
      <c r="H83" s="1" t="s">
        <v>152</v>
      </c>
      <c r="K83" s="1" t="s">
        <v>161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83" s="15" t="s">
        <v>40</v>
      </c>
      <c r="R83" s="15">
        <v>7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170</v>
      </c>
      <c r="F84" s="1">
        <v>1</v>
      </c>
      <c r="G84" s="1">
        <v>1</v>
      </c>
      <c r="H84" s="1" t="s">
        <v>152</v>
      </c>
      <c r="K84" s="1" t="s">
        <v>162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4" s="15" t="s">
        <v>40</v>
      </c>
      <c r="R84" s="15">
        <v>7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170</v>
      </c>
      <c r="F85" s="1">
        <v>1</v>
      </c>
      <c r="G85" s="1">
        <v>1</v>
      </c>
      <c r="H85" s="1" t="s">
        <v>152</v>
      </c>
      <c r="K85" s="16" t="s">
        <v>911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5" s="15" t="s">
        <v>40</v>
      </c>
      <c r="R85" s="15">
        <v>7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170</v>
      </c>
      <c r="F86" s="1">
        <v>1</v>
      </c>
      <c r="G86" s="1">
        <v>1</v>
      </c>
      <c r="H86" s="1" t="s">
        <v>153</v>
      </c>
      <c r="K86" s="1" t="s">
        <v>160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6" s="15" t="s">
        <v>40</v>
      </c>
      <c r="R86" s="15">
        <v>7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170</v>
      </c>
      <c r="F87" s="1">
        <v>1</v>
      </c>
      <c r="G87" s="1">
        <v>1</v>
      </c>
      <c r="H87" s="1" t="s">
        <v>153</v>
      </c>
      <c r="K87" s="1" t="s">
        <v>161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7" s="15" t="s">
        <v>40</v>
      </c>
      <c r="R87" s="15">
        <v>7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170</v>
      </c>
      <c r="F88" s="1">
        <v>1</v>
      </c>
      <c r="G88" s="1">
        <v>1</v>
      </c>
      <c r="H88" s="1" t="s">
        <v>153</v>
      </c>
      <c r="K88" s="1" t="s">
        <v>162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8" s="15" t="s">
        <v>40</v>
      </c>
      <c r="R88" s="15">
        <v>7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170</v>
      </c>
      <c r="F89" s="1">
        <v>1</v>
      </c>
      <c r="G89" s="1">
        <v>1</v>
      </c>
      <c r="H89" s="1" t="s">
        <v>153</v>
      </c>
      <c r="K89" s="16" t="s">
        <v>911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9" s="15" t="s">
        <v>40</v>
      </c>
      <c r="R89" s="15">
        <v>7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154</v>
      </c>
      <c r="K90" s="1" t="s">
        <v>158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90" s="15" t="s">
        <v>40</v>
      </c>
      <c r="R90" s="15">
        <v>7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154</v>
      </c>
      <c r="K91" s="1" t="s">
        <v>159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91" s="15" t="s">
        <v>40</v>
      </c>
      <c r="R91" s="15">
        <v>7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154</v>
      </c>
      <c r="K92" s="16" t="s">
        <v>910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2" s="15" t="s">
        <v>40</v>
      </c>
      <c r="R92" s="15">
        <v>7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156</v>
      </c>
      <c r="K93" s="1" t="s">
        <v>158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3" s="15" t="s">
        <v>40</v>
      </c>
      <c r="R93" s="15">
        <v>7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156</v>
      </c>
      <c r="K94" s="1" t="s">
        <v>159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4" s="15" t="s">
        <v>40</v>
      </c>
      <c r="R94" s="15">
        <v>7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33</v>
      </c>
      <c r="D95" s="1" t="s">
        <v>171</v>
      </c>
      <c r="F95" s="1">
        <v>1</v>
      </c>
      <c r="G95" s="1">
        <v>1</v>
      </c>
      <c r="H95" s="1" t="s">
        <v>156</v>
      </c>
      <c r="K95" s="16" t="s">
        <v>910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5" s="15" t="s">
        <v>40</v>
      </c>
      <c r="R95" s="15">
        <v>7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33</v>
      </c>
      <c r="D96" s="1" t="s">
        <v>171</v>
      </c>
      <c r="F96" s="1">
        <v>1</v>
      </c>
      <c r="G96" s="1">
        <v>1</v>
      </c>
      <c r="H96" s="1" t="s">
        <v>155</v>
      </c>
      <c r="K96" s="1" t="s">
        <v>158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6" s="15" t="s">
        <v>40</v>
      </c>
      <c r="R96" s="15">
        <v>7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151</v>
      </c>
      <c r="C97" s="1" t="s">
        <v>33</v>
      </c>
      <c r="D97" s="1" t="s">
        <v>171</v>
      </c>
      <c r="F97" s="1">
        <v>1</v>
      </c>
      <c r="G97" s="1">
        <v>1</v>
      </c>
      <c r="H97" s="1" t="s">
        <v>155</v>
      </c>
      <c r="K97" s="1" t="s">
        <v>159</v>
      </c>
      <c r="N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9"/>
      <c r="P97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7" s="15" t="s">
        <v>40</v>
      </c>
      <c r="R97" s="15">
        <v>7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151</v>
      </c>
      <c r="C98" s="1" t="s">
        <v>33</v>
      </c>
      <c r="D98" s="1" t="s">
        <v>171</v>
      </c>
      <c r="F98" s="1">
        <v>1</v>
      </c>
      <c r="G98" s="1">
        <v>1</v>
      </c>
      <c r="H98" s="1" t="s">
        <v>155</v>
      </c>
      <c r="K98" s="16" t="s">
        <v>910</v>
      </c>
      <c r="N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9"/>
      <c r="P98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8" s="15" t="s">
        <v>40</v>
      </c>
      <c r="R98" s="15">
        <v>7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33</v>
      </c>
      <c r="D99" s="1" t="s">
        <v>171</v>
      </c>
      <c r="F99" s="1">
        <v>1</v>
      </c>
      <c r="G99" s="1">
        <v>1</v>
      </c>
      <c r="H99" s="1" t="s">
        <v>157</v>
      </c>
      <c r="K99" s="1" t="s">
        <v>158</v>
      </c>
      <c r="N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9"/>
      <c r="P99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9" s="15" t="s">
        <v>40</v>
      </c>
      <c r="R99" s="15">
        <v>7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33</v>
      </c>
      <c r="D100" s="1" t="s">
        <v>171</v>
      </c>
      <c r="F100" s="1">
        <v>1</v>
      </c>
      <c r="G100" s="1">
        <v>1</v>
      </c>
      <c r="H100" s="1" t="s">
        <v>157</v>
      </c>
      <c r="K100" s="1" t="s">
        <v>159</v>
      </c>
      <c r="N1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9"/>
      <c r="P100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100" s="15" t="s">
        <v>40</v>
      </c>
      <c r="R100" s="15">
        <v>7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33</v>
      </c>
      <c r="D101" s="1" t="s">
        <v>171</v>
      </c>
      <c r="F101" s="1">
        <v>1</v>
      </c>
      <c r="G101" s="1">
        <v>1</v>
      </c>
      <c r="H101" s="1" t="s">
        <v>157</v>
      </c>
      <c r="K101" s="16" t="s">
        <v>910</v>
      </c>
      <c r="N101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01" s="29"/>
      <c r="P101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101" s="15" t="s">
        <v>40</v>
      </c>
      <c r="R101" s="15">
        <v>7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5" t="s">
        <v>894</v>
      </c>
      <c r="G102" s="1">
        <v>1</v>
      </c>
      <c r="K102" s="1" t="s">
        <v>163</v>
      </c>
      <c r="N1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9"/>
      <c r="P102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02" s="15" t="s">
        <v>40</v>
      </c>
      <c r="R102" s="15">
        <v>7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5" t="s">
        <v>894</v>
      </c>
      <c r="G103" s="1">
        <v>1</v>
      </c>
      <c r="K103" s="34" t="s">
        <v>164</v>
      </c>
      <c r="N1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9"/>
      <c r="P103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103" s="15" t="s">
        <v>40</v>
      </c>
      <c r="R103" s="15">
        <v>7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172</v>
      </c>
      <c r="C104" s="1" t="s">
        <v>35</v>
      </c>
      <c r="D104" s="1" t="s">
        <v>173</v>
      </c>
      <c r="G104" s="1">
        <v>2</v>
      </c>
      <c r="K104" s="1" t="s">
        <v>158</v>
      </c>
      <c r="L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4" s="15" t="s">
        <v>40</v>
      </c>
      <c r="R104" s="15">
        <v>7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172</v>
      </c>
      <c r="C105" s="1" t="s">
        <v>35</v>
      </c>
      <c r="D105" s="1" t="s">
        <v>173</v>
      </c>
      <c r="G105" s="1">
        <v>2</v>
      </c>
      <c r="K105" s="1" t="s">
        <v>158</v>
      </c>
      <c r="L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5" s="15" t="s">
        <v>40</v>
      </c>
      <c r="R105" s="15">
        <v>7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172</v>
      </c>
      <c r="C106" s="1" t="s">
        <v>35</v>
      </c>
      <c r="D106" s="1" t="s">
        <v>173</v>
      </c>
      <c r="G106" s="1">
        <v>2</v>
      </c>
      <c r="K106" s="1" t="s">
        <v>158</v>
      </c>
      <c r="L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6" s="15" t="s">
        <v>40</v>
      </c>
      <c r="R106" s="15">
        <v>7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905</v>
      </c>
      <c r="G107" s="1">
        <v>2</v>
      </c>
      <c r="K107" s="1" t="s">
        <v>158</v>
      </c>
      <c r="L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7" s="15" t="s">
        <v>40</v>
      </c>
      <c r="R107" s="15">
        <v>7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172</v>
      </c>
      <c r="C108" s="1" t="s">
        <v>35</v>
      </c>
      <c r="D108" s="1" t="s">
        <v>173</v>
      </c>
      <c r="G108" s="1">
        <v>2</v>
      </c>
      <c r="K108" s="1" t="s">
        <v>159</v>
      </c>
      <c r="L108" s="1" t="s">
        <v>161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8" s="15" t="s">
        <v>40</v>
      </c>
      <c r="R108" s="15">
        <v>7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172</v>
      </c>
      <c r="C109" s="1" t="s">
        <v>35</v>
      </c>
      <c r="D109" s="1" t="s">
        <v>173</v>
      </c>
      <c r="G109" s="1">
        <v>2</v>
      </c>
      <c r="K109" s="1" t="s">
        <v>159</v>
      </c>
      <c r="L109" s="1" t="s">
        <v>160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9" s="15" t="s">
        <v>40</v>
      </c>
      <c r="R109" s="15">
        <v>7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172</v>
      </c>
      <c r="C110" s="1" t="s">
        <v>35</v>
      </c>
      <c r="D110" s="1" t="s">
        <v>173</v>
      </c>
      <c r="G110" s="1">
        <v>2</v>
      </c>
      <c r="K110" s="1" t="s">
        <v>159</v>
      </c>
      <c r="L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0" s="15" t="s">
        <v>40</v>
      </c>
      <c r="R110" s="15">
        <v>7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905</v>
      </c>
      <c r="G111" s="1">
        <v>2</v>
      </c>
      <c r="K111" s="1" t="s">
        <v>159</v>
      </c>
      <c r="L111" s="1" t="s">
        <v>163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1" s="15" t="s">
        <v>40</v>
      </c>
      <c r="R111" s="15">
        <v>7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159</v>
      </c>
      <c r="M112" s="1" t="s">
        <v>160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12" s="15" t="s">
        <v>40</v>
      </c>
      <c r="R112" s="15">
        <v>7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158</v>
      </c>
      <c r="L113" s="1" t="s">
        <v>159</v>
      </c>
      <c r="M113" s="1" t="s">
        <v>161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13" s="15" t="s">
        <v>40</v>
      </c>
      <c r="R113" s="15">
        <v>7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175</v>
      </c>
      <c r="G114" s="1">
        <v>3</v>
      </c>
      <c r="K114" s="1" t="s">
        <v>158</v>
      </c>
      <c r="L114" s="1" t="s">
        <v>159</v>
      </c>
      <c r="M114" s="1" t="s">
        <v>162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4" s="15" t="s">
        <v>40</v>
      </c>
      <c r="R114" s="15">
        <v>7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159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5" s="15" t="s">
        <v>40</v>
      </c>
      <c r="R115" s="15">
        <v>7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175</v>
      </c>
      <c r="G116" s="1">
        <v>3</v>
      </c>
      <c r="K116" s="1" t="s">
        <v>159</v>
      </c>
      <c r="L116" s="1" t="s">
        <v>160</v>
      </c>
      <c r="M116" s="1" t="s">
        <v>161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6" s="15" t="s">
        <v>40</v>
      </c>
      <c r="R116" s="15">
        <v>7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175</v>
      </c>
      <c r="G117" s="1">
        <v>3</v>
      </c>
      <c r="K117" s="1" t="s">
        <v>159</v>
      </c>
      <c r="L117" s="1" t="s">
        <v>160</v>
      </c>
      <c r="M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7" s="15" t="s">
        <v>40</v>
      </c>
      <c r="R117" s="15">
        <v>7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175</v>
      </c>
      <c r="G118" s="1">
        <v>3</v>
      </c>
      <c r="K118" s="1" t="s">
        <v>159</v>
      </c>
      <c r="L118" s="1" t="s">
        <v>161</v>
      </c>
      <c r="M118" s="1" t="s">
        <v>162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8" s="15" t="s">
        <v>40</v>
      </c>
      <c r="R118" s="15">
        <v>7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907</v>
      </c>
      <c r="G119" s="1">
        <v>3</v>
      </c>
      <c r="K119" s="1" t="s">
        <v>159</v>
      </c>
      <c r="L119" s="1" t="s">
        <v>160</v>
      </c>
      <c r="M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9" s="15" t="s">
        <v>40</v>
      </c>
      <c r="R119" s="15">
        <v>7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907</v>
      </c>
      <c r="G120" s="1">
        <v>3</v>
      </c>
      <c r="K120" s="1" t="s">
        <v>159</v>
      </c>
      <c r="L120" s="1" t="s">
        <v>161</v>
      </c>
      <c r="M120" s="1" t="s">
        <v>163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0" s="15" t="s">
        <v>40</v>
      </c>
      <c r="R120" s="15">
        <v>7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907</v>
      </c>
      <c r="G121" s="1">
        <v>3</v>
      </c>
      <c r="K121" s="1" t="s">
        <v>159</v>
      </c>
      <c r="L121" s="1" t="s">
        <v>162</v>
      </c>
      <c r="M121" s="1" t="s">
        <v>163</v>
      </c>
      <c r="N1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8"/>
      <c r="P121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1" s="15" t="s">
        <v>40</v>
      </c>
      <c r="R121" s="15">
        <v>7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175</v>
      </c>
      <c r="G122" s="1">
        <v>3</v>
      </c>
      <c r="K122" s="1" t="s">
        <v>158</v>
      </c>
      <c r="L122" s="1" t="s">
        <v>160</v>
      </c>
      <c r="M122" s="1" t="s">
        <v>161</v>
      </c>
      <c r="N1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8"/>
      <c r="P122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22" s="15" t="s">
        <v>40</v>
      </c>
      <c r="R122" s="15">
        <v>7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175</v>
      </c>
      <c r="G123" s="1">
        <v>3</v>
      </c>
      <c r="K123" s="1" t="s">
        <v>158</v>
      </c>
      <c r="L123" s="1" t="s">
        <v>160</v>
      </c>
      <c r="M123" s="1" t="s">
        <v>162</v>
      </c>
      <c r="N1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8"/>
      <c r="P123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23" s="15" t="s">
        <v>40</v>
      </c>
      <c r="R123" s="15">
        <v>7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175</v>
      </c>
      <c r="G124" s="1">
        <v>3</v>
      </c>
      <c r="K124" s="1" t="s">
        <v>158</v>
      </c>
      <c r="L124" s="1" t="s">
        <v>161</v>
      </c>
      <c r="M124" s="1" t="s">
        <v>162</v>
      </c>
      <c r="N1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8"/>
      <c r="P124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4" s="15" t="s">
        <v>40</v>
      </c>
      <c r="R124" s="15">
        <v>7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907</v>
      </c>
      <c r="G125" s="1">
        <v>3</v>
      </c>
      <c r="K125" s="1" t="s">
        <v>158</v>
      </c>
      <c r="L125" s="1" t="s">
        <v>160</v>
      </c>
      <c r="M125" s="1" t="s">
        <v>163</v>
      </c>
      <c r="N1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8"/>
      <c r="P125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5" s="15" t="s">
        <v>40</v>
      </c>
      <c r="R125" s="15">
        <v>7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907</v>
      </c>
      <c r="G126" s="1">
        <v>3</v>
      </c>
      <c r="K126" s="1" t="s">
        <v>158</v>
      </c>
      <c r="L126" s="1" t="s">
        <v>161</v>
      </c>
      <c r="M126" s="1" t="s">
        <v>163</v>
      </c>
      <c r="N1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8"/>
      <c r="P126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6" s="15" t="s">
        <v>40</v>
      </c>
      <c r="R126" s="15">
        <v>7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907</v>
      </c>
      <c r="G127" s="1">
        <v>3</v>
      </c>
      <c r="K127" s="1" t="s">
        <v>158</v>
      </c>
      <c r="L127" s="1" t="s">
        <v>162</v>
      </c>
      <c r="M127" s="1" t="s">
        <v>163</v>
      </c>
      <c r="N1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8"/>
      <c r="P127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7" s="15" t="s">
        <v>40</v>
      </c>
      <c r="R127" s="15">
        <v>7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152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8" s="15" t="s">
        <v>40</v>
      </c>
      <c r="R128" s="15">
        <v>7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1" t="s">
        <v>177</v>
      </c>
      <c r="F129" s="1">
        <v>1</v>
      </c>
      <c r="G129" s="1">
        <v>1</v>
      </c>
      <c r="H129" s="1" t="s">
        <v>152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9" s="15" t="s">
        <v>40</v>
      </c>
      <c r="R129" s="15">
        <v>7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1" t="s">
        <v>177</v>
      </c>
      <c r="F130" s="1">
        <v>1</v>
      </c>
      <c r="G130" s="1">
        <v>1</v>
      </c>
      <c r="H130" s="1" t="s">
        <v>152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0" s="15" t="s">
        <v>40</v>
      </c>
      <c r="R130" s="15">
        <v>7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1" t="s">
        <v>177</v>
      </c>
      <c r="F131" s="1">
        <v>1</v>
      </c>
      <c r="G131" s="1">
        <v>1</v>
      </c>
      <c r="H131" s="1" t="s">
        <v>152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1" s="15" t="s">
        <v>40</v>
      </c>
      <c r="R131" s="15">
        <v>7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177</v>
      </c>
      <c r="F132" s="1">
        <v>1</v>
      </c>
      <c r="G132" s="1">
        <v>1</v>
      </c>
      <c r="H132" s="1" t="s">
        <v>153</v>
      </c>
      <c r="K132" s="1" t="s">
        <v>160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32" s="15" t="s">
        <v>40</v>
      </c>
      <c r="R132" s="15">
        <v>7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177</v>
      </c>
      <c r="F133" s="1">
        <v>1</v>
      </c>
      <c r="G133" s="1">
        <v>1</v>
      </c>
      <c r="H133" s="1" t="s">
        <v>153</v>
      </c>
      <c r="K133" s="1" t="s">
        <v>161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33" s="15" t="s">
        <v>40</v>
      </c>
      <c r="R133" s="15">
        <v>7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177</v>
      </c>
      <c r="F134" s="1">
        <v>1</v>
      </c>
      <c r="G134" s="1">
        <v>1</v>
      </c>
      <c r="H134" s="1" t="s">
        <v>153</v>
      </c>
      <c r="K134" s="1" t="s">
        <v>162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4" s="15" t="s">
        <v>40</v>
      </c>
      <c r="R134" s="15">
        <v>7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177</v>
      </c>
      <c r="F135" s="1">
        <v>1</v>
      </c>
      <c r="G135" s="1">
        <v>1</v>
      </c>
      <c r="H135" s="1" t="s">
        <v>153</v>
      </c>
      <c r="K135" s="16" t="s">
        <v>911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5" s="15" t="s">
        <v>40</v>
      </c>
      <c r="R135" s="15">
        <v>7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152</v>
      </c>
      <c r="K136" s="1" t="s">
        <v>160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6" s="15" t="s">
        <v>40</v>
      </c>
      <c r="R136" s="15">
        <v>7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3" t="s">
        <v>189</v>
      </c>
      <c r="E137" s="1" t="b">
        <v>1</v>
      </c>
      <c r="F137" s="1">
        <v>1</v>
      </c>
      <c r="G137" s="1">
        <v>1</v>
      </c>
      <c r="H137" s="1" t="s">
        <v>152</v>
      </c>
      <c r="K137" s="1" t="s">
        <v>161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7" s="15" t="s">
        <v>40</v>
      </c>
      <c r="R137" s="15">
        <v>7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3" t="s">
        <v>189</v>
      </c>
      <c r="E138" s="1" t="b">
        <v>1</v>
      </c>
      <c r="F138" s="1">
        <v>1</v>
      </c>
      <c r="G138" s="1">
        <v>1</v>
      </c>
      <c r="H138" s="1" t="s">
        <v>152</v>
      </c>
      <c r="K138" s="1" t="s">
        <v>162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8" s="15" t="s">
        <v>40</v>
      </c>
      <c r="R138" s="15">
        <v>7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3" t="s">
        <v>189</v>
      </c>
      <c r="E139" s="1" t="b">
        <v>1</v>
      </c>
      <c r="F139" s="1">
        <v>1</v>
      </c>
      <c r="G139" s="1">
        <v>1</v>
      </c>
      <c r="H139" s="1" t="s">
        <v>152</v>
      </c>
      <c r="K139" s="16" t="s">
        <v>911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9" s="15" t="s">
        <v>40</v>
      </c>
      <c r="R139" s="15">
        <v>7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3" t="s">
        <v>189</v>
      </c>
      <c r="E140" s="1" t="b">
        <v>1</v>
      </c>
      <c r="F140" s="1">
        <v>1</v>
      </c>
      <c r="G140" s="1">
        <v>1</v>
      </c>
      <c r="H140" s="1" t="s">
        <v>153</v>
      </c>
      <c r="K140" s="1" t="s">
        <v>160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0" s="15" t="s">
        <v>40</v>
      </c>
      <c r="R140" s="15">
        <v>7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3" t="s">
        <v>189</v>
      </c>
      <c r="E141" s="1" t="b">
        <v>1</v>
      </c>
      <c r="F141" s="1">
        <v>1</v>
      </c>
      <c r="G141" s="1">
        <v>1</v>
      </c>
      <c r="H141" s="1" t="s">
        <v>153</v>
      </c>
      <c r="K141" s="1" t="s">
        <v>161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1" s="15" t="s">
        <v>40</v>
      </c>
      <c r="R141" s="15">
        <v>7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3" t="s">
        <v>189</v>
      </c>
      <c r="E142" s="1" t="b">
        <v>1</v>
      </c>
      <c r="F142" s="1">
        <v>1</v>
      </c>
      <c r="G142" s="1">
        <v>1</v>
      </c>
      <c r="H142" s="1" t="s">
        <v>153</v>
      </c>
      <c r="K142" s="1" t="s">
        <v>162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42" s="15" t="s">
        <v>40</v>
      </c>
      <c r="R142" s="15">
        <v>7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3" t="s">
        <v>189</v>
      </c>
      <c r="E143" s="1" t="b">
        <v>1</v>
      </c>
      <c r="F143" s="1">
        <v>1</v>
      </c>
      <c r="G143" s="1">
        <v>1</v>
      </c>
      <c r="H143" s="1" t="s">
        <v>153</v>
      </c>
      <c r="K143" s="16" t="s">
        <v>911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43" s="15" t="s">
        <v>40</v>
      </c>
      <c r="R143" s="15">
        <v>7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" t="s">
        <v>158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4" s="15" t="s">
        <v>40</v>
      </c>
      <c r="R144" s="15">
        <v>7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178</v>
      </c>
      <c r="F145" s="1">
        <v>1</v>
      </c>
      <c r="G145" s="1">
        <v>1</v>
      </c>
      <c r="H145" s="1" t="s">
        <v>154</v>
      </c>
      <c r="K145" s="1" t="s">
        <v>159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5" s="15" t="s">
        <v>40</v>
      </c>
      <c r="R145" s="15">
        <v>7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154</v>
      </c>
      <c r="K146" s="16" t="s">
        <v>910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6" s="15" t="s">
        <v>40</v>
      </c>
      <c r="R146" s="15">
        <v>7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178</v>
      </c>
      <c r="F147" s="1">
        <v>1</v>
      </c>
      <c r="G147" s="1">
        <v>1</v>
      </c>
      <c r="H147" s="1" t="s">
        <v>156</v>
      </c>
      <c r="K147" s="1" t="s">
        <v>158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7" s="15" t="s">
        <v>40</v>
      </c>
      <c r="R147" s="15">
        <v>7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178</v>
      </c>
      <c r="F148" s="1">
        <v>1</v>
      </c>
      <c r="G148" s="1">
        <v>1</v>
      </c>
      <c r="H148" s="1" t="s">
        <v>156</v>
      </c>
      <c r="K148" s="1" t="s">
        <v>159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8" s="15" t="s">
        <v>40</v>
      </c>
      <c r="R148" s="15">
        <v>7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1" t="s">
        <v>908</v>
      </c>
      <c r="F149" s="1">
        <v>1</v>
      </c>
      <c r="G149" s="1">
        <v>1</v>
      </c>
      <c r="H149" s="1" t="s">
        <v>156</v>
      </c>
      <c r="K149" s="16" t="s">
        <v>910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9" s="15" t="s">
        <v>40</v>
      </c>
      <c r="R149" s="15">
        <v>7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1" t="s">
        <v>178</v>
      </c>
      <c r="F150" s="1">
        <v>1</v>
      </c>
      <c r="G150" s="1">
        <v>1</v>
      </c>
      <c r="H150" s="1" t="s">
        <v>155</v>
      </c>
      <c r="K150" s="1" t="s">
        <v>158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0" s="15" t="s">
        <v>40</v>
      </c>
      <c r="R150" s="15">
        <v>7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1" t="s">
        <v>178</v>
      </c>
      <c r="F151" s="1">
        <v>1</v>
      </c>
      <c r="G151" s="1">
        <v>1</v>
      </c>
      <c r="H151" s="1" t="s">
        <v>155</v>
      </c>
      <c r="K151" s="1" t="s">
        <v>159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1" s="15" t="s">
        <v>40</v>
      </c>
      <c r="R151" s="15">
        <v>7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1" t="s">
        <v>908</v>
      </c>
      <c r="F152" s="1">
        <v>1</v>
      </c>
      <c r="G152" s="1">
        <v>1</v>
      </c>
      <c r="H152" s="1" t="s">
        <v>155</v>
      </c>
      <c r="K152" s="16" t="s">
        <v>910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52" s="15" t="s">
        <v>40</v>
      </c>
      <c r="R152" s="15">
        <v>7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1" t="s">
        <v>178</v>
      </c>
      <c r="F153" s="1">
        <v>1</v>
      </c>
      <c r="G153" s="1">
        <v>1</v>
      </c>
      <c r="H153" s="1" t="s">
        <v>157</v>
      </c>
      <c r="K153" s="1" t="s">
        <v>158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53" s="15" t="s">
        <v>40</v>
      </c>
      <c r="R153" s="15">
        <v>7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1" t="s">
        <v>908</v>
      </c>
      <c r="F154" s="1">
        <v>1</v>
      </c>
      <c r="G154" s="1">
        <v>1</v>
      </c>
      <c r="H154" s="1" t="s">
        <v>157</v>
      </c>
      <c r="K154" s="1" t="s">
        <v>159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4" s="15" t="s">
        <v>40</v>
      </c>
      <c r="R154" s="15">
        <v>7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1" t="s">
        <v>908</v>
      </c>
      <c r="F155" s="1">
        <v>1</v>
      </c>
      <c r="G155" s="1">
        <v>1</v>
      </c>
      <c r="H155" s="1" t="s">
        <v>157</v>
      </c>
      <c r="K155" s="16" t="s">
        <v>910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5" s="15" t="s">
        <v>40</v>
      </c>
      <c r="R155" s="15">
        <v>7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154</v>
      </c>
      <c r="K156" s="1" t="s">
        <v>158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6" s="15" t="s">
        <v>40</v>
      </c>
      <c r="R156" s="15">
        <v>7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154</v>
      </c>
      <c r="K157" s="1" t="s">
        <v>159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7" s="15" t="s">
        <v>40</v>
      </c>
      <c r="R157" s="15">
        <v>7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190</v>
      </c>
      <c r="E158" s="1" t="b">
        <v>1</v>
      </c>
      <c r="F158" s="1">
        <v>1</v>
      </c>
      <c r="G158" s="1">
        <v>1</v>
      </c>
      <c r="H158" s="1" t="s">
        <v>154</v>
      </c>
      <c r="K158" s="16" t="s">
        <v>910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8" s="15" t="s">
        <v>40</v>
      </c>
      <c r="R158" s="15">
        <v>7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190</v>
      </c>
      <c r="E159" s="1" t="b">
        <v>1</v>
      </c>
      <c r="F159" s="1">
        <v>1</v>
      </c>
      <c r="G159" s="1">
        <v>1</v>
      </c>
      <c r="H159" s="1" t="s">
        <v>156</v>
      </c>
      <c r="K159" s="1" t="s">
        <v>158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9" s="15" t="s">
        <v>40</v>
      </c>
      <c r="R159" s="15">
        <v>7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156</v>
      </c>
      <c r="K160" s="1" t="s">
        <v>159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0" s="15" t="s">
        <v>40</v>
      </c>
      <c r="R160" s="15">
        <v>7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3" t="s">
        <v>190</v>
      </c>
      <c r="E161" s="1" t="b">
        <v>1</v>
      </c>
      <c r="F161" s="1">
        <v>1</v>
      </c>
      <c r="G161" s="1">
        <v>1</v>
      </c>
      <c r="H161" s="1" t="s">
        <v>156</v>
      </c>
      <c r="K161" s="16" t="s">
        <v>910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1" s="15" t="s">
        <v>40</v>
      </c>
      <c r="R161" s="15">
        <v>7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3" t="s">
        <v>190</v>
      </c>
      <c r="E162" s="1" t="b">
        <v>1</v>
      </c>
      <c r="F162" s="1">
        <v>1</v>
      </c>
      <c r="G162" s="1">
        <v>1</v>
      </c>
      <c r="H162" s="1" t="s">
        <v>155</v>
      </c>
      <c r="K162" s="1" t="s">
        <v>158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62" s="15" t="s">
        <v>40</v>
      </c>
      <c r="R162" s="15">
        <v>7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3" t="s">
        <v>190</v>
      </c>
      <c r="E163" s="1" t="b">
        <v>1</v>
      </c>
      <c r="F163" s="1">
        <v>1</v>
      </c>
      <c r="G163" s="1">
        <v>1</v>
      </c>
      <c r="H163" s="1" t="s">
        <v>155</v>
      </c>
      <c r="K163" s="1" t="s">
        <v>159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63" s="15" t="s">
        <v>40</v>
      </c>
      <c r="R163" s="15">
        <v>7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3" t="s">
        <v>190</v>
      </c>
      <c r="E164" s="1" t="b">
        <v>1</v>
      </c>
      <c r="F164" s="1">
        <v>1</v>
      </c>
      <c r="G164" s="1">
        <v>1</v>
      </c>
      <c r="H164" s="1" t="s">
        <v>155</v>
      </c>
      <c r="K164" s="16" t="s">
        <v>910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4" s="15" t="s">
        <v>40</v>
      </c>
      <c r="R164" s="15">
        <v>7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3" t="s">
        <v>909</v>
      </c>
      <c r="E165" s="1" t="b">
        <v>1</v>
      </c>
      <c r="F165" s="1">
        <v>1</v>
      </c>
      <c r="G165" s="1">
        <v>1</v>
      </c>
      <c r="H165" s="1" t="s">
        <v>157</v>
      </c>
      <c r="K165" s="1" t="s">
        <v>158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5" s="15" t="s">
        <v>40</v>
      </c>
      <c r="R165" s="15">
        <v>7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3" t="s">
        <v>909</v>
      </c>
      <c r="E166" s="1" t="b">
        <v>1</v>
      </c>
      <c r="F166" s="1">
        <v>1</v>
      </c>
      <c r="G166" s="1">
        <v>1</v>
      </c>
      <c r="H166" s="1" t="s">
        <v>157</v>
      </c>
      <c r="K166" s="1" t="s">
        <v>159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6" s="15" t="s">
        <v>40</v>
      </c>
      <c r="R166" s="15">
        <v>7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3" t="s">
        <v>190</v>
      </c>
      <c r="E167" s="1" t="b">
        <v>1</v>
      </c>
      <c r="F167" s="1">
        <v>1</v>
      </c>
      <c r="G167" s="1">
        <v>1</v>
      </c>
      <c r="H167" s="1" t="s">
        <v>157</v>
      </c>
      <c r="K167" s="16" t="s">
        <v>910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7" s="15" t="s">
        <v>40</v>
      </c>
      <c r="R167" s="15">
        <v>7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152</v>
      </c>
      <c r="I168" s="1" t="s">
        <v>152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8" s="15" t="s">
        <v>40</v>
      </c>
      <c r="R168" s="15">
        <v>7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152</v>
      </c>
      <c r="I169" s="1" t="s">
        <v>153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9" s="15" t="s">
        <v>40</v>
      </c>
      <c r="R169" s="15">
        <v>7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152</v>
      </c>
      <c r="I170" s="1" t="s">
        <v>154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0" s="15" t="s">
        <v>40</v>
      </c>
      <c r="R170" s="15">
        <v>7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152</v>
      </c>
      <c r="I171" s="1" t="s">
        <v>155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1" s="15" t="s">
        <v>40</v>
      </c>
      <c r="R171" s="15">
        <v>7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152</v>
      </c>
      <c r="I172" s="1" t="s">
        <v>156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72" s="15" t="s">
        <v>40</v>
      </c>
      <c r="R172" s="15">
        <v>7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152</v>
      </c>
      <c r="I173" s="1" t="s">
        <v>157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73" s="15" t="s">
        <v>40</v>
      </c>
      <c r="R173" s="15">
        <v>7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153</v>
      </c>
      <c r="I174" s="1" t="s">
        <v>153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4" s="15" t="s">
        <v>40</v>
      </c>
      <c r="R174" s="15">
        <v>7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153</v>
      </c>
      <c r="I175" s="1" t="s">
        <v>154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5" s="15" t="s">
        <v>40</v>
      </c>
      <c r="R175" s="15">
        <v>7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153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6" s="15" t="s">
        <v>40</v>
      </c>
      <c r="R176" s="15">
        <v>7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153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7" s="15" t="s">
        <v>40</v>
      </c>
      <c r="R177" s="15">
        <v>7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153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8" s="15" t="s">
        <v>40</v>
      </c>
      <c r="R178" s="15">
        <v>7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154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9" s="15" t="s">
        <v>40</v>
      </c>
      <c r="R179" s="15">
        <v>7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154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0" s="15" t="s">
        <v>40</v>
      </c>
      <c r="R180" s="15">
        <v>7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154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1" s="15" t="s">
        <v>40</v>
      </c>
      <c r="R181" s="15">
        <v>7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1" t="s">
        <v>174</v>
      </c>
      <c r="F182" s="1">
        <v>2</v>
      </c>
      <c r="H182" s="1" t="s">
        <v>154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82" s="15" t="s">
        <v>40</v>
      </c>
      <c r="R182" s="15">
        <v>7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1" t="s">
        <v>174</v>
      </c>
      <c r="F183" s="1">
        <v>2</v>
      </c>
      <c r="H183" s="1" t="s">
        <v>155</v>
      </c>
      <c r="I183" s="1" t="s">
        <v>155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83" s="15" t="s">
        <v>40</v>
      </c>
      <c r="R183" s="15">
        <v>7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1" t="s">
        <v>174</v>
      </c>
      <c r="F184" s="1">
        <v>2</v>
      </c>
      <c r="H184" s="1" t="s">
        <v>155</v>
      </c>
      <c r="I184" s="1" t="s">
        <v>156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4" s="15" t="s">
        <v>40</v>
      </c>
      <c r="R184" s="15">
        <v>7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1" t="s">
        <v>174</v>
      </c>
      <c r="F185" s="1">
        <v>2</v>
      </c>
      <c r="H185" s="1" t="s">
        <v>155</v>
      </c>
      <c r="I185" s="1" t="s">
        <v>157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5" s="15" t="s">
        <v>40</v>
      </c>
      <c r="R185" s="15">
        <v>7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1" t="s">
        <v>174</v>
      </c>
      <c r="F186" s="1">
        <v>2</v>
      </c>
      <c r="H186" s="1" t="s">
        <v>156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6" s="15" t="s">
        <v>40</v>
      </c>
      <c r="R186" s="15">
        <v>7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1" t="s">
        <v>174</v>
      </c>
      <c r="F187" s="1">
        <v>2</v>
      </c>
      <c r="H187" s="1" t="s">
        <v>156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7" s="15" t="s">
        <v>40</v>
      </c>
      <c r="R187" s="15">
        <v>7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1" t="s">
        <v>174</v>
      </c>
      <c r="F188" s="1">
        <v>2</v>
      </c>
      <c r="H188" s="1" t="s">
        <v>157</v>
      </c>
      <c r="I188" s="1" t="s">
        <v>157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8" s="15" t="s">
        <v>40</v>
      </c>
      <c r="R188" s="15">
        <v>7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152</v>
      </c>
      <c r="I189" s="1" t="s">
        <v>152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9" s="15" t="s">
        <v>40</v>
      </c>
      <c r="R189" s="15">
        <v>7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152</v>
      </c>
      <c r="I190" s="1" t="s">
        <v>153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0" s="15" t="s">
        <v>40</v>
      </c>
      <c r="R190" s="15">
        <v>7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152</v>
      </c>
      <c r="I191" s="1" t="s">
        <v>154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1" s="15" t="s">
        <v>40</v>
      </c>
      <c r="R191" s="15">
        <v>7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152</v>
      </c>
      <c r="I192" s="1" t="s">
        <v>155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92" s="15" t="s">
        <v>40</v>
      </c>
      <c r="R192" s="15">
        <v>7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152</v>
      </c>
      <c r="I193" s="1" t="s">
        <v>156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93" s="15" t="s">
        <v>40</v>
      </c>
      <c r="R193" s="15">
        <v>7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152</v>
      </c>
      <c r="I194" s="1" t="s">
        <v>157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4" s="15" t="s">
        <v>40</v>
      </c>
      <c r="R194" s="15">
        <v>7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153</v>
      </c>
      <c r="I195" s="1" t="s">
        <v>153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5" s="15" t="s">
        <v>40</v>
      </c>
      <c r="R195" s="15">
        <v>7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153</v>
      </c>
      <c r="I196" s="1" t="s">
        <v>154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6" s="15" t="s">
        <v>40</v>
      </c>
      <c r="R196" s="15">
        <v>7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153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7" s="15" t="s">
        <v>40</v>
      </c>
      <c r="R197" s="15">
        <v>7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153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8" s="15" t="s">
        <v>40</v>
      </c>
      <c r="R198" s="15">
        <v>7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153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9" s="15" t="s">
        <v>40</v>
      </c>
      <c r="R199" s="15">
        <v>7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154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0" s="15" t="s">
        <v>40</v>
      </c>
      <c r="R200" s="15">
        <v>7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154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1" s="15" t="s">
        <v>40</v>
      </c>
      <c r="R201" s="15">
        <v>7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154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02" s="15" t="s">
        <v>40</v>
      </c>
      <c r="R202" s="15">
        <v>7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35</v>
      </c>
      <c r="D203" s="3" t="s">
        <v>191</v>
      </c>
      <c r="E203" s="1" t="b">
        <v>1</v>
      </c>
      <c r="F203" s="1">
        <v>2</v>
      </c>
      <c r="H203" s="1" t="s">
        <v>154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03" s="15" t="s">
        <v>40</v>
      </c>
      <c r="R203" s="15">
        <v>7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35</v>
      </c>
      <c r="D204" s="3" t="s">
        <v>191</v>
      </c>
      <c r="E204" s="1" t="b">
        <v>1</v>
      </c>
      <c r="F204" s="1">
        <v>2</v>
      </c>
      <c r="H204" s="1" t="s">
        <v>155</v>
      </c>
      <c r="I204" s="1" t="s">
        <v>155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4" s="15" t="s">
        <v>40</v>
      </c>
      <c r="R204" s="15">
        <v>7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35</v>
      </c>
      <c r="D205" s="3" t="s">
        <v>191</v>
      </c>
      <c r="E205" s="1" t="b">
        <v>1</v>
      </c>
      <c r="F205" s="1">
        <v>2</v>
      </c>
      <c r="H205" s="1" t="s">
        <v>155</v>
      </c>
      <c r="I205" s="1" t="s">
        <v>156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5" s="15" t="s">
        <v>40</v>
      </c>
      <c r="R205" s="15">
        <v>7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35</v>
      </c>
      <c r="D206" s="3" t="s">
        <v>191</v>
      </c>
      <c r="E206" s="1" t="b">
        <v>1</v>
      </c>
      <c r="F206" s="1">
        <v>2</v>
      </c>
      <c r="H206" s="1" t="s">
        <v>155</v>
      </c>
      <c r="I206" s="1" t="s">
        <v>157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6" s="15" t="s">
        <v>40</v>
      </c>
      <c r="R206" s="15">
        <v>7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35</v>
      </c>
      <c r="D207" s="3" t="s">
        <v>191</v>
      </c>
      <c r="E207" s="1" t="b">
        <v>1</v>
      </c>
      <c r="F207" s="1">
        <v>2</v>
      </c>
      <c r="H207" s="1" t="s">
        <v>156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7" s="15" t="s">
        <v>40</v>
      </c>
      <c r="R207" s="15">
        <v>7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35</v>
      </c>
      <c r="D208" s="3" t="s">
        <v>191</v>
      </c>
      <c r="E208" s="1" t="b">
        <v>1</v>
      </c>
      <c r="F208" s="1">
        <v>2</v>
      </c>
      <c r="H208" s="1" t="s">
        <v>156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8" s="15" t="s">
        <v>40</v>
      </c>
      <c r="R208" s="15">
        <v>7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35</v>
      </c>
      <c r="D209" s="3" t="s">
        <v>191</v>
      </c>
      <c r="E209" s="1" t="b">
        <v>1</v>
      </c>
      <c r="F209" s="1">
        <v>2</v>
      </c>
      <c r="H209" s="1" t="s">
        <v>157</v>
      </c>
      <c r="I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9" s="15" t="s">
        <v>40</v>
      </c>
      <c r="R209" s="15">
        <v>7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35</v>
      </c>
      <c r="D210" s="1" t="s">
        <v>1612</v>
      </c>
      <c r="F210" s="1">
        <v>3</v>
      </c>
      <c r="H210" s="1" t="s">
        <v>152</v>
      </c>
      <c r="I210" s="1" t="s">
        <v>152</v>
      </c>
      <c r="J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10" s="15" t="s">
        <v>40</v>
      </c>
      <c r="R210" s="15">
        <v>0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35</v>
      </c>
      <c r="D211" s="1" t="s">
        <v>1612</v>
      </c>
      <c r="F211" s="1">
        <v>3</v>
      </c>
      <c r="H211" s="1" t="s">
        <v>152</v>
      </c>
      <c r="I211" s="1" t="s">
        <v>152</v>
      </c>
      <c r="J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11" s="15" t="s">
        <v>40</v>
      </c>
      <c r="R211" s="15">
        <v>0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35</v>
      </c>
      <c r="D212" s="1" t="s">
        <v>1612</v>
      </c>
      <c r="F212" s="1">
        <v>3</v>
      </c>
      <c r="H212" s="1" t="s">
        <v>152</v>
      </c>
      <c r="I212" s="1" t="s">
        <v>152</v>
      </c>
      <c r="J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12" s="15" t="s">
        <v>40</v>
      </c>
      <c r="R212" s="15">
        <v>0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35</v>
      </c>
      <c r="D213" s="1" t="s">
        <v>1612</v>
      </c>
      <c r="F213" s="1">
        <v>3</v>
      </c>
      <c r="H213" s="1" t="s">
        <v>152</v>
      </c>
      <c r="I213" s="1" t="s">
        <v>152</v>
      </c>
      <c r="J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13" s="15" t="s">
        <v>40</v>
      </c>
      <c r="R213" s="15">
        <v>0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35</v>
      </c>
      <c r="D214" s="1" t="s">
        <v>1612</v>
      </c>
      <c r="F214" s="1">
        <v>3</v>
      </c>
      <c r="H214" s="1" t="s">
        <v>153</v>
      </c>
      <c r="I214" s="1" t="s">
        <v>153</v>
      </c>
      <c r="J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4" s="15" t="s">
        <v>40</v>
      </c>
      <c r="R214" s="15">
        <v>0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35</v>
      </c>
      <c r="D215" s="1" t="s">
        <v>1612</v>
      </c>
      <c r="F215" s="1">
        <v>3</v>
      </c>
      <c r="H215" s="1" t="s">
        <v>153</v>
      </c>
      <c r="I215" s="1" t="s">
        <v>153</v>
      </c>
      <c r="J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5" s="15" t="s">
        <v>40</v>
      </c>
      <c r="R215" s="15">
        <v>0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35</v>
      </c>
      <c r="D216" s="1" t="s">
        <v>1612</v>
      </c>
      <c r="F216" s="1">
        <v>3</v>
      </c>
      <c r="H216" s="1" t="s">
        <v>153</v>
      </c>
      <c r="I216" s="1" t="s">
        <v>153</v>
      </c>
      <c r="J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6" s="15" t="s">
        <v>40</v>
      </c>
      <c r="R216" s="15">
        <v>0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35</v>
      </c>
      <c r="D217" s="1" t="s">
        <v>1612</v>
      </c>
      <c r="F217" s="1">
        <v>3</v>
      </c>
      <c r="H217" s="1" t="s">
        <v>153</v>
      </c>
      <c r="I217" s="1" t="s">
        <v>153</v>
      </c>
      <c r="J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7" s="15" t="s">
        <v>40</v>
      </c>
      <c r="R217" s="15">
        <v>0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35</v>
      </c>
      <c r="D218" s="1" t="s">
        <v>1612</v>
      </c>
      <c r="F218" s="1">
        <v>3</v>
      </c>
      <c r="H218" s="1" t="s">
        <v>152</v>
      </c>
      <c r="I218" s="1" t="s">
        <v>153</v>
      </c>
      <c r="J218" s="1" t="s">
        <v>154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8" s="15" t="s">
        <v>40</v>
      </c>
      <c r="R218" s="15">
        <v>0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35</v>
      </c>
      <c r="D219" s="1" t="s">
        <v>1612</v>
      </c>
      <c r="F219" s="1">
        <v>3</v>
      </c>
      <c r="H219" s="1" t="s">
        <v>152</v>
      </c>
      <c r="I219" s="1" t="s">
        <v>153</v>
      </c>
      <c r="J219" s="1" t="s">
        <v>155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9" s="15" t="s">
        <v>40</v>
      </c>
      <c r="R219" s="15">
        <v>0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35</v>
      </c>
      <c r="D220" s="1" t="s">
        <v>1612</v>
      </c>
      <c r="F220" s="1">
        <v>3</v>
      </c>
      <c r="H220" s="1" t="s">
        <v>152</v>
      </c>
      <c r="I220" s="1" t="s">
        <v>153</v>
      </c>
      <c r="J220" s="1" t="s">
        <v>156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20" s="15" t="s">
        <v>40</v>
      </c>
      <c r="R220" s="15">
        <v>0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35</v>
      </c>
      <c r="D221" s="1" t="s">
        <v>1612</v>
      </c>
      <c r="F221" s="1">
        <v>3</v>
      </c>
      <c r="H221" s="1" t="s">
        <v>152</v>
      </c>
      <c r="I221" s="1" t="s">
        <v>153</v>
      </c>
      <c r="J221" s="1" t="s">
        <v>157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21" s="15" t="s">
        <v>40</v>
      </c>
      <c r="R221" s="15">
        <v>0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35</v>
      </c>
      <c r="D222" s="1" t="s">
        <v>1613</v>
      </c>
      <c r="F222" s="1">
        <v>3</v>
      </c>
      <c r="H222" s="1" t="s">
        <v>152</v>
      </c>
      <c r="I222" s="1" t="s">
        <v>154</v>
      </c>
      <c r="J222" s="1" t="s">
        <v>154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22" s="15" t="s">
        <v>40</v>
      </c>
      <c r="R222" s="15">
        <v>0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35</v>
      </c>
      <c r="D223" s="1" t="s">
        <v>1613</v>
      </c>
      <c r="F223" s="1">
        <v>3</v>
      </c>
      <c r="H223" s="1" t="s">
        <v>152</v>
      </c>
      <c r="I223" s="1" t="s">
        <v>155</v>
      </c>
      <c r="J223" s="1" t="s">
        <v>155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23" s="15" t="s">
        <v>40</v>
      </c>
      <c r="R223" s="15">
        <v>0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35</v>
      </c>
      <c r="D224" s="1" t="s">
        <v>1613</v>
      </c>
      <c r="F224" s="1">
        <v>3</v>
      </c>
      <c r="H224" s="1" t="s">
        <v>152</v>
      </c>
      <c r="I224" s="1" t="s">
        <v>156</v>
      </c>
      <c r="J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4" s="15" t="s">
        <v>40</v>
      </c>
      <c r="R224" s="15">
        <v>0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35</v>
      </c>
      <c r="D225" s="1" t="s">
        <v>1613</v>
      </c>
      <c r="F225" s="1">
        <v>3</v>
      </c>
      <c r="H225" s="1" t="s">
        <v>152</v>
      </c>
      <c r="I225" s="1" t="s">
        <v>157</v>
      </c>
      <c r="J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5" s="15" t="s">
        <v>40</v>
      </c>
      <c r="R225" s="15">
        <v>0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35</v>
      </c>
      <c r="D226" s="1" t="s">
        <v>1613</v>
      </c>
      <c r="F226" s="1">
        <v>3</v>
      </c>
      <c r="H226" s="1" t="s">
        <v>152</v>
      </c>
      <c r="I226" s="1" t="s">
        <v>154</v>
      </c>
      <c r="J226" s="1" t="s">
        <v>155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6" s="15" t="s">
        <v>40</v>
      </c>
      <c r="R226" s="15">
        <v>0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35</v>
      </c>
      <c r="D227" s="1" t="s">
        <v>1613</v>
      </c>
      <c r="F227" s="1">
        <v>3</v>
      </c>
      <c r="H227" s="1" t="s">
        <v>152</v>
      </c>
      <c r="I227" s="1" t="s">
        <v>154</v>
      </c>
      <c r="J227" s="1" t="s">
        <v>156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7" s="15" t="s">
        <v>40</v>
      </c>
      <c r="R227" s="15">
        <v>0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35</v>
      </c>
      <c r="D228" s="1" t="s">
        <v>1613</v>
      </c>
      <c r="F228" s="1">
        <v>3</v>
      </c>
      <c r="H228" s="1" t="s">
        <v>152</v>
      </c>
      <c r="I228" s="1" t="s">
        <v>155</v>
      </c>
      <c r="J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8" s="15" t="s">
        <v>40</v>
      </c>
      <c r="R228" s="15">
        <v>0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35</v>
      </c>
      <c r="D229" s="1" t="s">
        <v>1613</v>
      </c>
      <c r="F229" s="1">
        <v>3</v>
      </c>
      <c r="H229" s="1" t="s">
        <v>152</v>
      </c>
      <c r="I229" s="1" t="s">
        <v>155</v>
      </c>
      <c r="J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9" s="15" t="s">
        <v>40</v>
      </c>
      <c r="R229" s="15">
        <v>0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35</v>
      </c>
      <c r="D230" s="1" t="s">
        <v>1613</v>
      </c>
      <c r="F230" s="1">
        <v>3</v>
      </c>
      <c r="H230" s="1" t="s">
        <v>152</v>
      </c>
      <c r="I230" s="1" t="s">
        <v>156</v>
      </c>
      <c r="J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30" s="15" t="s">
        <v>40</v>
      </c>
      <c r="R230" s="15">
        <v>0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35</v>
      </c>
      <c r="D231" s="1" t="s">
        <v>1613</v>
      </c>
      <c r="F231" s="1">
        <v>3</v>
      </c>
      <c r="H231" s="1" t="s">
        <v>153</v>
      </c>
      <c r="I231" s="49" t="s">
        <v>1592</v>
      </c>
      <c r="J231" s="49" t="s">
        <v>1592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31" s="49" t="s">
        <v>1597</v>
      </c>
      <c r="R231" s="15">
        <v>0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35</v>
      </c>
      <c r="D232" s="1" t="s">
        <v>1613</v>
      </c>
      <c r="F232" s="1">
        <v>3</v>
      </c>
      <c r="H232" s="1" t="s">
        <v>153</v>
      </c>
      <c r="I232" s="1" t="s">
        <v>155</v>
      </c>
      <c r="J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32" s="15" t="s">
        <v>40</v>
      </c>
      <c r="R232" s="15">
        <v>0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35</v>
      </c>
      <c r="D233" s="1" t="s">
        <v>1613</v>
      </c>
      <c r="F233" s="1">
        <v>3</v>
      </c>
      <c r="H233" s="1" t="s">
        <v>153</v>
      </c>
      <c r="I233" s="1" t="s">
        <v>156</v>
      </c>
      <c r="J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33" s="15" t="s">
        <v>40</v>
      </c>
      <c r="R233" s="15">
        <v>0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35</v>
      </c>
      <c r="D234" s="1" t="s">
        <v>1613</v>
      </c>
      <c r="F234" s="1">
        <v>3</v>
      </c>
      <c r="H234" s="1" t="s">
        <v>153</v>
      </c>
      <c r="I234" s="1" t="s">
        <v>157</v>
      </c>
      <c r="J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4" s="15" t="s">
        <v>40</v>
      </c>
      <c r="R234" s="15">
        <v>0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35</v>
      </c>
      <c r="D235" s="1" t="s">
        <v>1613</v>
      </c>
      <c r="F235" s="1">
        <v>3</v>
      </c>
      <c r="H235" s="1" t="s">
        <v>153</v>
      </c>
      <c r="I235" s="1" t="s">
        <v>154</v>
      </c>
      <c r="J235" s="1" t="s">
        <v>155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5" s="15" t="s">
        <v>40</v>
      </c>
      <c r="R235" s="15">
        <v>0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35</v>
      </c>
      <c r="D236" s="1" t="s">
        <v>1613</v>
      </c>
      <c r="F236" s="1">
        <v>3</v>
      </c>
      <c r="H236" s="1" t="s">
        <v>153</v>
      </c>
      <c r="I236" s="1" t="s">
        <v>154</v>
      </c>
      <c r="J236" s="1" t="s">
        <v>156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6" s="15" t="s">
        <v>40</v>
      </c>
      <c r="R236" s="15">
        <v>0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35</v>
      </c>
      <c r="D237" s="1" t="s">
        <v>1613</v>
      </c>
      <c r="F237" s="1">
        <v>3</v>
      </c>
      <c r="H237" s="1" t="s">
        <v>153</v>
      </c>
      <c r="I237" s="1" t="s">
        <v>155</v>
      </c>
      <c r="J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7" s="15" t="s">
        <v>40</v>
      </c>
      <c r="R237" s="15">
        <v>0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35</v>
      </c>
      <c r="D238" s="1" t="s">
        <v>1613</v>
      </c>
      <c r="F238" s="1">
        <v>3</v>
      </c>
      <c r="H238" s="1" t="s">
        <v>153</v>
      </c>
      <c r="I238" s="1" t="s">
        <v>155</v>
      </c>
      <c r="J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8" s="15" t="s">
        <v>40</v>
      </c>
      <c r="R238" s="15">
        <v>0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35</v>
      </c>
      <c r="D239" s="1" t="s">
        <v>1613</v>
      </c>
      <c r="F239" s="1">
        <v>3</v>
      </c>
      <c r="H239" s="1" t="s">
        <v>153</v>
      </c>
      <c r="I239" s="1" t="s">
        <v>156</v>
      </c>
      <c r="J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9" s="15" t="s">
        <v>40</v>
      </c>
      <c r="R239" s="15">
        <v>0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176</v>
      </c>
      <c r="C240" s="1" t="s">
        <v>36</v>
      </c>
      <c r="D240" s="1" t="s">
        <v>179</v>
      </c>
      <c r="F240" s="1">
        <v>2</v>
      </c>
      <c r="H240" s="1" t="s">
        <v>152</v>
      </c>
      <c r="I240" s="1" t="s">
        <v>152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40" s="15" t="s">
        <v>40</v>
      </c>
      <c r="R240" s="15">
        <v>7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179</v>
      </c>
      <c r="F241" s="1">
        <v>2</v>
      </c>
      <c r="H241" s="1" t="s">
        <v>152</v>
      </c>
      <c r="I241" s="1" t="s">
        <v>153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41" s="15" t="s">
        <v>40</v>
      </c>
      <c r="R241" s="15">
        <v>7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179</v>
      </c>
      <c r="F242" s="1">
        <v>2</v>
      </c>
      <c r="H242" s="1" t="s">
        <v>152</v>
      </c>
      <c r="I242" s="1" t="s">
        <v>154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42" s="15" t="s">
        <v>40</v>
      </c>
      <c r="R242" s="15">
        <v>7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179</v>
      </c>
      <c r="F243" s="1">
        <v>2</v>
      </c>
      <c r="H243" s="1" t="s">
        <v>152</v>
      </c>
      <c r="I243" s="1" t="s">
        <v>155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43" s="15" t="s">
        <v>40</v>
      </c>
      <c r="R243" s="15">
        <v>7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179</v>
      </c>
      <c r="F244" s="1">
        <v>2</v>
      </c>
      <c r="H244" s="1" t="s">
        <v>152</v>
      </c>
      <c r="I244" s="1" t="s">
        <v>156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4" s="15" t="s">
        <v>40</v>
      </c>
      <c r="R244" s="15">
        <v>7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179</v>
      </c>
      <c r="F245" s="1">
        <v>2</v>
      </c>
      <c r="H245" s="1" t="s">
        <v>152</v>
      </c>
      <c r="I245" s="1" t="s">
        <v>157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5" s="15" t="s">
        <v>40</v>
      </c>
      <c r="R245" s="15">
        <v>7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179</v>
      </c>
      <c r="F246" s="1">
        <v>2</v>
      </c>
      <c r="H246" s="1" t="s">
        <v>153</v>
      </c>
      <c r="I246" s="1" t="s">
        <v>153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6" s="15" t="s">
        <v>40</v>
      </c>
      <c r="R246" s="15">
        <v>7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179</v>
      </c>
      <c r="F247" s="1">
        <v>2</v>
      </c>
      <c r="H247" s="1" t="s">
        <v>153</v>
      </c>
      <c r="I247" s="1" t="s">
        <v>154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7" s="15" t="s">
        <v>40</v>
      </c>
      <c r="R247" s="15">
        <v>7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179</v>
      </c>
      <c r="F248" s="1">
        <v>2</v>
      </c>
      <c r="H248" s="1" t="s">
        <v>153</v>
      </c>
      <c r="I248" s="1" t="s">
        <v>155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8" s="15" t="s">
        <v>40</v>
      </c>
      <c r="R248" s="15">
        <v>7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179</v>
      </c>
      <c r="F249" s="1">
        <v>2</v>
      </c>
      <c r="H249" s="1" t="s">
        <v>153</v>
      </c>
      <c r="I249" s="1" t="s">
        <v>156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9" s="15" t="s">
        <v>40</v>
      </c>
      <c r="R249" s="15">
        <v>7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179</v>
      </c>
      <c r="F250" s="1">
        <v>2</v>
      </c>
      <c r="H250" s="1" t="s">
        <v>153</v>
      </c>
      <c r="I250" s="1" t="s">
        <v>157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50" s="15" t="s">
        <v>40</v>
      </c>
      <c r="R250" s="15">
        <v>7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179</v>
      </c>
      <c r="F251" s="1">
        <v>2</v>
      </c>
      <c r="H251" s="1" t="s">
        <v>154</v>
      </c>
      <c r="I251" s="1" t="s">
        <v>154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51" s="15" t="s">
        <v>40</v>
      </c>
      <c r="R251" s="15">
        <v>7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179</v>
      </c>
      <c r="F252" s="1">
        <v>2</v>
      </c>
      <c r="H252" s="1" t="s">
        <v>154</v>
      </c>
      <c r="I252" s="1" t="s">
        <v>155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52" s="15" t="s">
        <v>40</v>
      </c>
      <c r="R252" s="15">
        <v>7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179</v>
      </c>
      <c r="F253" s="1">
        <v>2</v>
      </c>
      <c r="H253" s="1" t="s">
        <v>154</v>
      </c>
      <c r="I253" s="1" t="s">
        <v>156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53" s="15" t="s">
        <v>40</v>
      </c>
      <c r="R253" s="15">
        <v>7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179</v>
      </c>
      <c r="F254" s="1">
        <v>2</v>
      </c>
      <c r="H254" s="1" t="s">
        <v>154</v>
      </c>
      <c r="I254" s="1" t="s">
        <v>157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4" s="15" t="s">
        <v>40</v>
      </c>
      <c r="R254" s="15">
        <v>7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179</v>
      </c>
      <c r="F255" s="1">
        <v>2</v>
      </c>
      <c r="H255" s="1" t="s">
        <v>155</v>
      </c>
      <c r="I255" s="1" t="s">
        <v>155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5" s="15" t="s">
        <v>40</v>
      </c>
      <c r="R255" s="15">
        <v>7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179</v>
      </c>
      <c r="F256" s="1">
        <v>2</v>
      </c>
      <c r="H256" s="1" t="s">
        <v>155</v>
      </c>
      <c r="I256" s="1" t="s">
        <v>156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6" s="15" t="s">
        <v>40</v>
      </c>
      <c r="R256" s="15">
        <v>7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1" t="s">
        <v>151</v>
      </c>
      <c r="C257" s="1" t="s">
        <v>36</v>
      </c>
      <c r="D257" s="1" t="s">
        <v>179</v>
      </c>
      <c r="F257" s="1">
        <v>2</v>
      </c>
      <c r="H257" s="1" t="s">
        <v>155</v>
      </c>
      <c r="I257" s="1" t="s">
        <v>157</v>
      </c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7" s="15" t="s">
        <v>40</v>
      </c>
      <c r="R257" s="15">
        <v>7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1" t="s">
        <v>151</v>
      </c>
      <c r="C258" s="1" t="s">
        <v>36</v>
      </c>
      <c r="D258" s="1" t="s">
        <v>179</v>
      </c>
      <c r="F258" s="1">
        <v>2</v>
      </c>
      <c r="H258" s="1" t="s">
        <v>156</v>
      </c>
      <c r="I258" s="1" t="s">
        <v>156</v>
      </c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8" s="15" t="s">
        <v>40</v>
      </c>
      <c r="R258" s="15">
        <v>7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1" t="s">
        <v>151</v>
      </c>
      <c r="C259" s="1" t="s">
        <v>36</v>
      </c>
      <c r="D259" s="1" t="s">
        <v>179</v>
      </c>
      <c r="F259" s="1">
        <v>2</v>
      </c>
      <c r="H259" s="1" t="s">
        <v>156</v>
      </c>
      <c r="I259" s="1" t="s">
        <v>157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9" s="15" t="s">
        <v>40</v>
      </c>
      <c r="R259" s="15">
        <v>7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1" t="s">
        <v>151</v>
      </c>
      <c r="C260" s="1" t="s">
        <v>36</v>
      </c>
      <c r="D260" s="1" t="s">
        <v>179</v>
      </c>
      <c r="F260" s="1">
        <v>2</v>
      </c>
      <c r="H260" s="1" t="s">
        <v>157</v>
      </c>
      <c r="I260" s="1" t="s">
        <v>157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60" s="15" t="s">
        <v>40</v>
      </c>
      <c r="R260" s="15">
        <v>7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192</v>
      </c>
      <c r="C261" s="1" t="s">
        <v>36</v>
      </c>
      <c r="D261" s="3" t="s">
        <v>193</v>
      </c>
      <c r="E261" s="1" t="b">
        <v>1</v>
      </c>
      <c r="F261" s="1">
        <v>2</v>
      </c>
      <c r="H261" s="1" t="s">
        <v>152</v>
      </c>
      <c r="I261" s="1" t="s">
        <v>152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61" s="15" t="s">
        <v>40</v>
      </c>
      <c r="R261" s="15">
        <v>7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1" t="s">
        <v>151</v>
      </c>
      <c r="C262" s="1" t="s">
        <v>36</v>
      </c>
      <c r="D262" s="3" t="s">
        <v>193</v>
      </c>
      <c r="E262" s="1" t="b">
        <v>1</v>
      </c>
      <c r="F262" s="1">
        <v>2</v>
      </c>
      <c r="H262" s="1" t="s">
        <v>152</v>
      </c>
      <c r="I262" s="1" t="s">
        <v>153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62" s="15" t="s">
        <v>40</v>
      </c>
      <c r="R262" s="15">
        <v>7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1" t="s">
        <v>151</v>
      </c>
      <c r="C263" s="1" t="s">
        <v>36</v>
      </c>
      <c r="D263" s="3" t="s">
        <v>193</v>
      </c>
      <c r="E263" s="1" t="b">
        <v>1</v>
      </c>
      <c r="F263" s="1">
        <v>2</v>
      </c>
      <c r="H263" s="1" t="s">
        <v>152</v>
      </c>
      <c r="I263" s="1" t="s">
        <v>154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63" s="15" t="s">
        <v>40</v>
      </c>
      <c r="R263" s="15">
        <v>7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151</v>
      </c>
      <c r="C264" s="1" t="s">
        <v>36</v>
      </c>
      <c r="D264" s="3" t="s">
        <v>193</v>
      </c>
      <c r="E264" s="1" t="b">
        <v>1</v>
      </c>
      <c r="F264" s="1">
        <v>2</v>
      </c>
      <c r="H264" s="1" t="s">
        <v>152</v>
      </c>
      <c r="I264" s="1" t="s">
        <v>155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4" s="15" t="s">
        <v>40</v>
      </c>
      <c r="R264" s="15">
        <v>7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3" t="s">
        <v>193</v>
      </c>
      <c r="E265" s="1" t="b">
        <v>1</v>
      </c>
      <c r="F265" s="1">
        <v>2</v>
      </c>
      <c r="H265" s="1" t="s">
        <v>152</v>
      </c>
      <c r="I265" s="1" t="s">
        <v>156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5" s="15" t="s">
        <v>40</v>
      </c>
      <c r="R265" s="15">
        <v>7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3" t="s">
        <v>193</v>
      </c>
      <c r="E266" s="1" t="b">
        <v>1</v>
      </c>
      <c r="F266" s="1">
        <v>2</v>
      </c>
      <c r="H266" s="1" t="s">
        <v>152</v>
      </c>
      <c r="I266" s="1" t="s">
        <v>157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6" s="15" t="s">
        <v>40</v>
      </c>
      <c r="R266" s="15">
        <v>7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3" t="s">
        <v>193</v>
      </c>
      <c r="E267" s="1" t="b">
        <v>1</v>
      </c>
      <c r="F267" s="1">
        <v>2</v>
      </c>
      <c r="H267" s="1" t="s">
        <v>153</v>
      </c>
      <c r="I267" s="1" t="s">
        <v>153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7" s="15" t="s">
        <v>40</v>
      </c>
      <c r="R267" s="15">
        <v>7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3" t="s">
        <v>193</v>
      </c>
      <c r="E268" s="1" t="b">
        <v>1</v>
      </c>
      <c r="F268" s="1">
        <v>2</v>
      </c>
      <c r="H268" s="1" t="s">
        <v>153</v>
      </c>
      <c r="I268" s="1" t="s">
        <v>154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8" s="15" t="s">
        <v>40</v>
      </c>
      <c r="R268" s="15">
        <v>7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3" t="s">
        <v>193</v>
      </c>
      <c r="E269" s="1" t="b">
        <v>1</v>
      </c>
      <c r="F269" s="1">
        <v>2</v>
      </c>
      <c r="H269" s="1" t="s">
        <v>153</v>
      </c>
      <c r="I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9" s="15" t="s">
        <v>40</v>
      </c>
      <c r="R269" s="15">
        <v>7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3" t="s">
        <v>193</v>
      </c>
      <c r="E270" s="1" t="b">
        <v>1</v>
      </c>
      <c r="F270" s="1">
        <v>2</v>
      </c>
      <c r="H270" s="1" t="s">
        <v>153</v>
      </c>
      <c r="I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70" s="15" t="s">
        <v>40</v>
      </c>
      <c r="R270" s="15">
        <v>7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3" t="s">
        <v>193</v>
      </c>
      <c r="E271" s="1" t="b">
        <v>1</v>
      </c>
      <c r="F271" s="1">
        <v>2</v>
      </c>
      <c r="H271" s="1" t="s">
        <v>153</v>
      </c>
      <c r="I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71" s="15" t="s">
        <v>40</v>
      </c>
      <c r="R271" s="15">
        <v>7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3" t="s">
        <v>193</v>
      </c>
      <c r="E272" s="1" t="b">
        <v>1</v>
      </c>
      <c r="F272" s="1">
        <v>2</v>
      </c>
      <c r="H272" s="1" t="s">
        <v>154</v>
      </c>
      <c r="I272" s="1" t="s">
        <v>154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72" s="15" t="s">
        <v>40</v>
      </c>
      <c r="R272" s="15">
        <v>7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3" t="s">
        <v>193</v>
      </c>
      <c r="E273" s="1" t="b">
        <v>1</v>
      </c>
      <c r="F273" s="1">
        <v>2</v>
      </c>
      <c r="H273" s="1" t="s">
        <v>154</v>
      </c>
      <c r="I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73" s="15" t="s">
        <v>40</v>
      </c>
      <c r="R273" s="15">
        <v>7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3" t="s">
        <v>193</v>
      </c>
      <c r="E274" s="1" t="b">
        <v>1</v>
      </c>
      <c r="F274" s="1">
        <v>2</v>
      </c>
      <c r="H274" s="1" t="s">
        <v>154</v>
      </c>
      <c r="I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4" s="15" t="s">
        <v>40</v>
      </c>
      <c r="R274" s="15">
        <v>7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3" t="s">
        <v>193</v>
      </c>
      <c r="E275" s="1" t="b">
        <v>1</v>
      </c>
      <c r="F275" s="1">
        <v>2</v>
      </c>
      <c r="H275" s="1" t="s">
        <v>154</v>
      </c>
      <c r="I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5" s="15" t="s">
        <v>40</v>
      </c>
      <c r="R275" s="15">
        <v>7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3" t="s">
        <v>193</v>
      </c>
      <c r="E276" s="1" t="b">
        <v>1</v>
      </c>
      <c r="F276" s="1">
        <v>2</v>
      </c>
      <c r="H276" s="1" t="s">
        <v>155</v>
      </c>
      <c r="I276" s="1" t="s">
        <v>155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6" s="15" t="s">
        <v>40</v>
      </c>
      <c r="R276" s="15">
        <v>7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3" t="s">
        <v>193</v>
      </c>
      <c r="E277" s="1" t="b">
        <v>1</v>
      </c>
      <c r="F277" s="1">
        <v>2</v>
      </c>
      <c r="H277" s="1" t="s">
        <v>155</v>
      </c>
      <c r="I277" s="1" t="s">
        <v>156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7" s="15" t="s">
        <v>40</v>
      </c>
      <c r="R277" s="15">
        <v>7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3" t="s">
        <v>193</v>
      </c>
      <c r="E278" s="1" t="b">
        <v>1</v>
      </c>
      <c r="F278" s="1">
        <v>2</v>
      </c>
      <c r="H278" s="1" t="s">
        <v>155</v>
      </c>
      <c r="I278" s="1" t="s">
        <v>157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8" s="15" t="s">
        <v>40</v>
      </c>
      <c r="R278" s="15">
        <v>7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3" t="s">
        <v>193</v>
      </c>
      <c r="E279" s="1" t="b">
        <v>1</v>
      </c>
      <c r="F279" s="1">
        <v>2</v>
      </c>
      <c r="H279" s="1" t="s">
        <v>156</v>
      </c>
      <c r="I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9" s="15" t="s">
        <v>40</v>
      </c>
      <c r="R279" s="15">
        <v>7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3" t="s">
        <v>193</v>
      </c>
      <c r="E280" s="1" t="b">
        <v>1</v>
      </c>
      <c r="F280" s="1">
        <v>2</v>
      </c>
      <c r="H280" s="1" t="s">
        <v>156</v>
      </c>
      <c r="I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80" s="15" t="s">
        <v>40</v>
      </c>
      <c r="R280" s="15">
        <v>7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3" t="s">
        <v>193</v>
      </c>
      <c r="E281" s="1" t="b">
        <v>1</v>
      </c>
      <c r="F281" s="1">
        <v>2</v>
      </c>
      <c r="H281" s="1" t="s">
        <v>157</v>
      </c>
      <c r="I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81" s="15" t="s">
        <v>40</v>
      </c>
      <c r="R281" s="15">
        <v>7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176</v>
      </c>
      <c r="C282" s="1" t="s">
        <v>180</v>
      </c>
      <c r="D282" s="1" t="s">
        <v>181</v>
      </c>
      <c r="F282" s="1">
        <v>3</v>
      </c>
      <c r="H282" s="1" t="s">
        <v>152</v>
      </c>
      <c r="I282" s="1" t="s">
        <v>152</v>
      </c>
      <c r="J282" s="1" t="s">
        <v>154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82" s="15" t="s">
        <v>40</v>
      </c>
      <c r="R282" s="15">
        <v>7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181</v>
      </c>
      <c r="F283" s="1">
        <v>3</v>
      </c>
      <c r="H283" s="1" t="s">
        <v>152</v>
      </c>
      <c r="I283" s="1" t="s">
        <v>152</v>
      </c>
      <c r="J283" s="1" t="s">
        <v>155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83" s="15" t="s">
        <v>40</v>
      </c>
      <c r="R283" s="15">
        <v>7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181</v>
      </c>
      <c r="F284" s="1">
        <v>3</v>
      </c>
      <c r="H284" s="1" t="s">
        <v>152</v>
      </c>
      <c r="I284" s="1" t="s">
        <v>152</v>
      </c>
      <c r="J284" s="1" t="s">
        <v>156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4" s="15" t="s">
        <v>40</v>
      </c>
      <c r="R284" s="15">
        <v>7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181</v>
      </c>
      <c r="F285" s="1">
        <v>3</v>
      </c>
      <c r="H285" s="1" t="s">
        <v>152</v>
      </c>
      <c r="I285" s="1" t="s">
        <v>152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5" s="15" t="s">
        <v>40</v>
      </c>
      <c r="R285" s="15">
        <v>7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1" t="s">
        <v>151</v>
      </c>
      <c r="C286" s="1" t="s">
        <v>36</v>
      </c>
      <c r="D286" s="1" t="s">
        <v>181</v>
      </c>
      <c r="F286" s="1">
        <v>3</v>
      </c>
      <c r="H286" s="1" t="s">
        <v>153</v>
      </c>
      <c r="I286" s="1" t="s">
        <v>153</v>
      </c>
      <c r="J286" s="1" t="s">
        <v>154</v>
      </c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6" s="15" t="s">
        <v>40</v>
      </c>
      <c r="R286" s="15">
        <v>7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1" t="s">
        <v>151</v>
      </c>
      <c r="C287" s="1" t="s">
        <v>36</v>
      </c>
      <c r="D287" s="1" t="s">
        <v>181</v>
      </c>
      <c r="F287" s="1">
        <v>3</v>
      </c>
      <c r="H287" s="1" t="s">
        <v>153</v>
      </c>
      <c r="I287" s="1" t="s">
        <v>153</v>
      </c>
      <c r="J287" s="1" t="s">
        <v>155</v>
      </c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7" s="15" t="s">
        <v>40</v>
      </c>
      <c r="R287" s="15">
        <v>7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1" t="s">
        <v>151</v>
      </c>
      <c r="C288" s="1" t="s">
        <v>36</v>
      </c>
      <c r="D288" s="1" t="s">
        <v>181</v>
      </c>
      <c r="F288" s="1">
        <v>3</v>
      </c>
      <c r="H288" s="1" t="s">
        <v>153</v>
      </c>
      <c r="I288" s="1" t="s">
        <v>153</v>
      </c>
      <c r="J288" s="1" t="s">
        <v>156</v>
      </c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8" s="15" t="s">
        <v>40</v>
      </c>
      <c r="R288" s="15">
        <v>7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1" t="s">
        <v>151</v>
      </c>
      <c r="C289" s="1" t="s">
        <v>36</v>
      </c>
      <c r="D289" s="1" t="s">
        <v>181</v>
      </c>
      <c r="F289" s="1">
        <v>3</v>
      </c>
      <c r="H289" s="1" t="s">
        <v>153</v>
      </c>
      <c r="I289" s="1" t="s">
        <v>153</v>
      </c>
      <c r="J289" s="1" t="s">
        <v>157</v>
      </c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9" s="15" t="s">
        <v>40</v>
      </c>
      <c r="R289" s="15">
        <v>7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1" t="s">
        <v>151</v>
      </c>
      <c r="C290" s="1" t="s">
        <v>36</v>
      </c>
      <c r="D290" s="1" t="s">
        <v>181</v>
      </c>
      <c r="F290" s="1">
        <v>3</v>
      </c>
      <c r="H290" s="1" t="s">
        <v>152</v>
      </c>
      <c r="I290" s="1" t="s">
        <v>153</v>
      </c>
      <c r="J290" s="1" t="s">
        <v>154</v>
      </c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90" s="15" t="s">
        <v>40</v>
      </c>
      <c r="R290" s="15">
        <v>7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1" t="s">
        <v>151</v>
      </c>
      <c r="C291" s="1" t="s">
        <v>36</v>
      </c>
      <c r="D291" s="1" t="s">
        <v>181</v>
      </c>
      <c r="F291" s="1">
        <v>3</v>
      </c>
      <c r="H291" s="1" t="s">
        <v>152</v>
      </c>
      <c r="I291" s="1" t="s">
        <v>153</v>
      </c>
      <c r="J291" s="1" t="s">
        <v>155</v>
      </c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91" s="15" t="s">
        <v>40</v>
      </c>
      <c r="R291" s="15">
        <v>7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1" t="s">
        <v>151</v>
      </c>
      <c r="C292" s="1" t="s">
        <v>36</v>
      </c>
      <c r="D292" s="1" t="s">
        <v>181</v>
      </c>
      <c r="F292" s="1">
        <v>3</v>
      </c>
      <c r="H292" s="1" t="s">
        <v>152</v>
      </c>
      <c r="I292" s="1" t="s">
        <v>153</v>
      </c>
      <c r="J292" s="1" t="s">
        <v>156</v>
      </c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92" s="15" t="s">
        <v>40</v>
      </c>
      <c r="R292" s="15">
        <v>7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1" t="s">
        <v>151</v>
      </c>
      <c r="C293" s="1" t="s">
        <v>36</v>
      </c>
      <c r="D293" s="1" t="s">
        <v>181</v>
      </c>
      <c r="F293" s="1">
        <v>3</v>
      </c>
      <c r="H293" s="1" t="s">
        <v>152</v>
      </c>
      <c r="I293" s="1" t="s">
        <v>153</v>
      </c>
      <c r="J293" s="1" t="s">
        <v>157</v>
      </c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93" s="15" t="s">
        <v>40</v>
      </c>
      <c r="R293" s="15">
        <v>7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195</v>
      </c>
      <c r="E294" s="3" t="b">
        <v>1</v>
      </c>
      <c r="F294" s="3">
        <v>3</v>
      </c>
      <c r="G294" s="3"/>
      <c r="H294" s="1" t="s">
        <v>152</v>
      </c>
      <c r="I294" s="1" t="s">
        <v>152</v>
      </c>
      <c r="J294" s="1" t="s">
        <v>154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4" s="15" t="s">
        <v>40</v>
      </c>
      <c r="R294" s="15">
        <v>7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195</v>
      </c>
      <c r="E295" s="3" t="b">
        <v>1</v>
      </c>
      <c r="F295" s="3">
        <v>3</v>
      </c>
      <c r="G295" s="3"/>
      <c r="H295" s="1" t="s">
        <v>152</v>
      </c>
      <c r="I295" s="1" t="s">
        <v>152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5" s="15" t="s">
        <v>40</v>
      </c>
      <c r="R295" s="15">
        <v>7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195</v>
      </c>
      <c r="E296" s="3" t="b">
        <v>1</v>
      </c>
      <c r="F296" s="3">
        <v>3</v>
      </c>
      <c r="G296" s="3"/>
      <c r="H296" s="1" t="s">
        <v>152</v>
      </c>
      <c r="I296" s="1" t="s">
        <v>152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6" s="15" t="s">
        <v>40</v>
      </c>
      <c r="R296" s="15">
        <v>7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195</v>
      </c>
      <c r="E297" s="3" t="b">
        <v>1</v>
      </c>
      <c r="F297" s="3">
        <v>3</v>
      </c>
      <c r="G297" s="3"/>
      <c r="H297" s="1" t="s">
        <v>152</v>
      </c>
      <c r="I297" s="1" t="s">
        <v>152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7" s="15" t="s">
        <v>40</v>
      </c>
      <c r="R297" s="15">
        <v>7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195</v>
      </c>
      <c r="E298" s="3" t="b">
        <v>1</v>
      </c>
      <c r="F298" s="3">
        <v>3</v>
      </c>
      <c r="G298" s="3"/>
      <c r="H298" s="1" t="s">
        <v>153</v>
      </c>
      <c r="I298" s="1" t="s">
        <v>153</v>
      </c>
      <c r="J298" s="1" t="s">
        <v>154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8" s="15" t="s">
        <v>40</v>
      </c>
      <c r="R298" s="15">
        <v>7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195</v>
      </c>
      <c r="E299" s="3" t="b">
        <v>1</v>
      </c>
      <c r="F299" s="3">
        <v>3</v>
      </c>
      <c r="G299" s="3"/>
      <c r="H299" s="1" t="s">
        <v>153</v>
      </c>
      <c r="I299" s="1" t="s">
        <v>153</v>
      </c>
      <c r="J299" s="1" t="s">
        <v>155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9" s="15" t="s">
        <v>40</v>
      </c>
      <c r="R299" s="15">
        <v>7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195</v>
      </c>
      <c r="E300" s="3" t="b">
        <v>1</v>
      </c>
      <c r="F300" s="3">
        <v>3</v>
      </c>
      <c r="G300" s="3"/>
      <c r="H300" s="1" t="s">
        <v>153</v>
      </c>
      <c r="I300" s="1" t="s">
        <v>153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300" s="15" t="s">
        <v>40</v>
      </c>
      <c r="R300" s="15">
        <v>7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195</v>
      </c>
      <c r="E301" s="3" t="b">
        <v>1</v>
      </c>
      <c r="F301" s="3">
        <v>3</v>
      </c>
      <c r="G301" s="3"/>
      <c r="H301" s="1" t="s">
        <v>153</v>
      </c>
      <c r="I301" s="1" t="s">
        <v>153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301" s="15" t="s">
        <v>40</v>
      </c>
      <c r="R301" s="15">
        <v>7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3" t="s">
        <v>151</v>
      </c>
      <c r="C302" s="3" t="s">
        <v>36</v>
      </c>
      <c r="D302" s="3" t="s">
        <v>195</v>
      </c>
      <c r="E302" s="3" t="b">
        <v>1</v>
      </c>
      <c r="F302" s="3">
        <v>3</v>
      </c>
      <c r="G302" s="3"/>
      <c r="H302" s="1" t="s">
        <v>152</v>
      </c>
      <c r="I302" s="1" t="s">
        <v>153</v>
      </c>
      <c r="J302" s="1" t="s">
        <v>154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302" s="15" t="s">
        <v>40</v>
      </c>
      <c r="R302" s="15">
        <v>7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3" t="s">
        <v>151</v>
      </c>
      <c r="C303" s="3" t="s">
        <v>36</v>
      </c>
      <c r="D303" s="3" t="s">
        <v>195</v>
      </c>
      <c r="E303" s="3" t="b">
        <v>1</v>
      </c>
      <c r="F303" s="3">
        <v>3</v>
      </c>
      <c r="G303" s="3"/>
      <c r="H303" s="1" t="s">
        <v>152</v>
      </c>
      <c r="I303" s="1" t="s">
        <v>153</v>
      </c>
      <c r="J303" s="1" t="s">
        <v>155</v>
      </c>
      <c r="K303" s="3"/>
      <c r="L303" s="3"/>
      <c r="M303" s="3"/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303" s="15" t="s">
        <v>40</v>
      </c>
      <c r="R303" s="15">
        <v>7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3" t="s">
        <v>151</v>
      </c>
      <c r="C304" s="3" t="s">
        <v>36</v>
      </c>
      <c r="D304" s="3" t="s">
        <v>195</v>
      </c>
      <c r="E304" s="3" t="b">
        <v>1</v>
      </c>
      <c r="F304" s="3">
        <v>3</v>
      </c>
      <c r="G304" s="3"/>
      <c r="H304" s="1" t="s">
        <v>152</v>
      </c>
      <c r="I304" s="1" t="s">
        <v>153</v>
      </c>
      <c r="J304" s="1" t="s">
        <v>156</v>
      </c>
      <c r="K304" s="3"/>
      <c r="L304" s="3"/>
      <c r="M304" s="3"/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4" s="15" t="s">
        <v>40</v>
      </c>
      <c r="R304" s="15">
        <v>7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3" t="s">
        <v>151</v>
      </c>
      <c r="C305" s="3" t="s">
        <v>36</v>
      </c>
      <c r="D305" s="3" t="s">
        <v>195</v>
      </c>
      <c r="E305" s="3" t="b">
        <v>1</v>
      </c>
      <c r="F305" s="3">
        <v>3</v>
      </c>
      <c r="G305" s="3"/>
      <c r="H305" s="1" t="s">
        <v>152</v>
      </c>
      <c r="I305" s="1" t="s">
        <v>153</v>
      </c>
      <c r="J305" s="1" t="s">
        <v>157</v>
      </c>
      <c r="K305" s="3"/>
      <c r="L305" s="3"/>
      <c r="M305" s="3"/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5" s="15" t="s">
        <v>40</v>
      </c>
      <c r="R305" s="15">
        <v>7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182</v>
      </c>
      <c r="C306" s="1" t="s">
        <v>183</v>
      </c>
      <c r="D306" s="1" t="s">
        <v>184</v>
      </c>
      <c r="F306" s="1">
        <v>3</v>
      </c>
      <c r="H306" s="1" t="s">
        <v>152</v>
      </c>
      <c r="I306" s="1" t="s">
        <v>154</v>
      </c>
      <c r="J306" s="1" t="s">
        <v>154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6" s="15" t="s">
        <v>40</v>
      </c>
      <c r="R306" s="15">
        <v>7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151</v>
      </c>
      <c r="C307" s="1" t="s">
        <v>36</v>
      </c>
      <c r="D307" s="1" t="s">
        <v>184</v>
      </c>
      <c r="F307" s="1">
        <v>3</v>
      </c>
      <c r="H307" s="1" t="s">
        <v>152</v>
      </c>
      <c r="I307" s="1" t="s">
        <v>155</v>
      </c>
      <c r="J307" s="1" t="s">
        <v>155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7" s="15" t="s">
        <v>40</v>
      </c>
      <c r="R307" s="15">
        <v>7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151</v>
      </c>
      <c r="C308" s="1" t="s">
        <v>36</v>
      </c>
      <c r="D308" s="1" t="s">
        <v>184</v>
      </c>
      <c r="F308" s="1">
        <v>3</v>
      </c>
      <c r="H308" s="1" t="s">
        <v>152</v>
      </c>
      <c r="I308" s="1" t="s">
        <v>156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8" s="15" t="s">
        <v>40</v>
      </c>
      <c r="R308" s="15">
        <v>7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151</v>
      </c>
      <c r="C309" s="1" t="s">
        <v>36</v>
      </c>
      <c r="D309" s="1" t="s">
        <v>184</v>
      </c>
      <c r="F309" s="1">
        <v>3</v>
      </c>
      <c r="H309" s="1" t="s">
        <v>152</v>
      </c>
      <c r="I309" s="1" t="s">
        <v>157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9" s="15" t="s">
        <v>40</v>
      </c>
      <c r="R309" s="15">
        <v>7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151</v>
      </c>
      <c r="C310" s="1" t="s">
        <v>36</v>
      </c>
      <c r="D310" s="1" t="s">
        <v>184</v>
      </c>
      <c r="F310" s="1">
        <v>3</v>
      </c>
      <c r="H310" s="1" t="s">
        <v>152</v>
      </c>
      <c r="I310" s="1" t="s">
        <v>154</v>
      </c>
      <c r="J310" s="1" t="s">
        <v>155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10" s="15" t="s">
        <v>40</v>
      </c>
      <c r="R310" s="15">
        <v>7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151</v>
      </c>
      <c r="C311" s="1" t="s">
        <v>36</v>
      </c>
      <c r="D311" s="1" t="s">
        <v>184</v>
      </c>
      <c r="F311" s="1">
        <v>3</v>
      </c>
      <c r="H311" s="1" t="s">
        <v>152</v>
      </c>
      <c r="I311" s="1" t="s">
        <v>154</v>
      </c>
      <c r="J311" s="1" t="s">
        <v>156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11" s="15" t="s">
        <v>40</v>
      </c>
      <c r="R311" s="15">
        <v>7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151</v>
      </c>
      <c r="C312" s="1" t="s">
        <v>36</v>
      </c>
      <c r="D312" s="1" t="s">
        <v>184</v>
      </c>
      <c r="F312" s="1">
        <v>3</v>
      </c>
      <c r="H312" s="1" t="s">
        <v>152</v>
      </c>
      <c r="I312" s="1" t="s">
        <v>154</v>
      </c>
      <c r="J312" s="1" t="s">
        <v>157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三国-超难-铁英+强英+刺英</v>
      </c>
      <c r="Q312" s="15" t="s">
        <v>40</v>
      </c>
      <c r="R312" s="15">
        <v>0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151</v>
      </c>
      <c r="C313" s="1" t="s">
        <v>36</v>
      </c>
      <c r="D313" s="1" t="s">
        <v>184</v>
      </c>
      <c r="F313" s="1">
        <v>3</v>
      </c>
      <c r="H313" s="1" t="s">
        <v>152</v>
      </c>
      <c r="I313" s="1" t="s">
        <v>155</v>
      </c>
      <c r="J313" s="1" t="s">
        <v>156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13" s="15" t="s">
        <v>40</v>
      </c>
      <c r="R313" s="15">
        <v>7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151</v>
      </c>
      <c r="C314" s="1" t="s">
        <v>36</v>
      </c>
      <c r="D314" s="1" t="s">
        <v>184</v>
      </c>
      <c r="F314" s="1">
        <v>3</v>
      </c>
      <c r="H314" s="1" t="s">
        <v>152</v>
      </c>
      <c r="I314" s="1" t="s">
        <v>155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14" s="15" t="s">
        <v>40</v>
      </c>
      <c r="R314" s="15">
        <v>7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1" t="s">
        <v>151</v>
      </c>
      <c r="C315" s="1" t="s">
        <v>36</v>
      </c>
      <c r="D315" s="1" t="s">
        <v>184</v>
      </c>
      <c r="F315" s="1">
        <v>3</v>
      </c>
      <c r="H315" s="1" t="s">
        <v>152</v>
      </c>
      <c r="I315" s="1" t="s">
        <v>156</v>
      </c>
      <c r="J315" s="1" t="s">
        <v>157</v>
      </c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5" s="15" t="s">
        <v>40</v>
      </c>
      <c r="R315" s="15">
        <v>7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1" t="s">
        <v>151</v>
      </c>
      <c r="C316" s="1" t="s">
        <v>36</v>
      </c>
      <c r="D316" s="1" t="s">
        <v>184</v>
      </c>
      <c r="F316" s="1">
        <v>3</v>
      </c>
      <c r="H316" s="1" t="s">
        <v>153</v>
      </c>
      <c r="I316" s="53" t="s">
        <v>1647</v>
      </c>
      <c r="J316" s="53" t="s">
        <v>1647</v>
      </c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6" s="15" t="s">
        <v>40</v>
      </c>
      <c r="R316" s="15">
        <v>0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1" t="s">
        <v>151</v>
      </c>
      <c r="C317" s="1" t="s">
        <v>36</v>
      </c>
      <c r="D317" s="1" t="s">
        <v>184</v>
      </c>
      <c r="F317" s="1">
        <v>3</v>
      </c>
      <c r="H317" s="1" t="s">
        <v>153</v>
      </c>
      <c r="I317" s="1" t="s">
        <v>155</v>
      </c>
      <c r="J317" s="1" t="s">
        <v>155</v>
      </c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7" s="15" t="s">
        <v>40</v>
      </c>
      <c r="R317" s="15">
        <v>7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1" t="s">
        <v>151</v>
      </c>
      <c r="C318" s="1" t="s">
        <v>36</v>
      </c>
      <c r="D318" s="1" t="s">
        <v>184</v>
      </c>
      <c r="F318" s="1">
        <v>3</v>
      </c>
      <c r="H318" s="1" t="s">
        <v>153</v>
      </c>
      <c r="I318" s="1" t="s">
        <v>156</v>
      </c>
      <c r="J318" s="1" t="s">
        <v>156</v>
      </c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8" s="15" t="s">
        <v>40</v>
      </c>
      <c r="R318" s="15">
        <v>7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1" t="s">
        <v>151</v>
      </c>
      <c r="C319" s="1" t="s">
        <v>36</v>
      </c>
      <c r="D319" s="1" t="s">
        <v>184</v>
      </c>
      <c r="F319" s="1">
        <v>3</v>
      </c>
      <c r="H319" s="1" t="s">
        <v>153</v>
      </c>
      <c r="I319" s="1" t="s">
        <v>157</v>
      </c>
      <c r="J319" s="1" t="s">
        <v>157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9" s="15" t="s">
        <v>40</v>
      </c>
      <c r="R319" s="15">
        <v>7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1" t="s">
        <v>151</v>
      </c>
      <c r="C320" s="1" t="s">
        <v>36</v>
      </c>
      <c r="D320" s="1" t="s">
        <v>184</v>
      </c>
      <c r="F320" s="1">
        <v>3</v>
      </c>
      <c r="H320" s="1" t="s">
        <v>153</v>
      </c>
      <c r="I320" s="1" t="s">
        <v>154</v>
      </c>
      <c r="J320" s="1" t="s">
        <v>155</v>
      </c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20" s="15" t="s">
        <v>40</v>
      </c>
      <c r="R320" s="15">
        <v>7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1" t="s">
        <v>151</v>
      </c>
      <c r="C321" s="1" t="s">
        <v>36</v>
      </c>
      <c r="D321" s="1" t="s">
        <v>184</v>
      </c>
      <c r="F321" s="1">
        <v>3</v>
      </c>
      <c r="H321" s="1" t="s">
        <v>153</v>
      </c>
      <c r="I321" s="1" t="s">
        <v>154</v>
      </c>
      <c r="J321" s="1" t="s">
        <v>156</v>
      </c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21" s="15" t="s">
        <v>40</v>
      </c>
      <c r="R321" s="15">
        <v>7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151</v>
      </c>
      <c r="C322" s="1" t="s">
        <v>36</v>
      </c>
      <c r="D322" s="1" t="s">
        <v>184</v>
      </c>
      <c r="F322" s="1">
        <v>3</v>
      </c>
      <c r="H322" s="1" t="s">
        <v>153</v>
      </c>
      <c r="I322" s="1" t="s">
        <v>154</v>
      </c>
      <c r="J322" s="1" t="s">
        <v>157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三国-超难-盾英+强英+刺英</v>
      </c>
      <c r="Q322" s="15" t="s">
        <v>40</v>
      </c>
      <c r="R322" s="15">
        <v>0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151</v>
      </c>
      <c r="C323" s="1" t="s">
        <v>36</v>
      </c>
      <c r="D323" s="1" t="s">
        <v>184</v>
      </c>
      <c r="F323" s="1">
        <v>3</v>
      </c>
      <c r="H323" s="1" t="s">
        <v>153</v>
      </c>
      <c r="I323" s="1" t="s">
        <v>155</v>
      </c>
      <c r="J323" s="1" t="s">
        <v>156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23" s="15" t="s">
        <v>40</v>
      </c>
      <c r="R323" s="15">
        <v>7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1" t="s">
        <v>151</v>
      </c>
      <c r="C324" s="1" t="s">
        <v>36</v>
      </c>
      <c r="D324" s="1" t="s">
        <v>184</v>
      </c>
      <c r="F324" s="1">
        <v>3</v>
      </c>
      <c r="H324" s="1" t="s">
        <v>153</v>
      </c>
      <c r="I324" s="1" t="s">
        <v>155</v>
      </c>
      <c r="J324" s="1" t="s">
        <v>157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24" s="15" t="s">
        <v>40</v>
      </c>
      <c r="R324" s="15">
        <v>7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1" t="s">
        <v>151</v>
      </c>
      <c r="C325" s="1" t="s">
        <v>36</v>
      </c>
      <c r="D325" s="1" t="s">
        <v>184</v>
      </c>
      <c r="F325" s="1">
        <v>3</v>
      </c>
      <c r="H325" s="1" t="s">
        <v>153</v>
      </c>
      <c r="I325" s="1" t="s">
        <v>156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25" s="15" t="s">
        <v>40</v>
      </c>
      <c r="R325" s="15">
        <v>7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36</v>
      </c>
      <c r="D326" s="3" t="s">
        <v>196</v>
      </c>
      <c r="E326" s="3" t="b">
        <v>1</v>
      </c>
      <c r="F326" s="3">
        <v>3</v>
      </c>
      <c r="G326" s="3"/>
      <c r="H326" s="1" t="s">
        <v>152</v>
      </c>
      <c r="I326" s="1" t="s">
        <v>154</v>
      </c>
      <c r="J326" s="1" t="s">
        <v>154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6" s="15" t="s">
        <v>40</v>
      </c>
      <c r="R326" s="15">
        <v>7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3" t="s">
        <v>151</v>
      </c>
      <c r="C327" s="3" t="s">
        <v>36</v>
      </c>
      <c r="D327" s="3" t="s">
        <v>196</v>
      </c>
      <c r="E327" s="3" t="b">
        <v>1</v>
      </c>
      <c r="F327" s="3">
        <v>3</v>
      </c>
      <c r="G327" s="3"/>
      <c r="H327" s="1" t="s">
        <v>152</v>
      </c>
      <c r="I327" s="1" t="s">
        <v>155</v>
      </c>
      <c r="J327" s="1" t="s">
        <v>155</v>
      </c>
      <c r="K327" s="3"/>
      <c r="L327" s="3"/>
      <c r="M327" s="3"/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7" s="15" t="s">
        <v>40</v>
      </c>
      <c r="R327" s="15">
        <v>7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3" t="s">
        <v>151</v>
      </c>
      <c r="C328" s="3" t="s">
        <v>36</v>
      </c>
      <c r="D328" s="3" t="s">
        <v>196</v>
      </c>
      <c r="E328" s="3" t="b">
        <v>1</v>
      </c>
      <c r="F328" s="3">
        <v>3</v>
      </c>
      <c r="G328" s="3"/>
      <c r="H328" s="1" t="s">
        <v>152</v>
      </c>
      <c r="I328" s="1" t="s">
        <v>156</v>
      </c>
      <c r="J328" s="1" t="s">
        <v>156</v>
      </c>
      <c r="K328" s="3"/>
      <c r="L328" s="3"/>
      <c r="M328" s="3"/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8" s="15" t="s">
        <v>40</v>
      </c>
      <c r="R328" s="15">
        <v>7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3" t="s">
        <v>151</v>
      </c>
      <c r="C329" s="3" t="s">
        <v>36</v>
      </c>
      <c r="D329" s="3" t="s">
        <v>196</v>
      </c>
      <c r="E329" s="3" t="b">
        <v>1</v>
      </c>
      <c r="F329" s="3">
        <v>3</v>
      </c>
      <c r="G329" s="3"/>
      <c r="H329" s="1" t="s">
        <v>152</v>
      </c>
      <c r="I329" s="1" t="s">
        <v>157</v>
      </c>
      <c r="J329" s="1" t="s">
        <v>157</v>
      </c>
      <c r="K329" s="3"/>
      <c r="L329" s="3"/>
      <c r="M329" s="3"/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9" s="15" t="s">
        <v>40</v>
      </c>
      <c r="R329" s="15">
        <v>7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3" t="s">
        <v>151</v>
      </c>
      <c r="C330" s="3" t="s">
        <v>36</v>
      </c>
      <c r="D330" s="3" t="s">
        <v>196</v>
      </c>
      <c r="E330" s="3" t="b">
        <v>1</v>
      </c>
      <c r="F330" s="3">
        <v>3</v>
      </c>
      <c r="G330" s="3"/>
      <c r="H330" s="1" t="s">
        <v>152</v>
      </c>
      <c r="I330" s="1" t="s">
        <v>154</v>
      </c>
      <c r="J330" s="1" t="s">
        <v>155</v>
      </c>
      <c r="K330" s="3"/>
      <c r="L330" s="3"/>
      <c r="M330" s="3"/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30" s="15" t="s">
        <v>40</v>
      </c>
      <c r="R330" s="15">
        <v>7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3" t="s">
        <v>151</v>
      </c>
      <c r="C331" s="3" t="s">
        <v>36</v>
      </c>
      <c r="D331" s="3" t="s">
        <v>196</v>
      </c>
      <c r="E331" s="3" t="b">
        <v>1</v>
      </c>
      <c r="F331" s="3">
        <v>3</v>
      </c>
      <c r="G331" s="3"/>
      <c r="H331" s="1" t="s">
        <v>152</v>
      </c>
      <c r="I331" s="1" t="s">
        <v>154</v>
      </c>
      <c r="J331" s="1" t="s">
        <v>156</v>
      </c>
      <c r="K331" s="3"/>
      <c r="L331" s="3"/>
      <c r="M331" s="3"/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31" s="15" t="s">
        <v>40</v>
      </c>
      <c r="R331" s="15">
        <v>7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3" t="s">
        <v>151</v>
      </c>
      <c r="C332" s="3" t="s">
        <v>36</v>
      </c>
      <c r="D332" s="3" t="s">
        <v>196</v>
      </c>
      <c r="E332" s="3" t="b">
        <v>1</v>
      </c>
      <c r="F332" s="3">
        <v>3</v>
      </c>
      <c r="G332" s="3"/>
      <c r="H332" s="1" t="s">
        <v>152</v>
      </c>
      <c r="I332" s="1" t="s">
        <v>154</v>
      </c>
      <c r="J332" s="1" t="s">
        <v>157</v>
      </c>
      <c r="K332" s="3"/>
      <c r="L332" s="3"/>
      <c r="M332" s="3"/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三国-超难-[B]铁英+强英+刺英</v>
      </c>
      <c r="Q332" s="15" t="s">
        <v>40</v>
      </c>
      <c r="R332" s="15">
        <v>0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3" t="s">
        <v>151</v>
      </c>
      <c r="C333" s="3" t="s">
        <v>36</v>
      </c>
      <c r="D333" s="3" t="s">
        <v>196</v>
      </c>
      <c r="E333" s="3" t="b">
        <v>1</v>
      </c>
      <c r="F333" s="3">
        <v>3</v>
      </c>
      <c r="G333" s="3"/>
      <c r="H333" s="1" t="s">
        <v>152</v>
      </c>
      <c r="I333" s="1" t="s">
        <v>155</v>
      </c>
      <c r="J333" s="1" t="s">
        <v>156</v>
      </c>
      <c r="K333" s="3"/>
      <c r="L333" s="3"/>
      <c r="M333" s="3"/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33" s="15" t="s">
        <v>40</v>
      </c>
      <c r="R333" s="15">
        <v>7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3" t="s">
        <v>151</v>
      </c>
      <c r="C334" s="3" t="s">
        <v>36</v>
      </c>
      <c r="D334" s="3" t="s">
        <v>196</v>
      </c>
      <c r="E334" s="3" t="b">
        <v>1</v>
      </c>
      <c r="F334" s="3">
        <v>3</v>
      </c>
      <c r="G334" s="3"/>
      <c r="H334" s="1" t="s">
        <v>152</v>
      </c>
      <c r="I334" s="1" t="s">
        <v>155</v>
      </c>
      <c r="J334" s="1" t="s">
        <v>157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34" s="15" t="s">
        <v>40</v>
      </c>
      <c r="R334" s="15">
        <v>7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3" t="s">
        <v>151</v>
      </c>
      <c r="C335" s="3" t="s">
        <v>36</v>
      </c>
      <c r="D335" s="3" t="s">
        <v>196</v>
      </c>
      <c r="E335" s="3" t="b">
        <v>1</v>
      </c>
      <c r="F335" s="3">
        <v>3</v>
      </c>
      <c r="G335" s="3"/>
      <c r="H335" s="1" t="s">
        <v>152</v>
      </c>
      <c r="I335" s="1" t="s">
        <v>156</v>
      </c>
      <c r="J335" s="1" t="s">
        <v>157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35" s="15" t="s">
        <v>40</v>
      </c>
      <c r="R335" s="15">
        <v>7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3" t="s">
        <v>151</v>
      </c>
      <c r="C336" s="3" t="s">
        <v>36</v>
      </c>
      <c r="D336" s="3" t="s">
        <v>196</v>
      </c>
      <c r="E336" s="3" t="b">
        <v>1</v>
      </c>
      <c r="F336" s="3">
        <v>3</v>
      </c>
      <c r="G336" s="3"/>
      <c r="H336" s="1" t="s">
        <v>153</v>
      </c>
      <c r="I336" s="1" t="s">
        <v>154</v>
      </c>
      <c r="J336" s="1" t="s">
        <v>154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36" s="15" t="s">
        <v>40</v>
      </c>
      <c r="R336" s="15">
        <v>0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3" t="s">
        <v>151</v>
      </c>
      <c r="C337" s="3" t="s">
        <v>36</v>
      </c>
      <c r="D337" s="3" t="s">
        <v>196</v>
      </c>
      <c r="E337" s="3" t="b">
        <v>1</v>
      </c>
      <c r="F337" s="3">
        <v>3</v>
      </c>
      <c r="G337" s="3"/>
      <c r="H337" s="1" t="s">
        <v>153</v>
      </c>
      <c r="I337" s="1" t="s">
        <v>155</v>
      </c>
      <c r="J337" s="1" t="s">
        <v>155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7" s="15" t="s">
        <v>40</v>
      </c>
      <c r="R337" s="15">
        <v>7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3" t="s">
        <v>151</v>
      </c>
      <c r="C338" s="3" t="s">
        <v>36</v>
      </c>
      <c r="D338" s="3" t="s">
        <v>196</v>
      </c>
      <c r="E338" s="3" t="b">
        <v>1</v>
      </c>
      <c r="F338" s="3">
        <v>3</v>
      </c>
      <c r="G338" s="3"/>
      <c r="H338" s="1" t="s">
        <v>153</v>
      </c>
      <c r="I338" s="1" t="s">
        <v>156</v>
      </c>
      <c r="J338" s="1" t="s">
        <v>156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8" s="15" t="s">
        <v>40</v>
      </c>
      <c r="R338" s="15">
        <v>7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36</v>
      </c>
      <c r="D339" s="3" t="s">
        <v>196</v>
      </c>
      <c r="E339" s="3" t="b">
        <v>1</v>
      </c>
      <c r="F339" s="3">
        <v>3</v>
      </c>
      <c r="G339" s="3"/>
      <c r="H339" s="1" t="s">
        <v>153</v>
      </c>
      <c r="I339" s="1" t="s">
        <v>157</v>
      </c>
      <c r="J339" s="1" t="s">
        <v>157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9" s="15" t="s">
        <v>40</v>
      </c>
      <c r="R339" s="15">
        <v>7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36</v>
      </c>
      <c r="D340" s="3" t="s">
        <v>196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155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40" s="15" t="s">
        <v>40</v>
      </c>
      <c r="R340" s="15">
        <v>7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36</v>
      </c>
      <c r="D341" s="3" t="s">
        <v>196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156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41" s="15" t="s">
        <v>40</v>
      </c>
      <c r="R341" s="15">
        <v>7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36</v>
      </c>
      <c r="D342" s="3" t="s">
        <v>196</v>
      </c>
      <c r="E342" s="3" t="b">
        <v>1</v>
      </c>
      <c r="F342" s="3">
        <v>3</v>
      </c>
      <c r="G342" s="3"/>
      <c r="H342" s="1" t="s">
        <v>153</v>
      </c>
      <c r="I342" s="1" t="s">
        <v>154</v>
      </c>
      <c r="J342" s="54" t="s">
        <v>1657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42" s="15" t="s">
        <v>40</v>
      </c>
      <c r="R342" s="15">
        <v>0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3" t="s">
        <v>151</v>
      </c>
      <c r="C343" s="3" t="s">
        <v>36</v>
      </c>
      <c r="D343" s="3" t="s">
        <v>196</v>
      </c>
      <c r="E343" s="3" t="b">
        <v>1</v>
      </c>
      <c r="F343" s="3">
        <v>3</v>
      </c>
      <c r="G343" s="3"/>
      <c r="H343" s="1" t="s">
        <v>153</v>
      </c>
      <c r="I343" s="1" t="s">
        <v>155</v>
      </c>
      <c r="J343" s="1" t="s">
        <v>156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43" s="15" t="s">
        <v>40</v>
      </c>
      <c r="R343" s="15">
        <v>7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36</v>
      </c>
      <c r="D344" s="3" t="s">
        <v>196</v>
      </c>
      <c r="E344" s="3" t="b">
        <v>1</v>
      </c>
      <c r="F344" s="3">
        <v>3</v>
      </c>
      <c r="G344" s="3"/>
      <c r="H344" s="1" t="s">
        <v>153</v>
      </c>
      <c r="I344" s="1" t="s">
        <v>155</v>
      </c>
      <c r="J344" s="1" t="s">
        <v>157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44" s="15" t="s">
        <v>40</v>
      </c>
      <c r="R344" s="15">
        <v>7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36</v>
      </c>
      <c r="D345" s="3" t="s">
        <v>196</v>
      </c>
      <c r="E345" s="3" t="b">
        <v>1</v>
      </c>
      <c r="F345" s="3">
        <v>3</v>
      </c>
      <c r="G345" s="3"/>
      <c r="H345" s="1" t="s">
        <v>153</v>
      </c>
      <c r="I345" s="1" t="s">
        <v>156</v>
      </c>
      <c r="J345" s="1" t="s">
        <v>157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45" s="15" t="s">
        <v>40</v>
      </c>
      <c r="R345" s="15">
        <v>7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1" t="s">
        <v>176</v>
      </c>
      <c r="C346" s="1" t="s">
        <v>185</v>
      </c>
      <c r="D346" s="1" t="s">
        <v>186</v>
      </c>
      <c r="F346" s="1">
        <v>3</v>
      </c>
      <c r="H346" s="1" t="s">
        <v>152</v>
      </c>
      <c r="I346" s="1" t="s">
        <v>152</v>
      </c>
      <c r="J346" s="1" t="s">
        <v>154</v>
      </c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46" s="15" t="s">
        <v>40</v>
      </c>
      <c r="R346" s="15">
        <v>10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1" t="s">
        <v>176</v>
      </c>
      <c r="C347" s="1" t="s">
        <v>185</v>
      </c>
      <c r="D347" s="1" t="s">
        <v>186</v>
      </c>
      <c r="F347" s="1">
        <v>3</v>
      </c>
      <c r="H347" s="1" t="s">
        <v>152</v>
      </c>
      <c r="I347" s="1" t="s">
        <v>152</v>
      </c>
      <c r="J347" s="1" t="s">
        <v>155</v>
      </c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7" s="15" t="s">
        <v>40</v>
      </c>
      <c r="R347" s="15">
        <v>9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1" t="s">
        <v>176</v>
      </c>
      <c r="C348" s="1" t="s">
        <v>185</v>
      </c>
      <c r="D348" s="1" t="s">
        <v>186</v>
      </c>
      <c r="F348" s="1">
        <v>3</v>
      </c>
      <c r="H348" s="1" t="s">
        <v>152</v>
      </c>
      <c r="I348" s="1" t="s">
        <v>152</v>
      </c>
      <c r="J348" s="1" t="s">
        <v>156</v>
      </c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8" s="15" t="s">
        <v>40</v>
      </c>
      <c r="R348" s="15">
        <v>9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1" t="s">
        <v>176</v>
      </c>
      <c r="C349" s="1" t="s">
        <v>185</v>
      </c>
      <c r="D349" s="1" t="s">
        <v>186</v>
      </c>
      <c r="F349" s="1">
        <v>3</v>
      </c>
      <c r="H349" s="1" t="s">
        <v>152</v>
      </c>
      <c r="I349" s="1" t="s">
        <v>152</v>
      </c>
      <c r="J349" s="1" t="s">
        <v>157</v>
      </c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9" s="15" t="s">
        <v>40</v>
      </c>
      <c r="R349" s="15">
        <v>9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1" t="s">
        <v>176</v>
      </c>
      <c r="C350" s="1" t="s">
        <v>185</v>
      </c>
      <c r="D350" s="1" t="s">
        <v>186</v>
      </c>
      <c r="F350" s="1">
        <v>3</v>
      </c>
      <c r="H350" s="1" t="s">
        <v>153</v>
      </c>
      <c r="I350" s="1" t="s">
        <v>153</v>
      </c>
      <c r="J350" s="1" t="s">
        <v>154</v>
      </c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50" s="15" t="s">
        <v>40</v>
      </c>
      <c r="R350" s="15">
        <v>9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1" t="s">
        <v>176</v>
      </c>
      <c r="C351" s="1" t="s">
        <v>185</v>
      </c>
      <c r="D351" s="1" t="s">
        <v>186</v>
      </c>
      <c r="F351" s="1">
        <v>3</v>
      </c>
      <c r="H351" s="1" t="s">
        <v>153</v>
      </c>
      <c r="I351" s="1" t="s">
        <v>153</v>
      </c>
      <c r="J351" s="1" t="s">
        <v>155</v>
      </c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51" s="15" t="s">
        <v>40</v>
      </c>
      <c r="R351" s="15">
        <v>9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1" t="s">
        <v>176</v>
      </c>
      <c r="C352" s="1" t="s">
        <v>185</v>
      </c>
      <c r="D352" s="1" t="s">
        <v>186</v>
      </c>
      <c r="F352" s="1">
        <v>3</v>
      </c>
      <c r="H352" s="1" t="s">
        <v>153</v>
      </c>
      <c r="I352" s="1" t="s">
        <v>153</v>
      </c>
      <c r="J352" s="1" t="s">
        <v>156</v>
      </c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52" s="15" t="s">
        <v>40</v>
      </c>
      <c r="R352" s="15">
        <v>9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1" t="s">
        <v>176</v>
      </c>
      <c r="C353" s="1" t="s">
        <v>185</v>
      </c>
      <c r="D353" s="1" t="s">
        <v>186</v>
      </c>
      <c r="F353" s="1">
        <v>3</v>
      </c>
      <c r="H353" s="1" t="s">
        <v>153</v>
      </c>
      <c r="I353" s="1" t="s">
        <v>153</v>
      </c>
      <c r="J353" s="1" t="s">
        <v>157</v>
      </c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53" s="15" t="s">
        <v>40</v>
      </c>
      <c r="R353" s="15">
        <v>9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1" t="s">
        <v>176</v>
      </c>
      <c r="C354" s="1" t="s">
        <v>185</v>
      </c>
      <c r="D354" s="1" t="s">
        <v>186</v>
      </c>
      <c r="F354" s="1">
        <v>3</v>
      </c>
      <c r="H354" s="1" t="s">
        <v>152</v>
      </c>
      <c r="I354" s="1" t="s">
        <v>153</v>
      </c>
      <c r="J354" s="1" t="s">
        <v>154</v>
      </c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54" s="15" t="s">
        <v>40</v>
      </c>
      <c r="R354" s="15">
        <v>9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1" t="s">
        <v>176</v>
      </c>
      <c r="C355" s="1" t="s">
        <v>185</v>
      </c>
      <c r="D355" s="1" t="s">
        <v>186</v>
      </c>
      <c r="F355" s="1">
        <v>3</v>
      </c>
      <c r="H355" s="1" t="s">
        <v>152</v>
      </c>
      <c r="I355" s="1" t="s">
        <v>153</v>
      </c>
      <c r="J355" s="1" t="s">
        <v>155</v>
      </c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55" s="15" t="s">
        <v>40</v>
      </c>
      <c r="R355" s="15">
        <v>9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1" t="s">
        <v>176</v>
      </c>
      <c r="C356" s="1" t="s">
        <v>185</v>
      </c>
      <c r="D356" s="1" t="s">
        <v>186</v>
      </c>
      <c r="F356" s="1">
        <v>3</v>
      </c>
      <c r="H356" s="1" t="s">
        <v>152</v>
      </c>
      <c r="I356" s="1" t="s">
        <v>153</v>
      </c>
      <c r="J356" s="1" t="s">
        <v>156</v>
      </c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56" s="15" t="s">
        <v>40</v>
      </c>
      <c r="R356" s="15">
        <v>9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1" t="s">
        <v>176</v>
      </c>
      <c r="C357" s="1" t="s">
        <v>185</v>
      </c>
      <c r="D357" s="1" t="s">
        <v>186</v>
      </c>
      <c r="F357" s="1">
        <v>3</v>
      </c>
      <c r="H357" s="1" t="s">
        <v>152</v>
      </c>
      <c r="I357" s="1" t="s">
        <v>153</v>
      </c>
      <c r="J357" s="1" t="s">
        <v>157</v>
      </c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7" s="15" t="s">
        <v>40</v>
      </c>
      <c r="R357" s="15">
        <v>9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197</v>
      </c>
      <c r="E358" s="3" t="b">
        <v>1</v>
      </c>
      <c r="F358" s="3">
        <v>3</v>
      </c>
      <c r="G358" s="3"/>
      <c r="H358" s="1" t="s">
        <v>152</v>
      </c>
      <c r="I358" s="1" t="s">
        <v>152</v>
      </c>
      <c r="J358" s="1" t="s">
        <v>154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8" s="15" t="s">
        <v>40</v>
      </c>
      <c r="R358" s="15">
        <v>9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197</v>
      </c>
      <c r="E359" s="3" t="b">
        <v>1</v>
      </c>
      <c r="F359" s="3">
        <v>3</v>
      </c>
      <c r="G359" s="3"/>
      <c r="H359" s="1" t="s">
        <v>152</v>
      </c>
      <c r="I359" s="1" t="s">
        <v>152</v>
      </c>
      <c r="J359" s="1" t="s">
        <v>155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9" s="15" t="s">
        <v>40</v>
      </c>
      <c r="R359" s="15">
        <v>9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197</v>
      </c>
      <c r="E360" s="3" t="b">
        <v>1</v>
      </c>
      <c r="F360" s="3">
        <v>3</v>
      </c>
      <c r="G360" s="3"/>
      <c r="H360" s="1" t="s">
        <v>152</v>
      </c>
      <c r="I360" s="1" t="s">
        <v>152</v>
      </c>
      <c r="J360" s="1" t="s">
        <v>156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60" s="15" t="s">
        <v>40</v>
      </c>
      <c r="R360" s="15">
        <v>9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  <row r="361" spans="2:43" x14ac:dyDescent="0.3">
      <c r="B361" s="3" t="s">
        <v>151</v>
      </c>
      <c r="C361" s="3" t="s">
        <v>194</v>
      </c>
      <c r="D361" s="3" t="s">
        <v>197</v>
      </c>
      <c r="E361" s="3" t="b">
        <v>1</v>
      </c>
      <c r="F361" s="3">
        <v>3</v>
      </c>
      <c r="G361" s="3"/>
      <c r="H361" s="1" t="s">
        <v>152</v>
      </c>
      <c r="I361" s="1" t="s">
        <v>152</v>
      </c>
      <c r="J361" s="1" t="s">
        <v>157</v>
      </c>
      <c r="K361" s="3"/>
      <c r="L361" s="3"/>
      <c r="M361" s="3"/>
      <c r="N3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29"/>
      <c r="P36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61" s="15" t="s">
        <v>40</v>
      </c>
      <c r="R361" s="15">
        <v>9</v>
      </c>
      <c r="S361" s="15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</row>
    <row r="362" spans="2:43" x14ac:dyDescent="0.3">
      <c r="B362" s="3" t="s">
        <v>151</v>
      </c>
      <c r="C362" s="3" t="s">
        <v>194</v>
      </c>
      <c r="D362" s="3" t="s">
        <v>197</v>
      </c>
      <c r="E362" s="3" t="b">
        <v>1</v>
      </c>
      <c r="F362" s="3">
        <v>3</v>
      </c>
      <c r="G362" s="3"/>
      <c r="H362" s="1" t="s">
        <v>153</v>
      </c>
      <c r="I362" s="1" t="s">
        <v>153</v>
      </c>
      <c r="J362" s="1" t="s">
        <v>154</v>
      </c>
      <c r="K362" s="3"/>
      <c r="L362" s="3"/>
      <c r="M362" s="3"/>
      <c r="N3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29"/>
      <c r="P36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62" s="15" t="s">
        <v>40</v>
      </c>
      <c r="R362" s="15">
        <v>9</v>
      </c>
      <c r="S362" s="15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</row>
    <row r="363" spans="2:43" x14ac:dyDescent="0.3">
      <c r="B363" s="3" t="s">
        <v>151</v>
      </c>
      <c r="C363" s="3" t="s">
        <v>194</v>
      </c>
      <c r="D363" s="3" t="s">
        <v>197</v>
      </c>
      <c r="E363" s="3" t="b">
        <v>1</v>
      </c>
      <c r="F363" s="3">
        <v>3</v>
      </c>
      <c r="G363" s="3"/>
      <c r="H363" s="1" t="s">
        <v>153</v>
      </c>
      <c r="I363" s="1" t="s">
        <v>153</v>
      </c>
      <c r="J363" s="1" t="s">
        <v>155</v>
      </c>
      <c r="K363" s="3"/>
      <c r="L363" s="3"/>
      <c r="M363" s="3"/>
      <c r="N3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29"/>
      <c r="P363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63" s="15" t="s">
        <v>40</v>
      </c>
      <c r="R363" s="15">
        <v>9</v>
      </c>
      <c r="S363" s="15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</row>
    <row r="364" spans="2:43" x14ac:dyDescent="0.3">
      <c r="B364" s="3" t="s">
        <v>151</v>
      </c>
      <c r="C364" s="3" t="s">
        <v>194</v>
      </c>
      <c r="D364" s="3" t="s">
        <v>197</v>
      </c>
      <c r="E364" s="3" t="b">
        <v>1</v>
      </c>
      <c r="F364" s="3">
        <v>3</v>
      </c>
      <c r="G364" s="3"/>
      <c r="H364" s="1" t="s">
        <v>153</v>
      </c>
      <c r="I364" s="1" t="s">
        <v>153</v>
      </c>
      <c r="J364" s="1" t="s">
        <v>156</v>
      </c>
      <c r="K364" s="3"/>
      <c r="L364" s="3"/>
      <c r="M364" s="3"/>
      <c r="N3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29"/>
      <c r="P364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64" s="15" t="s">
        <v>40</v>
      </c>
      <c r="R364" s="15">
        <v>9</v>
      </c>
      <c r="S364" s="15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</row>
    <row r="365" spans="2:43" x14ac:dyDescent="0.3">
      <c r="B365" s="3" t="s">
        <v>151</v>
      </c>
      <c r="C365" s="3" t="s">
        <v>194</v>
      </c>
      <c r="D365" s="3" t="s">
        <v>197</v>
      </c>
      <c r="E365" s="3" t="b">
        <v>1</v>
      </c>
      <c r="F365" s="3">
        <v>3</v>
      </c>
      <c r="G365" s="3"/>
      <c r="H365" s="1" t="s">
        <v>153</v>
      </c>
      <c r="I365" s="1" t="s">
        <v>153</v>
      </c>
      <c r="J365" s="1" t="s">
        <v>157</v>
      </c>
      <c r="K365" s="3"/>
      <c r="L365" s="3"/>
      <c r="M365" s="3"/>
      <c r="N3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29"/>
      <c r="P36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65" s="15" t="s">
        <v>40</v>
      </c>
      <c r="R365" s="15">
        <v>9</v>
      </c>
      <c r="S365" s="15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</row>
    <row r="366" spans="2:43" x14ac:dyDescent="0.3">
      <c r="B366" s="3" t="s">
        <v>151</v>
      </c>
      <c r="C366" s="3" t="s">
        <v>194</v>
      </c>
      <c r="D366" s="3" t="s">
        <v>197</v>
      </c>
      <c r="E366" s="3" t="b">
        <v>1</v>
      </c>
      <c r="F366" s="3">
        <v>3</v>
      </c>
      <c r="G366" s="3"/>
      <c r="H366" s="1" t="s">
        <v>152</v>
      </c>
      <c r="I366" s="1" t="s">
        <v>153</v>
      </c>
      <c r="J366" s="1" t="s">
        <v>154</v>
      </c>
      <c r="K366" s="3"/>
      <c r="L366" s="3"/>
      <c r="M366" s="3"/>
      <c r="N3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29"/>
      <c r="P36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66" s="15" t="s">
        <v>40</v>
      </c>
      <c r="R366" s="15">
        <v>9</v>
      </c>
      <c r="S366" s="15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</row>
    <row r="367" spans="2:43" x14ac:dyDescent="0.3">
      <c r="B367" s="3" t="s">
        <v>151</v>
      </c>
      <c r="C367" s="3" t="s">
        <v>194</v>
      </c>
      <c r="D367" s="3" t="s">
        <v>197</v>
      </c>
      <c r="E367" s="3" t="b">
        <v>1</v>
      </c>
      <c r="F367" s="3">
        <v>3</v>
      </c>
      <c r="G367" s="3"/>
      <c r="H367" s="1" t="s">
        <v>152</v>
      </c>
      <c r="I367" s="1" t="s">
        <v>153</v>
      </c>
      <c r="J367" s="1" t="s">
        <v>155</v>
      </c>
      <c r="K367" s="3"/>
      <c r="L367" s="3"/>
      <c r="M367" s="3"/>
      <c r="N3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29"/>
      <c r="P367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7" s="15" t="s">
        <v>40</v>
      </c>
      <c r="R367" s="15">
        <v>9</v>
      </c>
      <c r="S367" s="15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</row>
    <row r="368" spans="2:43" x14ac:dyDescent="0.3">
      <c r="B368" s="3" t="s">
        <v>151</v>
      </c>
      <c r="C368" s="3" t="s">
        <v>194</v>
      </c>
      <c r="D368" s="3" t="s">
        <v>197</v>
      </c>
      <c r="E368" s="3" t="b">
        <v>1</v>
      </c>
      <c r="F368" s="3">
        <v>3</v>
      </c>
      <c r="G368" s="3"/>
      <c r="H368" s="1" t="s">
        <v>152</v>
      </c>
      <c r="I368" s="1" t="s">
        <v>153</v>
      </c>
      <c r="J368" s="1" t="s">
        <v>156</v>
      </c>
      <c r="K368" s="3"/>
      <c r="L368" s="3"/>
      <c r="M368" s="3"/>
      <c r="N3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29"/>
      <c r="P368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8" s="15" t="s">
        <v>40</v>
      </c>
      <c r="R368" s="15">
        <v>9</v>
      </c>
      <c r="S368" s="15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</row>
    <row r="369" spans="2:43" x14ac:dyDescent="0.3">
      <c r="B369" s="3" t="s">
        <v>151</v>
      </c>
      <c r="C369" s="3" t="s">
        <v>194</v>
      </c>
      <c r="D369" s="3" t="s">
        <v>197</v>
      </c>
      <c r="E369" s="3" t="b">
        <v>1</v>
      </c>
      <c r="F369" s="3">
        <v>3</v>
      </c>
      <c r="G369" s="3"/>
      <c r="H369" s="1" t="s">
        <v>152</v>
      </c>
      <c r="I369" s="1" t="s">
        <v>153</v>
      </c>
      <c r="J369" s="1" t="s">
        <v>157</v>
      </c>
      <c r="K369" s="3"/>
      <c r="L369" s="3"/>
      <c r="M369" s="3"/>
      <c r="N3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29"/>
      <c r="P36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9" s="15" t="s">
        <v>40</v>
      </c>
      <c r="R369" s="15">
        <v>9</v>
      </c>
      <c r="S369" s="15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</row>
    <row r="370" spans="2:43" x14ac:dyDescent="0.3">
      <c r="B370" s="1" t="s">
        <v>176</v>
      </c>
      <c r="C370" s="1" t="s">
        <v>185</v>
      </c>
      <c r="D370" s="1" t="s">
        <v>187</v>
      </c>
      <c r="F370" s="1">
        <v>3</v>
      </c>
      <c r="H370" s="1" t="s">
        <v>152</v>
      </c>
      <c r="I370" s="1" t="s">
        <v>154</v>
      </c>
      <c r="J370" s="1" t="s">
        <v>154</v>
      </c>
      <c r="N3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29"/>
      <c r="P370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70" s="15" t="s">
        <v>40</v>
      </c>
      <c r="R370" s="15">
        <v>9</v>
      </c>
      <c r="S370" s="15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</row>
    <row r="371" spans="2:43" x14ac:dyDescent="0.3">
      <c r="B371" s="1" t="s">
        <v>176</v>
      </c>
      <c r="C371" s="1" t="s">
        <v>185</v>
      </c>
      <c r="D371" s="1" t="s">
        <v>187</v>
      </c>
      <c r="F371" s="1">
        <v>3</v>
      </c>
      <c r="H371" s="1" t="s">
        <v>152</v>
      </c>
      <c r="I371" s="1" t="s">
        <v>155</v>
      </c>
      <c r="J371" s="1" t="s">
        <v>155</v>
      </c>
      <c r="N3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29"/>
      <c r="P371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71" s="15" t="s">
        <v>40</v>
      </c>
      <c r="R371" s="15">
        <v>9</v>
      </c>
      <c r="S371" s="15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</row>
    <row r="372" spans="2:43" x14ac:dyDescent="0.3">
      <c r="B372" s="1" t="s">
        <v>176</v>
      </c>
      <c r="C372" s="1" t="s">
        <v>185</v>
      </c>
      <c r="D372" s="1" t="s">
        <v>187</v>
      </c>
      <c r="F372" s="1">
        <v>3</v>
      </c>
      <c r="H372" s="1" t="s">
        <v>152</v>
      </c>
      <c r="I372" s="1" t="s">
        <v>156</v>
      </c>
      <c r="J372" s="1" t="s">
        <v>156</v>
      </c>
      <c r="N3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29"/>
      <c r="P372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72" s="15" t="s">
        <v>40</v>
      </c>
      <c r="R372" s="15">
        <v>9</v>
      </c>
      <c r="S372" s="15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</row>
    <row r="373" spans="2:43" x14ac:dyDescent="0.3">
      <c r="B373" s="1" t="s">
        <v>176</v>
      </c>
      <c r="C373" s="1" t="s">
        <v>185</v>
      </c>
      <c r="D373" s="1" t="s">
        <v>187</v>
      </c>
      <c r="F373" s="1">
        <v>3</v>
      </c>
      <c r="H373" s="1" t="s">
        <v>152</v>
      </c>
      <c r="I373" s="1" t="s">
        <v>157</v>
      </c>
      <c r="J373" s="1" t="s">
        <v>157</v>
      </c>
      <c r="N3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29"/>
      <c r="P373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73" s="15" t="s">
        <v>40</v>
      </c>
      <c r="R373" s="15">
        <v>9</v>
      </c>
      <c r="S373" s="15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</row>
    <row r="374" spans="2:43" x14ac:dyDescent="0.3">
      <c r="B374" s="1" t="s">
        <v>176</v>
      </c>
      <c r="C374" s="1" t="s">
        <v>185</v>
      </c>
      <c r="D374" s="1" t="s">
        <v>187</v>
      </c>
      <c r="F374" s="1">
        <v>3</v>
      </c>
      <c r="H374" s="1" t="s">
        <v>152</v>
      </c>
      <c r="I374" s="1" t="s">
        <v>154</v>
      </c>
      <c r="J374" s="1" t="s">
        <v>155</v>
      </c>
      <c r="N3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29"/>
      <c r="P374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74" s="15" t="s">
        <v>40</v>
      </c>
      <c r="R374" s="15">
        <v>9</v>
      </c>
      <c r="S374" s="15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</row>
    <row r="375" spans="2:43" x14ac:dyDescent="0.3">
      <c r="B375" s="1" t="s">
        <v>176</v>
      </c>
      <c r="C375" s="1" t="s">
        <v>185</v>
      </c>
      <c r="D375" s="1" t="s">
        <v>187</v>
      </c>
      <c r="F375" s="1">
        <v>3</v>
      </c>
      <c r="H375" s="1" t="s">
        <v>152</v>
      </c>
      <c r="I375" s="1" t="s">
        <v>154</v>
      </c>
      <c r="J375" s="1" t="s">
        <v>156</v>
      </c>
      <c r="N3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29"/>
      <c r="P375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75" s="15" t="s">
        <v>40</v>
      </c>
      <c r="R375" s="15">
        <v>9</v>
      </c>
      <c r="S375" s="15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</row>
    <row r="376" spans="2:43" x14ac:dyDescent="0.3">
      <c r="B376" s="1" t="s">
        <v>172</v>
      </c>
      <c r="C376" s="1" t="s">
        <v>185</v>
      </c>
      <c r="D376" s="1" t="s">
        <v>187</v>
      </c>
      <c r="F376" s="1">
        <v>3</v>
      </c>
      <c r="H376" s="1" t="s">
        <v>152</v>
      </c>
      <c r="I376" s="1" t="s">
        <v>154</v>
      </c>
      <c r="J376" s="1" t="s">
        <v>157</v>
      </c>
      <c r="N3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29"/>
      <c r="P376" s="27" t="str">
        <f>tbGroup[[#This Row],[Camp]]&amp;"-"&amp;tbGroup[[#This Row],[Difficulty]]&amp;"-"&amp;GET_GROUP_NAME(tbGroup[[#This Row],[IsBoss]],tbGroup[[#This Row],[Hero1]:[Soldier3]])&amp;tbGroup[[#This Row],[Suffix]]</f>
        <v>三国-变态-铁英+强英+刺英</v>
      </c>
      <c r="Q376" s="15" t="s">
        <v>40</v>
      </c>
      <c r="R376" s="15">
        <v>9</v>
      </c>
      <c r="S376" s="15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</row>
    <row r="377" spans="2:43" x14ac:dyDescent="0.3">
      <c r="B377" s="1" t="s">
        <v>176</v>
      </c>
      <c r="C377" s="1" t="s">
        <v>185</v>
      </c>
      <c r="D377" s="1" t="s">
        <v>187</v>
      </c>
      <c r="F377" s="1">
        <v>3</v>
      </c>
      <c r="H377" s="1" t="s">
        <v>152</v>
      </c>
      <c r="I377" s="1" t="s">
        <v>155</v>
      </c>
      <c r="J377" s="1" t="s">
        <v>156</v>
      </c>
      <c r="N3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29"/>
      <c r="P377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77" s="15" t="s">
        <v>40</v>
      </c>
      <c r="R377" s="15">
        <v>9</v>
      </c>
      <c r="S377" s="15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</row>
    <row r="378" spans="2:43" x14ac:dyDescent="0.3">
      <c r="B378" s="1" t="s">
        <v>176</v>
      </c>
      <c r="C378" s="1" t="s">
        <v>185</v>
      </c>
      <c r="D378" s="1" t="s">
        <v>187</v>
      </c>
      <c r="F378" s="1">
        <v>3</v>
      </c>
      <c r="H378" s="1" t="s">
        <v>152</v>
      </c>
      <c r="I378" s="1" t="s">
        <v>155</v>
      </c>
      <c r="J378" s="1" t="s">
        <v>157</v>
      </c>
      <c r="N3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29"/>
      <c r="P378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8" s="15" t="s">
        <v>40</v>
      </c>
      <c r="R378" s="15">
        <v>9</v>
      </c>
      <c r="S378" s="15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</row>
    <row r="379" spans="2:43" x14ac:dyDescent="0.3">
      <c r="B379" s="1" t="s">
        <v>176</v>
      </c>
      <c r="C379" s="1" t="s">
        <v>185</v>
      </c>
      <c r="D379" s="1" t="s">
        <v>187</v>
      </c>
      <c r="F379" s="1">
        <v>3</v>
      </c>
      <c r="H379" s="1" t="s">
        <v>152</v>
      </c>
      <c r="I379" s="1" t="s">
        <v>156</v>
      </c>
      <c r="J379" s="1" t="s">
        <v>157</v>
      </c>
      <c r="N3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29"/>
      <c r="P379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9" s="15" t="s">
        <v>40</v>
      </c>
      <c r="R379" s="15">
        <v>9</v>
      </c>
      <c r="S379" s="15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</row>
    <row r="380" spans="2:43" x14ac:dyDescent="0.3">
      <c r="B380" s="1" t="s">
        <v>172</v>
      </c>
      <c r="C380" s="1" t="s">
        <v>185</v>
      </c>
      <c r="D380" s="1" t="s">
        <v>187</v>
      </c>
      <c r="F380" s="1">
        <v>3</v>
      </c>
      <c r="H380" s="1" t="s">
        <v>153</v>
      </c>
      <c r="I380" s="1" t="s">
        <v>154</v>
      </c>
      <c r="J380" s="1" t="s">
        <v>154</v>
      </c>
      <c r="N3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29"/>
      <c r="P380" s="27" t="str">
        <f>tbGroup[[#This Row],[Camp]]&amp;"-"&amp;tbGroup[[#This Row],[Difficulty]]&amp;"-"&amp;GET_GROUP_NAME(tbGroup[[#This Row],[IsBoss]],tbGroup[[#This Row],[Hero1]:[Soldier3]])&amp;tbGroup[[#This Row],[Suffix]]</f>
        <v>三国-变态-盾英+强英+强英</v>
      </c>
      <c r="Q380" s="15" t="s">
        <v>40</v>
      </c>
      <c r="R380" s="15">
        <v>9</v>
      </c>
      <c r="S380" s="15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</row>
    <row r="381" spans="2:43" x14ac:dyDescent="0.3">
      <c r="B381" s="1" t="s">
        <v>176</v>
      </c>
      <c r="C381" s="1" t="s">
        <v>185</v>
      </c>
      <c r="D381" s="1" t="s">
        <v>187</v>
      </c>
      <c r="F381" s="1">
        <v>3</v>
      </c>
      <c r="H381" s="1" t="s">
        <v>153</v>
      </c>
      <c r="I381" s="1" t="s">
        <v>155</v>
      </c>
      <c r="J381" s="1" t="s">
        <v>155</v>
      </c>
      <c r="N3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29"/>
      <c r="P381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81" s="15" t="s">
        <v>40</v>
      </c>
      <c r="R381" s="15">
        <v>9</v>
      </c>
      <c r="S381" s="15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</row>
    <row r="382" spans="2:43" x14ac:dyDescent="0.3">
      <c r="B382" s="1" t="s">
        <v>176</v>
      </c>
      <c r="C382" s="1" t="s">
        <v>185</v>
      </c>
      <c r="D382" s="1" t="s">
        <v>187</v>
      </c>
      <c r="F382" s="1">
        <v>3</v>
      </c>
      <c r="H382" s="1" t="s">
        <v>153</v>
      </c>
      <c r="I382" s="1" t="s">
        <v>156</v>
      </c>
      <c r="J382" s="1" t="s">
        <v>156</v>
      </c>
      <c r="N3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29"/>
      <c r="P382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82" s="15" t="s">
        <v>40</v>
      </c>
      <c r="R382" s="15">
        <v>9</v>
      </c>
      <c r="S382" s="15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</row>
    <row r="383" spans="2:43" x14ac:dyDescent="0.3">
      <c r="B383" s="1" t="s">
        <v>176</v>
      </c>
      <c r="C383" s="1" t="s">
        <v>185</v>
      </c>
      <c r="D383" s="1" t="s">
        <v>187</v>
      </c>
      <c r="F383" s="1">
        <v>3</v>
      </c>
      <c r="H383" s="1" t="s">
        <v>153</v>
      </c>
      <c r="I383" s="1" t="s">
        <v>157</v>
      </c>
      <c r="J383" s="1" t="s">
        <v>157</v>
      </c>
      <c r="N3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29"/>
      <c r="P383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83" s="15" t="s">
        <v>40</v>
      </c>
      <c r="R383" s="15">
        <v>9</v>
      </c>
      <c r="S383" s="15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</row>
    <row r="384" spans="2:43" x14ac:dyDescent="0.3">
      <c r="B384" s="1" t="s">
        <v>176</v>
      </c>
      <c r="C384" s="1" t="s">
        <v>185</v>
      </c>
      <c r="D384" s="1" t="s">
        <v>187</v>
      </c>
      <c r="F384" s="1">
        <v>3</v>
      </c>
      <c r="H384" s="1" t="s">
        <v>153</v>
      </c>
      <c r="I384" s="1" t="s">
        <v>154</v>
      </c>
      <c r="J384" s="1" t="s">
        <v>155</v>
      </c>
      <c r="N3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29"/>
      <c r="P384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84" s="15" t="s">
        <v>40</v>
      </c>
      <c r="R384" s="15">
        <v>9</v>
      </c>
      <c r="S384" s="15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</row>
    <row r="385" spans="2:43" x14ac:dyDescent="0.3">
      <c r="B385" s="1" t="s">
        <v>176</v>
      </c>
      <c r="C385" s="1" t="s">
        <v>185</v>
      </c>
      <c r="D385" s="1" t="s">
        <v>187</v>
      </c>
      <c r="F385" s="1">
        <v>3</v>
      </c>
      <c r="H385" s="1" t="s">
        <v>153</v>
      </c>
      <c r="I385" s="1" t="s">
        <v>154</v>
      </c>
      <c r="J385" s="1" t="s">
        <v>156</v>
      </c>
      <c r="N3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29"/>
      <c r="P385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85" s="15" t="s">
        <v>40</v>
      </c>
      <c r="R385" s="15">
        <v>9</v>
      </c>
      <c r="S385" s="15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</row>
    <row r="386" spans="2:43" x14ac:dyDescent="0.3">
      <c r="B386" s="1" t="s">
        <v>172</v>
      </c>
      <c r="C386" s="1" t="s">
        <v>185</v>
      </c>
      <c r="D386" s="1" t="s">
        <v>187</v>
      </c>
      <c r="F386" s="1">
        <v>3</v>
      </c>
      <c r="H386" s="1" t="s">
        <v>153</v>
      </c>
      <c r="I386" s="1" t="s">
        <v>154</v>
      </c>
      <c r="J386" s="1" t="s">
        <v>157</v>
      </c>
      <c r="N3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29"/>
      <c r="P386" s="27" t="str">
        <f>tbGroup[[#This Row],[Camp]]&amp;"-"&amp;tbGroup[[#This Row],[Difficulty]]&amp;"-"&amp;GET_GROUP_NAME(tbGroup[[#This Row],[IsBoss]],tbGroup[[#This Row],[Hero1]:[Soldier3]])&amp;tbGroup[[#This Row],[Suffix]]</f>
        <v>三国-变态-盾英+强英+刺英</v>
      </c>
      <c r="Q386" s="15" t="s">
        <v>40</v>
      </c>
      <c r="R386" s="15">
        <v>9</v>
      </c>
      <c r="S386" s="15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</row>
    <row r="387" spans="2:43" x14ac:dyDescent="0.3">
      <c r="B387" s="1" t="s">
        <v>176</v>
      </c>
      <c r="C387" s="1" t="s">
        <v>185</v>
      </c>
      <c r="D387" s="1" t="s">
        <v>187</v>
      </c>
      <c r="F387" s="1">
        <v>3</v>
      </c>
      <c r="H387" s="1" t="s">
        <v>153</v>
      </c>
      <c r="I387" s="1" t="s">
        <v>155</v>
      </c>
      <c r="J387" s="1" t="s">
        <v>156</v>
      </c>
      <c r="N3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29"/>
      <c r="P38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87" s="15" t="s">
        <v>40</v>
      </c>
      <c r="R387" s="15">
        <v>9</v>
      </c>
      <c r="S387" s="15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</row>
    <row r="388" spans="2:43" x14ac:dyDescent="0.3">
      <c r="B388" s="1" t="s">
        <v>176</v>
      </c>
      <c r="C388" s="1" t="s">
        <v>185</v>
      </c>
      <c r="D388" s="1" t="s">
        <v>187</v>
      </c>
      <c r="F388" s="1">
        <v>3</v>
      </c>
      <c r="H388" s="1" t="s">
        <v>153</v>
      </c>
      <c r="I388" s="1" t="s">
        <v>155</v>
      </c>
      <c r="J388" s="1" t="s">
        <v>157</v>
      </c>
      <c r="N3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29"/>
      <c r="P38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88" s="15" t="s">
        <v>40</v>
      </c>
      <c r="R388" s="15">
        <v>9</v>
      </c>
      <c r="S388" s="15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</row>
    <row r="389" spans="2:43" x14ac:dyDescent="0.3">
      <c r="B389" s="1" t="s">
        <v>176</v>
      </c>
      <c r="C389" s="1" t="s">
        <v>185</v>
      </c>
      <c r="D389" s="1" t="s">
        <v>187</v>
      </c>
      <c r="F389" s="1">
        <v>3</v>
      </c>
      <c r="H389" s="1" t="s">
        <v>153</v>
      </c>
      <c r="I389" s="1" t="s">
        <v>156</v>
      </c>
      <c r="J389" s="1" t="s">
        <v>157</v>
      </c>
      <c r="N3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29"/>
      <c r="P38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89" s="15" t="s">
        <v>40</v>
      </c>
      <c r="R389" s="15">
        <v>9</v>
      </c>
      <c r="S389" s="15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</row>
    <row r="390" spans="2:43" x14ac:dyDescent="0.3">
      <c r="B390" s="3" t="s">
        <v>151</v>
      </c>
      <c r="C390" s="3" t="s">
        <v>194</v>
      </c>
      <c r="D390" s="3" t="s">
        <v>198</v>
      </c>
      <c r="E390" s="3" t="b">
        <v>1</v>
      </c>
      <c r="F390" s="3">
        <v>3</v>
      </c>
      <c r="G390" s="3"/>
      <c r="H390" s="1" t="s">
        <v>152</v>
      </c>
      <c r="I390" s="1" t="s">
        <v>154</v>
      </c>
      <c r="J390" s="1" t="s">
        <v>154</v>
      </c>
      <c r="K390" s="3"/>
      <c r="L390" s="3"/>
      <c r="M390" s="3"/>
      <c r="N3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29"/>
      <c r="P39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90" s="15" t="s">
        <v>40</v>
      </c>
      <c r="R390" s="15">
        <v>9</v>
      </c>
      <c r="S390" s="15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</row>
    <row r="391" spans="2:43" x14ac:dyDescent="0.3">
      <c r="B391" s="3" t="s">
        <v>151</v>
      </c>
      <c r="C391" s="3" t="s">
        <v>194</v>
      </c>
      <c r="D391" s="3" t="s">
        <v>198</v>
      </c>
      <c r="E391" s="3" t="b">
        <v>1</v>
      </c>
      <c r="F391" s="3">
        <v>3</v>
      </c>
      <c r="G391" s="3"/>
      <c r="H391" s="1" t="s">
        <v>152</v>
      </c>
      <c r="I391" s="1" t="s">
        <v>155</v>
      </c>
      <c r="J391" s="1" t="s">
        <v>155</v>
      </c>
      <c r="K391" s="3"/>
      <c r="L391" s="3"/>
      <c r="M391" s="3"/>
      <c r="N3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29"/>
      <c r="P39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91" s="15" t="s">
        <v>40</v>
      </c>
      <c r="R391" s="15">
        <v>9</v>
      </c>
      <c r="S391" s="15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</row>
    <row r="392" spans="2:43" x14ac:dyDescent="0.3">
      <c r="B392" s="3" t="s">
        <v>151</v>
      </c>
      <c r="C392" s="3" t="s">
        <v>194</v>
      </c>
      <c r="D392" s="3" t="s">
        <v>198</v>
      </c>
      <c r="E392" s="3" t="b">
        <v>1</v>
      </c>
      <c r="F392" s="3">
        <v>3</v>
      </c>
      <c r="G392" s="3"/>
      <c r="H392" s="1" t="s">
        <v>152</v>
      </c>
      <c r="I392" s="1" t="s">
        <v>156</v>
      </c>
      <c r="J392" s="1" t="s">
        <v>156</v>
      </c>
      <c r="K392" s="3"/>
      <c r="L392" s="3"/>
      <c r="M392" s="3"/>
      <c r="N3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29"/>
      <c r="P39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92" s="15" t="s">
        <v>40</v>
      </c>
      <c r="R392" s="15">
        <v>9</v>
      </c>
      <c r="S392" s="15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</row>
    <row r="393" spans="2:43" x14ac:dyDescent="0.3">
      <c r="B393" s="3" t="s">
        <v>151</v>
      </c>
      <c r="C393" s="3" t="s">
        <v>194</v>
      </c>
      <c r="D393" s="3" t="s">
        <v>198</v>
      </c>
      <c r="E393" s="3" t="b">
        <v>1</v>
      </c>
      <c r="F393" s="3">
        <v>3</v>
      </c>
      <c r="G393" s="3"/>
      <c r="H393" s="1" t="s">
        <v>152</v>
      </c>
      <c r="I393" s="1" t="s">
        <v>157</v>
      </c>
      <c r="J393" s="1" t="s">
        <v>157</v>
      </c>
      <c r="K393" s="3"/>
      <c r="L393" s="3"/>
      <c r="M393" s="3"/>
      <c r="N3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29"/>
      <c r="P39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93" s="15" t="s">
        <v>40</v>
      </c>
      <c r="R393" s="15">
        <v>9</v>
      </c>
      <c r="S393" s="15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</row>
    <row r="394" spans="2:43" x14ac:dyDescent="0.3">
      <c r="B394" s="3" t="s">
        <v>151</v>
      </c>
      <c r="C394" s="3" t="s">
        <v>194</v>
      </c>
      <c r="D394" s="3" t="s">
        <v>198</v>
      </c>
      <c r="E394" s="3" t="b">
        <v>1</v>
      </c>
      <c r="F394" s="3">
        <v>3</v>
      </c>
      <c r="G394" s="3"/>
      <c r="H394" s="1" t="s">
        <v>152</v>
      </c>
      <c r="I394" s="1" t="s">
        <v>154</v>
      </c>
      <c r="J394" s="1" t="s">
        <v>155</v>
      </c>
      <c r="K394" s="3"/>
      <c r="L394" s="3"/>
      <c r="M394" s="3"/>
      <c r="N3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29"/>
      <c r="P39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94" s="15" t="s">
        <v>40</v>
      </c>
      <c r="R394" s="15">
        <v>9</v>
      </c>
      <c r="S394" s="15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</row>
    <row r="395" spans="2:43" x14ac:dyDescent="0.3">
      <c r="B395" s="3" t="s">
        <v>151</v>
      </c>
      <c r="C395" s="3" t="s">
        <v>194</v>
      </c>
      <c r="D395" s="3" t="s">
        <v>198</v>
      </c>
      <c r="E395" s="3" t="b">
        <v>1</v>
      </c>
      <c r="F395" s="3">
        <v>3</v>
      </c>
      <c r="G395" s="3"/>
      <c r="H395" s="1" t="s">
        <v>152</v>
      </c>
      <c r="I395" s="1" t="s">
        <v>154</v>
      </c>
      <c r="J395" s="1" t="s">
        <v>156</v>
      </c>
      <c r="K395" s="3"/>
      <c r="L395" s="3"/>
      <c r="M395" s="3"/>
      <c r="N3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29"/>
      <c r="P39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95" s="15" t="s">
        <v>40</v>
      </c>
      <c r="R395" s="15">
        <v>9</v>
      </c>
      <c r="S395" s="15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</row>
    <row r="396" spans="2:43" x14ac:dyDescent="0.3">
      <c r="B396" s="3" t="s">
        <v>151</v>
      </c>
      <c r="C396" s="3" t="s">
        <v>194</v>
      </c>
      <c r="D396" s="3" t="s">
        <v>198</v>
      </c>
      <c r="E396" s="3" t="b">
        <v>1</v>
      </c>
      <c r="F396" s="3">
        <v>3</v>
      </c>
      <c r="G396" s="3"/>
      <c r="H396" s="1" t="s">
        <v>152</v>
      </c>
      <c r="I396" s="1" t="s">
        <v>154</v>
      </c>
      <c r="J396" s="1" t="s">
        <v>157</v>
      </c>
      <c r="K396" s="3"/>
      <c r="L396" s="3"/>
      <c r="M396" s="3"/>
      <c r="N3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29"/>
      <c r="P396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三国-变态-[B]铁英+强英+刺英</v>
      </c>
      <c r="Q396" s="15" t="s">
        <v>40</v>
      </c>
      <c r="R396" s="15">
        <v>9</v>
      </c>
      <c r="S396" s="15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</row>
    <row r="397" spans="2:43" x14ac:dyDescent="0.3">
      <c r="B397" s="3" t="s">
        <v>151</v>
      </c>
      <c r="C397" s="3" t="s">
        <v>194</v>
      </c>
      <c r="D397" s="3" t="s">
        <v>198</v>
      </c>
      <c r="E397" s="3" t="b">
        <v>1</v>
      </c>
      <c r="F397" s="3">
        <v>3</v>
      </c>
      <c r="G397" s="3"/>
      <c r="H397" s="1" t="s">
        <v>152</v>
      </c>
      <c r="I397" s="1" t="s">
        <v>155</v>
      </c>
      <c r="J397" s="1" t="s">
        <v>156</v>
      </c>
      <c r="K397" s="3"/>
      <c r="L397" s="3"/>
      <c r="M397" s="3"/>
      <c r="N3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7" s="29"/>
      <c r="P39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97" s="15" t="s">
        <v>40</v>
      </c>
      <c r="R397" s="15">
        <v>9</v>
      </c>
      <c r="S397" s="15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</row>
    <row r="398" spans="2:43" x14ac:dyDescent="0.3">
      <c r="B398" s="3" t="s">
        <v>151</v>
      </c>
      <c r="C398" s="3" t="s">
        <v>194</v>
      </c>
      <c r="D398" s="3" t="s">
        <v>198</v>
      </c>
      <c r="E398" s="3" t="b">
        <v>1</v>
      </c>
      <c r="F398" s="3">
        <v>3</v>
      </c>
      <c r="G398" s="3"/>
      <c r="H398" s="1" t="s">
        <v>152</v>
      </c>
      <c r="I398" s="1" t="s">
        <v>155</v>
      </c>
      <c r="J398" s="1" t="s">
        <v>157</v>
      </c>
      <c r="K398" s="3"/>
      <c r="L398" s="3"/>
      <c r="M398" s="3"/>
      <c r="N3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8" s="29"/>
      <c r="P398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98" s="15" t="s">
        <v>40</v>
      </c>
      <c r="R398" s="15">
        <v>9</v>
      </c>
      <c r="S398" s="15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</row>
    <row r="399" spans="2:43" x14ac:dyDescent="0.3">
      <c r="B399" s="3" t="s">
        <v>151</v>
      </c>
      <c r="C399" s="3" t="s">
        <v>194</v>
      </c>
      <c r="D399" s="3" t="s">
        <v>198</v>
      </c>
      <c r="E399" s="3" t="b">
        <v>1</v>
      </c>
      <c r="F399" s="3">
        <v>3</v>
      </c>
      <c r="G399" s="3"/>
      <c r="H399" s="1" t="s">
        <v>152</v>
      </c>
      <c r="I399" s="1" t="s">
        <v>156</v>
      </c>
      <c r="J399" s="1" t="s">
        <v>157</v>
      </c>
      <c r="K399" s="3"/>
      <c r="L399" s="3"/>
      <c r="M399" s="3"/>
      <c r="N3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9" s="29"/>
      <c r="P399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99" s="15" t="s">
        <v>40</v>
      </c>
      <c r="R399" s="15">
        <v>9</v>
      </c>
      <c r="S399" s="15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</row>
    <row r="400" spans="2:43" x14ac:dyDescent="0.3">
      <c r="B400" s="3" t="s">
        <v>151</v>
      </c>
      <c r="C400" s="3" t="s">
        <v>194</v>
      </c>
      <c r="D400" s="3" t="s">
        <v>198</v>
      </c>
      <c r="E400" s="3" t="b">
        <v>1</v>
      </c>
      <c r="F400" s="3">
        <v>3</v>
      </c>
      <c r="G400" s="3"/>
      <c r="H400" s="1" t="s">
        <v>153</v>
      </c>
      <c r="I400" s="1" t="s">
        <v>154</v>
      </c>
      <c r="J400" s="1" t="s">
        <v>154</v>
      </c>
      <c r="K400" s="3"/>
      <c r="L400" s="3"/>
      <c r="M400" s="3"/>
      <c r="N4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0" s="29"/>
      <c r="P400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三国-变态-[B]盾英+强英+强英</v>
      </c>
      <c r="Q400" s="15" t="s">
        <v>40</v>
      </c>
      <c r="R400" s="15">
        <v>9</v>
      </c>
      <c r="S400" s="15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</row>
    <row r="401" spans="2:43" x14ac:dyDescent="0.3">
      <c r="B401" s="3" t="s">
        <v>151</v>
      </c>
      <c r="C401" s="3" t="s">
        <v>194</v>
      </c>
      <c r="D401" s="3" t="s">
        <v>198</v>
      </c>
      <c r="E401" s="3" t="b">
        <v>1</v>
      </c>
      <c r="F401" s="3">
        <v>3</v>
      </c>
      <c r="G401" s="3"/>
      <c r="H401" s="1" t="s">
        <v>153</v>
      </c>
      <c r="I401" s="1" t="s">
        <v>155</v>
      </c>
      <c r="J401" s="1" t="s">
        <v>155</v>
      </c>
      <c r="K401" s="3"/>
      <c r="L401" s="3"/>
      <c r="M401" s="3"/>
      <c r="N4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1" s="29"/>
      <c r="P401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401" s="15" t="s">
        <v>40</v>
      </c>
      <c r="R401" s="15">
        <v>9</v>
      </c>
      <c r="S401" s="15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</row>
    <row r="402" spans="2:43" x14ac:dyDescent="0.3">
      <c r="B402" s="3" t="s">
        <v>151</v>
      </c>
      <c r="C402" s="3" t="s">
        <v>194</v>
      </c>
      <c r="D402" s="3" t="s">
        <v>198</v>
      </c>
      <c r="E402" s="3" t="b">
        <v>1</v>
      </c>
      <c r="F402" s="3">
        <v>3</v>
      </c>
      <c r="G402" s="3"/>
      <c r="H402" s="1" t="s">
        <v>153</v>
      </c>
      <c r="I402" s="1" t="s">
        <v>156</v>
      </c>
      <c r="J402" s="1" t="s">
        <v>156</v>
      </c>
      <c r="K402" s="3"/>
      <c r="L402" s="3"/>
      <c r="M402" s="3"/>
      <c r="N4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2" s="29"/>
      <c r="P402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402" s="15" t="s">
        <v>40</v>
      </c>
      <c r="R402" s="15">
        <v>9</v>
      </c>
      <c r="S402" s="15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</row>
    <row r="403" spans="2:43" x14ac:dyDescent="0.3">
      <c r="B403" s="3" t="s">
        <v>151</v>
      </c>
      <c r="C403" s="3" t="s">
        <v>194</v>
      </c>
      <c r="D403" s="3" t="s">
        <v>198</v>
      </c>
      <c r="E403" s="3" t="b">
        <v>1</v>
      </c>
      <c r="F403" s="3">
        <v>3</v>
      </c>
      <c r="G403" s="3"/>
      <c r="H403" s="1" t="s">
        <v>153</v>
      </c>
      <c r="I403" s="1" t="s">
        <v>157</v>
      </c>
      <c r="J403" s="1" t="s">
        <v>157</v>
      </c>
      <c r="K403" s="3"/>
      <c r="L403" s="3"/>
      <c r="M403" s="3"/>
      <c r="N4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3" s="29"/>
      <c r="P403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403" s="15" t="s">
        <v>40</v>
      </c>
      <c r="R403" s="15">
        <v>9</v>
      </c>
      <c r="S403" s="15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</row>
    <row r="404" spans="2:43" x14ac:dyDescent="0.3">
      <c r="B404" s="3" t="s">
        <v>151</v>
      </c>
      <c r="C404" s="3" t="s">
        <v>194</v>
      </c>
      <c r="D404" s="3" t="s">
        <v>198</v>
      </c>
      <c r="E404" s="3" t="b">
        <v>1</v>
      </c>
      <c r="F404" s="3">
        <v>3</v>
      </c>
      <c r="G404" s="3"/>
      <c r="H404" s="1" t="s">
        <v>153</v>
      </c>
      <c r="I404" s="1" t="s">
        <v>154</v>
      </c>
      <c r="J404" s="1" t="s">
        <v>155</v>
      </c>
      <c r="K404" s="3"/>
      <c r="L404" s="3"/>
      <c r="M404" s="3"/>
      <c r="N4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4" s="29"/>
      <c r="P404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404" s="15" t="s">
        <v>40</v>
      </c>
      <c r="R404" s="15">
        <v>9</v>
      </c>
      <c r="S404" s="15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</row>
    <row r="405" spans="2:43" x14ac:dyDescent="0.3">
      <c r="B405" s="3" t="s">
        <v>151</v>
      </c>
      <c r="C405" s="3" t="s">
        <v>194</v>
      </c>
      <c r="D405" s="3" t="s">
        <v>198</v>
      </c>
      <c r="E405" s="3" t="b">
        <v>1</v>
      </c>
      <c r="F405" s="3">
        <v>3</v>
      </c>
      <c r="G405" s="3"/>
      <c r="H405" s="1" t="s">
        <v>153</v>
      </c>
      <c r="I405" s="1" t="s">
        <v>154</v>
      </c>
      <c r="J405" s="1" t="s">
        <v>156</v>
      </c>
      <c r="K405" s="3"/>
      <c r="L405" s="3"/>
      <c r="M405" s="3"/>
      <c r="N4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5" s="29"/>
      <c r="P405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405" s="15" t="s">
        <v>40</v>
      </c>
      <c r="R405" s="15">
        <v>9</v>
      </c>
      <c r="S405" s="15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</row>
    <row r="406" spans="2:43" x14ac:dyDescent="0.3">
      <c r="B406" s="3" t="s">
        <v>151</v>
      </c>
      <c r="C406" s="3" t="s">
        <v>194</v>
      </c>
      <c r="D406" s="3" t="s">
        <v>198</v>
      </c>
      <c r="E406" s="3" t="b">
        <v>1</v>
      </c>
      <c r="F406" s="3">
        <v>3</v>
      </c>
      <c r="G406" s="3"/>
      <c r="H406" s="1" t="s">
        <v>153</v>
      </c>
      <c r="I406" s="1" t="s">
        <v>154</v>
      </c>
      <c r="J406" s="1" t="s">
        <v>157</v>
      </c>
      <c r="K406" s="3"/>
      <c r="L406" s="3"/>
      <c r="M406" s="3"/>
      <c r="N4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6" s="29"/>
      <c r="P40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三国-变态-[B]盾英+强英+刺英</v>
      </c>
      <c r="Q406" s="15" t="s">
        <v>40</v>
      </c>
      <c r="R406" s="15">
        <v>9</v>
      </c>
      <c r="S406" s="15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</row>
    <row r="407" spans="2:43" x14ac:dyDescent="0.3">
      <c r="B407" s="3" t="s">
        <v>151</v>
      </c>
      <c r="C407" s="3" t="s">
        <v>194</v>
      </c>
      <c r="D407" s="3" t="s">
        <v>198</v>
      </c>
      <c r="E407" s="3" t="b">
        <v>1</v>
      </c>
      <c r="F407" s="3">
        <v>3</v>
      </c>
      <c r="G407" s="3"/>
      <c r="H407" s="1" t="s">
        <v>153</v>
      </c>
      <c r="I407" s="1" t="s">
        <v>155</v>
      </c>
      <c r="J407" s="1" t="s">
        <v>156</v>
      </c>
      <c r="K407" s="3"/>
      <c r="L407" s="3"/>
      <c r="M407" s="3"/>
      <c r="N4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7" s="29"/>
      <c r="P407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407" s="15" t="s">
        <v>40</v>
      </c>
      <c r="R407" s="15">
        <v>9</v>
      </c>
      <c r="S407" s="15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</row>
    <row r="408" spans="2:43" x14ac:dyDescent="0.3">
      <c r="B408" s="3" t="s">
        <v>151</v>
      </c>
      <c r="C408" s="3" t="s">
        <v>194</v>
      </c>
      <c r="D408" s="3" t="s">
        <v>198</v>
      </c>
      <c r="E408" s="3" t="b">
        <v>1</v>
      </c>
      <c r="F408" s="3">
        <v>3</v>
      </c>
      <c r="G408" s="3"/>
      <c r="H408" s="1" t="s">
        <v>153</v>
      </c>
      <c r="I408" s="1" t="s">
        <v>155</v>
      </c>
      <c r="J408" s="1" t="s">
        <v>157</v>
      </c>
      <c r="K408" s="3"/>
      <c r="L408" s="3"/>
      <c r="M408" s="3"/>
      <c r="N4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8" s="29"/>
      <c r="P40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408" s="15" t="s">
        <v>40</v>
      </c>
      <c r="R408" s="15">
        <v>9</v>
      </c>
      <c r="S408" s="15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</row>
    <row r="409" spans="2:43" x14ac:dyDescent="0.3">
      <c r="B409" s="3" t="s">
        <v>151</v>
      </c>
      <c r="C409" s="3" t="s">
        <v>194</v>
      </c>
      <c r="D409" s="3" t="s">
        <v>198</v>
      </c>
      <c r="E409" s="3" t="b">
        <v>1</v>
      </c>
      <c r="F409" s="3">
        <v>3</v>
      </c>
      <c r="G409" s="3"/>
      <c r="H409" s="1" t="s">
        <v>153</v>
      </c>
      <c r="I409" s="1" t="s">
        <v>156</v>
      </c>
      <c r="J409" s="1" t="s">
        <v>157</v>
      </c>
      <c r="K409" s="3"/>
      <c r="L409" s="3"/>
      <c r="M409" s="3"/>
      <c r="N4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9" s="29"/>
      <c r="P409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409" s="15" t="s">
        <v>40</v>
      </c>
      <c r="R409" s="15">
        <v>9</v>
      </c>
      <c r="S409" s="15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</row>
  </sheetData>
  <phoneticPr fontId="38" type="noConversion"/>
  <conditionalFormatting sqref="N5:N409">
    <cfRule type="cellIs" dxfId="177" priority="3" operator="equal">
      <formula>FALSE</formula>
    </cfRule>
  </conditionalFormatting>
  <conditionalFormatting sqref="Q5:R409">
    <cfRule type="expression" dxfId="176" priority="1">
      <formula>ISBLANK(Q5)</formula>
    </cfRule>
  </conditionalFormatting>
  <conditionalFormatting sqref="P5:P409">
    <cfRule type="duplicateValues" dxfId="175" priority="84"/>
  </conditionalFormatting>
  <dataValidations count="8">
    <dataValidation type="list" allowBlank="1" showInputMessage="1" showErrorMessage="1" sqref="B5:B409">
      <formula1>"三国,黄巾"</formula1>
    </dataValidation>
    <dataValidation type="list" allowBlank="1" showInputMessage="1" showErrorMessage="1" sqref="C5:C409">
      <formula1>"简单,普通,困难,超难,变态"</formula1>
    </dataValidation>
    <dataValidation type="list" allowBlank="1" showInputMessage="1" showErrorMessage="1" sqref="F5:G409">
      <formula1>"0,1,2,3"</formula1>
    </dataValidation>
    <dataValidation type="list" allowBlank="1" showInputMessage="1" showErrorMessage="1" sqref="H5:J409">
      <formula1>HeroShortNames</formula1>
    </dataValidation>
    <dataValidation type="list" allowBlank="1" showInputMessage="1" showErrorMessage="1" sqref="K5:M409">
      <formula1>SoldierShortNames</formula1>
    </dataValidation>
    <dataValidation type="list" allowBlank="1" showInputMessage="1" showErrorMessage="1" sqref="S5:S409 E5:E409">
      <formula1>"TRUE,FALSE"</formula1>
    </dataValidation>
    <dataValidation type="list" allowBlank="1" showInputMessage="1" showErrorMessage="1" sqref="Q5:Q409">
      <formula1>Formations</formula1>
    </dataValidation>
    <dataValidation type="whole" allowBlank="1" showInputMessage="1" showErrorMessage="1" sqref="R5:R409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A9" sqref="A9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1266</v>
      </c>
      <c r="D4" s="7" t="s">
        <v>482</v>
      </c>
      <c r="E4" s="45" t="s">
        <v>1412</v>
      </c>
      <c r="F4" s="36" t="s">
        <v>1286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1234</v>
      </c>
      <c r="C5" s="34" t="s">
        <v>1358</v>
      </c>
      <c r="D5" s="7">
        <v>1</v>
      </c>
      <c r="F5" s="7">
        <v>0</v>
      </c>
      <c r="G5" s="7" t="s">
        <v>597</v>
      </c>
      <c r="H5" s="7" t="s">
        <v>1162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C6" s="34" t="s">
        <v>1358</v>
      </c>
      <c r="D6" s="7">
        <v>2</v>
      </c>
      <c r="F6" s="7">
        <v>0</v>
      </c>
      <c r="G6" s="7" t="s">
        <v>597</v>
      </c>
      <c r="H6" s="7" t="s">
        <v>1150</v>
      </c>
      <c r="J6" s="49" t="s">
        <v>1589</v>
      </c>
      <c r="M6" s="49" t="s">
        <v>1591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 x14ac:dyDescent="0.3">
      <c r="C7" s="34" t="s">
        <v>1358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55" t="s">
        <v>1714</v>
      </c>
      <c r="M7" s="55" t="s">
        <v>1666</v>
      </c>
      <c r="P7" s="26">
        <f>GET_OK_GROUPS_COUNT(tbStoryEnemy[[#This Row],[Camp]],tbStoryEnemy[[#This Row],[Difficulty]],tbStoryEnemy[[#This Row],[IsBoss]],tbStoryEnemy[[#This Row],[Hero1]:[Soldier3]])</f>
        <v>2</v>
      </c>
      <c r="Q7" s="7">
        <v>2</v>
      </c>
      <c r="R7" s="9" t="s">
        <v>1165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黄巾-困难-[B]盾英+法兵1</v>
      </c>
    </row>
    <row r="8" spans="2:20" x14ac:dyDescent="0.3">
      <c r="C8" s="34" t="s">
        <v>1358</v>
      </c>
      <c r="D8" s="7">
        <v>4</v>
      </c>
      <c r="F8" s="7">
        <v>0</v>
      </c>
      <c r="G8" s="7" t="s">
        <v>597</v>
      </c>
      <c r="H8" s="7" t="s">
        <v>1162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1235</v>
      </c>
      <c r="C9" s="34" t="s">
        <v>1372</v>
      </c>
      <c r="D9" s="7">
        <v>1</v>
      </c>
      <c r="F9" s="7">
        <v>0</v>
      </c>
      <c r="G9" s="9" t="s">
        <v>597</v>
      </c>
      <c r="H9" s="7" t="s">
        <v>1162</v>
      </c>
      <c r="J9" s="23"/>
      <c r="M9" s="42" t="s">
        <v>1375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/>
      <c r="C10" s="34" t="s">
        <v>1372</v>
      </c>
      <c r="D10" s="9">
        <v>2</v>
      </c>
      <c r="E10" s="9"/>
      <c r="F10" s="9">
        <v>0</v>
      </c>
      <c r="G10" s="9" t="s">
        <v>597</v>
      </c>
      <c r="H10" s="9" t="s">
        <v>1150</v>
      </c>
      <c r="I10" s="9"/>
      <c r="J10" s="49" t="s">
        <v>1593</v>
      </c>
      <c r="K10" s="9"/>
      <c r="L10" s="9"/>
      <c r="M10" s="49" t="s">
        <v>1591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1</v>
      </c>
      <c r="Q10" s="7">
        <v>1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 x14ac:dyDescent="0.3">
      <c r="B11" s="11"/>
      <c r="C11" s="34" t="s">
        <v>1372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55" t="s">
        <v>1715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2</v>
      </c>
      <c r="Q11" s="7">
        <v>2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黄巾-困难-法英+教徒1</v>
      </c>
    </row>
    <row r="12" spans="2:20" x14ac:dyDescent="0.3">
      <c r="B12" s="24" t="s">
        <v>603</v>
      </c>
      <c r="C12" s="34" t="s">
        <v>1366</v>
      </c>
      <c r="D12" s="24">
        <v>1</v>
      </c>
      <c r="E12" s="24"/>
      <c r="F12" s="24">
        <v>0</v>
      </c>
      <c r="G12" s="24" t="s">
        <v>597</v>
      </c>
      <c r="H12" s="24" t="s">
        <v>1150</v>
      </c>
      <c r="I12" s="24"/>
      <c r="J12" s="24" t="s">
        <v>327</v>
      </c>
      <c r="K12" s="49" t="s">
        <v>1594</v>
      </c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1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 x14ac:dyDescent="0.3">
      <c r="B13" s="24" t="s">
        <v>1236</v>
      </c>
      <c r="C13" s="34" t="s">
        <v>1376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/>
      <c r="J13" s="49" t="s">
        <v>1598</v>
      </c>
      <c r="K13" s="49" t="s">
        <v>1593</v>
      </c>
      <c r="L13" s="49" t="s">
        <v>1594</v>
      </c>
      <c r="M13" s="24"/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 x14ac:dyDescent="0.3">
      <c r="B14" s="24" t="s">
        <v>604</v>
      </c>
      <c r="C14" s="34" t="s">
        <v>1265</v>
      </c>
      <c r="D14" s="24">
        <v>1</v>
      </c>
      <c r="E14" s="24"/>
      <c r="F14" s="24">
        <v>0</v>
      </c>
      <c r="G14" s="24" t="s">
        <v>151</v>
      </c>
      <c r="H14" s="24" t="s">
        <v>1150</v>
      </c>
      <c r="I14" s="24"/>
      <c r="J14" s="24" t="s">
        <v>1565</v>
      </c>
      <c r="K14" s="24"/>
      <c r="L14" s="24"/>
      <c r="M14" s="49" t="s">
        <v>1599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 x14ac:dyDescent="0.3">
      <c r="B15" s="24"/>
      <c r="C15" s="34" t="s">
        <v>1265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1372</v>
      </c>
      <c r="D16" s="24">
        <v>1</v>
      </c>
      <c r="E16" s="24"/>
      <c r="F16" s="24">
        <v>0</v>
      </c>
      <c r="G16" s="24" t="s">
        <v>151</v>
      </c>
      <c r="H16" s="24" t="s">
        <v>1150</v>
      </c>
      <c r="I16" s="24"/>
      <c r="J16" s="34"/>
      <c r="K16" s="24"/>
      <c r="L16" s="24"/>
      <c r="M16" s="45" t="s">
        <v>1411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/>
      <c r="C17" s="34" t="s">
        <v>1372</v>
      </c>
      <c r="D17" s="24">
        <v>2</v>
      </c>
      <c r="E17" s="24"/>
      <c r="F17" s="24">
        <v>0</v>
      </c>
      <c r="G17" s="24" t="s">
        <v>151</v>
      </c>
      <c r="H17" s="24" t="s">
        <v>1150</v>
      </c>
      <c r="I17" s="24"/>
      <c r="J17" s="49" t="s">
        <v>1601</v>
      </c>
      <c r="K17" s="24"/>
      <c r="L17" s="24"/>
      <c r="M17" s="49" t="s">
        <v>1599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8" spans="2:20" x14ac:dyDescent="0.3">
      <c r="B18" s="24"/>
      <c r="C18" s="34" t="s">
        <v>1372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49" t="s">
        <v>1600</v>
      </c>
      <c r="K18" s="24"/>
      <c r="L18" s="24"/>
      <c r="M18" s="49" t="s">
        <v>1599</v>
      </c>
      <c r="N18" s="24"/>
      <c r="O18" s="24"/>
      <c r="P18" s="26">
        <f>GET_OK_GROUPS_COUNT(tbStoryEnemy[[#This Row],[Camp]],tbStoryEnemy[[#This Row],[Difficulty]],tbStoryEnemy[[#This Row],[IsBoss]],tbStoryEnemy[[#This Row],[Hero1]:[Soldier3]])</f>
        <v>1</v>
      </c>
      <c r="Q18" s="24">
        <v>1</v>
      </c>
      <c r="R18" s="49" t="s">
        <v>1600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9" spans="2:20" x14ac:dyDescent="0.3">
      <c r="B19" s="24" t="s">
        <v>606</v>
      </c>
      <c r="C19" s="34" t="s">
        <v>1377</v>
      </c>
      <c r="D19" s="24">
        <v>1</v>
      </c>
      <c r="E19" s="19" t="s">
        <v>1396</v>
      </c>
      <c r="F19" s="24">
        <v>0</v>
      </c>
      <c r="G19" s="24" t="s">
        <v>151</v>
      </c>
      <c r="H19" s="24" t="s">
        <v>1150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/>
      <c r="C20" s="34" t="s">
        <v>1377</v>
      </c>
      <c r="D20" s="24">
        <v>2</v>
      </c>
      <c r="E20" s="19" t="s">
        <v>1397</v>
      </c>
      <c r="F20" s="24">
        <v>0</v>
      </c>
      <c r="G20" s="24" t="s">
        <v>151</v>
      </c>
      <c r="H20" s="24" t="s">
        <v>1150</v>
      </c>
      <c r="I20" s="24"/>
      <c r="J20" s="49" t="s">
        <v>1602</v>
      </c>
      <c r="K20" s="24"/>
      <c r="L20" s="24"/>
      <c r="M20" s="49" t="s">
        <v>1599</v>
      </c>
      <c r="N20" s="24"/>
      <c r="O20" s="24"/>
      <c r="P20" s="26">
        <f>GET_OK_GROUPS_COUNT(tbStoryEnemy[[#This Row],[Camp]],tbStoryEnemy[[#This Row],[Difficulty]],tbStoryEnemy[[#This Row],[IsBoss]],tbStoryEnemy[[#This Row],[Hero1]:[Soldier3]])</f>
        <v>1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1" spans="2:20" x14ac:dyDescent="0.3">
      <c r="B21" s="24"/>
      <c r="C21" s="34" t="s">
        <v>1377</v>
      </c>
      <c r="D21" s="24">
        <v>3</v>
      </c>
      <c r="E21" s="19" t="s">
        <v>1398</v>
      </c>
      <c r="F21" s="24">
        <v>0</v>
      </c>
      <c r="G21" s="24" t="s">
        <v>151</v>
      </c>
      <c r="H21" s="24" t="s">
        <v>1162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/>
      <c r="C22" s="34" t="s">
        <v>1377</v>
      </c>
      <c r="D22" s="24">
        <v>4</v>
      </c>
      <c r="E22" s="19" t="s">
        <v>1399</v>
      </c>
      <c r="F22" s="24">
        <v>0</v>
      </c>
      <c r="G22" s="24" t="s">
        <v>151</v>
      </c>
      <c r="H22" s="24" t="s">
        <v>1150</v>
      </c>
      <c r="I22" s="24"/>
      <c r="J22" s="32"/>
      <c r="K22" s="45"/>
      <c r="L22" s="24"/>
      <c r="M22" s="45" t="s">
        <v>1413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/>
      <c r="C23" s="34" t="s">
        <v>1377</v>
      </c>
      <c r="D23" s="24">
        <v>5</v>
      </c>
      <c r="E23" s="19" t="s">
        <v>1400</v>
      </c>
      <c r="F23" s="24">
        <v>0</v>
      </c>
      <c r="G23" s="24" t="s">
        <v>151</v>
      </c>
      <c r="H23" s="24" t="s">
        <v>1125</v>
      </c>
      <c r="I23" s="24"/>
      <c r="J23" s="49" t="s">
        <v>1604</v>
      </c>
      <c r="K23" s="24"/>
      <c r="L23" s="24"/>
      <c r="M23" s="49" t="s">
        <v>1599</v>
      </c>
      <c r="N23" s="45"/>
      <c r="O23" s="24"/>
      <c r="P23" s="26">
        <f>GET_OK_GROUPS_COUNT(tbStoryEnemy[[#This Row],[Camp]],tbStoryEnemy[[#This Row],[Difficulty]],tbStoryEnemy[[#This Row],[IsBoss]],tbStoryEnemy[[#This Row],[Hero1]:[Soldier3]])</f>
        <v>1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4" spans="2:20" x14ac:dyDescent="0.3">
      <c r="B24" s="24" t="s">
        <v>607</v>
      </c>
      <c r="C24" s="34" t="s">
        <v>1378</v>
      </c>
      <c r="D24" s="24">
        <v>1</v>
      </c>
      <c r="E24" s="24"/>
      <c r="F24" s="24">
        <v>0</v>
      </c>
      <c r="G24" s="24" t="s">
        <v>151</v>
      </c>
      <c r="H24" s="24" t="s">
        <v>1150</v>
      </c>
      <c r="I24" s="24"/>
      <c r="J24" s="45" t="s">
        <v>1414</v>
      </c>
      <c r="K24" s="49"/>
      <c r="L24" s="24"/>
      <c r="M24" s="49" t="s">
        <v>1599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/>
      <c r="C25" s="34" t="s">
        <v>1378</v>
      </c>
      <c r="D25" s="24">
        <v>2</v>
      </c>
      <c r="E25" s="24"/>
      <c r="F25" s="24">
        <v>0</v>
      </c>
      <c r="G25" s="24" t="s">
        <v>151</v>
      </c>
      <c r="H25" s="24" t="s">
        <v>1150</v>
      </c>
      <c r="I25" s="24"/>
      <c r="J25" s="49" t="s">
        <v>1605</v>
      </c>
      <c r="K25" s="24"/>
      <c r="L25" s="24"/>
      <c r="M25" s="45" t="s">
        <v>28</v>
      </c>
      <c r="N25" s="45"/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6" spans="2:20" x14ac:dyDescent="0.3">
      <c r="B26" s="24"/>
      <c r="C26" s="34" t="s">
        <v>1378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 t="b">
        <v>1</v>
      </c>
      <c r="J26" s="24" t="s">
        <v>405</v>
      </c>
      <c r="K26" s="49" t="s">
        <v>1606</v>
      </c>
      <c r="L26" s="49"/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1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27" spans="2:20" x14ac:dyDescent="0.3">
      <c r="B27" s="24" t="s">
        <v>622</v>
      </c>
      <c r="C27" s="34" t="s">
        <v>1265</v>
      </c>
      <c r="D27" s="24">
        <v>1</v>
      </c>
      <c r="E27" s="24"/>
      <c r="F27" s="24">
        <v>0</v>
      </c>
      <c r="G27" s="24" t="s">
        <v>151</v>
      </c>
      <c r="H27" s="24" t="s">
        <v>1150</v>
      </c>
      <c r="I27" s="24"/>
      <c r="J27" s="49" t="s">
        <v>1607</v>
      </c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8" spans="2:20" x14ac:dyDescent="0.3">
      <c r="B28" s="24"/>
      <c r="C28" s="34" t="s">
        <v>1265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49" t="s">
        <v>1608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1265</v>
      </c>
      <c r="D29" s="24">
        <v>1</v>
      </c>
      <c r="E29" s="24"/>
      <c r="F29" s="24">
        <v>0</v>
      </c>
      <c r="G29" s="24" t="s">
        <v>151</v>
      </c>
      <c r="H29" s="24" t="s">
        <v>1150</v>
      </c>
      <c r="I29" s="24"/>
      <c r="J29" s="49" t="s">
        <v>1609</v>
      </c>
      <c r="K29" s="24"/>
      <c r="L29" s="24"/>
      <c r="M29" s="49" t="s">
        <v>1603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0" spans="2:20" x14ac:dyDescent="0.3">
      <c r="B30" s="24"/>
      <c r="C30" s="34" t="s">
        <v>1265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49" t="s">
        <v>1610</v>
      </c>
      <c r="K30" s="24"/>
      <c r="L30" s="24"/>
      <c r="M30" s="49" t="s">
        <v>1611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1" spans="2:20" x14ac:dyDescent="0.3">
      <c r="B31" s="24" t="s">
        <v>624</v>
      </c>
      <c r="C31" s="34" t="s">
        <v>1265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/>
      <c r="C32" s="34" t="s">
        <v>1265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 t="b">
        <v>1</v>
      </c>
      <c r="J32" s="24" t="s">
        <v>332</v>
      </c>
      <c r="K32" s="49" t="s">
        <v>1608</v>
      </c>
      <c r="L32" s="49"/>
      <c r="M32" s="24"/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3" spans="2:20" x14ac:dyDescent="0.3">
      <c r="B33" s="24" t="s">
        <v>625</v>
      </c>
      <c r="C33" s="34" t="s">
        <v>1265</v>
      </c>
      <c r="D33" s="24">
        <v>1</v>
      </c>
      <c r="E33" s="24"/>
      <c r="F33" s="24">
        <v>0</v>
      </c>
      <c r="G33" s="24" t="s">
        <v>151</v>
      </c>
      <c r="H33" s="24" t="s">
        <v>1150</v>
      </c>
      <c r="I33" s="24"/>
      <c r="J33" s="24" t="s">
        <v>1528</v>
      </c>
      <c r="K33" s="24"/>
      <c r="L33" s="24"/>
      <c r="M33" s="49" t="s">
        <v>1603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" spans="2:20" x14ac:dyDescent="0.3">
      <c r="B34" s="24"/>
      <c r="C34" s="34" t="s">
        <v>1265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49" t="s">
        <v>1614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20" x14ac:dyDescent="0.3">
      <c r="B35" s="24" t="s">
        <v>626</v>
      </c>
      <c r="C35" s="34" t="s">
        <v>1265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49" t="s">
        <v>1615</v>
      </c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" spans="2:20" x14ac:dyDescent="0.3">
      <c r="B36" s="24"/>
      <c r="C36" s="34" t="s">
        <v>1265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49" t="s">
        <v>1616</v>
      </c>
      <c r="K36" s="24"/>
      <c r="L36" s="24"/>
      <c r="M36" s="24"/>
      <c r="N36" s="24"/>
      <c r="O36" s="24"/>
      <c r="P36" s="26">
        <f>GET_OK_GROUPS_COUNT(tbStoryEnemy[[#This Row],[Camp]],tbStoryEnemy[[#This Row],[Difficulty]],tbStoryEnemy[[#This Row],[IsBoss]],tbStoryEnemy[[#This Row],[Hero1]:[Soldier3]])</f>
        <v>3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7" spans="2:20" x14ac:dyDescent="0.3">
      <c r="B37" s="24" t="s">
        <v>627</v>
      </c>
      <c r="C37" s="34" t="s">
        <v>1376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 t="b">
        <v>1</v>
      </c>
      <c r="J37" s="24" t="s">
        <v>330</v>
      </c>
      <c r="K37" s="49" t="s">
        <v>1617</v>
      </c>
      <c r="L37" s="49"/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" spans="2:20" x14ac:dyDescent="0.3">
      <c r="B38" s="24" t="s">
        <v>628</v>
      </c>
      <c r="C38" s="34" t="s">
        <v>1265</v>
      </c>
      <c r="D38" s="24">
        <v>1</v>
      </c>
      <c r="E38" s="24"/>
      <c r="F38" s="24">
        <v>0</v>
      </c>
      <c r="G38" s="24" t="s">
        <v>151</v>
      </c>
      <c r="H38" s="24" t="s">
        <v>1150</v>
      </c>
      <c r="I38" s="24"/>
      <c r="J38" s="49" t="s">
        <v>1618</v>
      </c>
      <c r="K38" s="24"/>
      <c r="L38" s="24"/>
      <c r="M38" s="24"/>
      <c r="N38" s="24"/>
      <c r="O38" s="24"/>
      <c r="P38" s="26">
        <f>GET_OK_GROUPS_COUNT(tbStoryEnemy[[#This Row],[Camp]],tbStoryEnemy[[#This Row],[Difficulty]],tbStoryEnemy[[#This Row],[IsBoss]],tbStoryEnemy[[#This Row],[Hero1]:[Soldier3]])</f>
        <v>4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39" spans="2:20" x14ac:dyDescent="0.3">
      <c r="B39" s="24"/>
      <c r="C39" s="34" t="s">
        <v>1265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49" t="s">
        <v>1619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20" x14ac:dyDescent="0.3">
      <c r="B40" s="24" t="s">
        <v>629</v>
      </c>
      <c r="C40" s="34" t="s">
        <v>1265</v>
      </c>
      <c r="D40" s="24">
        <v>1</v>
      </c>
      <c r="E40" s="24"/>
      <c r="F40" s="24">
        <v>0</v>
      </c>
      <c r="G40" s="24" t="s">
        <v>151</v>
      </c>
      <c r="H40" s="24" t="s">
        <v>1150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/>
      <c r="C41" s="34" t="s">
        <v>1265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49" t="s">
        <v>1620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2" spans="2:20" x14ac:dyDescent="0.3">
      <c r="B42" s="24" t="s">
        <v>630</v>
      </c>
      <c r="C42" s="34" t="s">
        <v>1265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49" t="s">
        <v>1621</v>
      </c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3" spans="2:20" x14ac:dyDescent="0.3">
      <c r="B43" s="24"/>
      <c r="C43" s="34" t="s">
        <v>1265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 t="b">
        <v>1</v>
      </c>
      <c r="J43" s="24" t="s">
        <v>335</v>
      </c>
      <c r="K43" s="49" t="s">
        <v>1619</v>
      </c>
      <c r="L43" s="49"/>
      <c r="M43" s="24"/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4" spans="2:20" x14ac:dyDescent="0.3">
      <c r="B44" s="24" t="s">
        <v>631</v>
      </c>
      <c r="C44" s="34" t="s">
        <v>1265</v>
      </c>
      <c r="D44" s="24">
        <v>1</v>
      </c>
      <c r="E44" s="24"/>
      <c r="F44" s="24">
        <v>0</v>
      </c>
      <c r="G44" s="24" t="s">
        <v>151</v>
      </c>
      <c r="H44" s="24" t="s">
        <v>1150</v>
      </c>
      <c r="I44" s="24"/>
      <c r="J44" s="49" t="s">
        <v>1622</v>
      </c>
      <c r="K44" s="24"/>
      <c r="L44" s="24"/>
      <c r="M44" s="24"/>
      <c r="N44" s="24"/>
      <c r="O44" s="24"/>
      <c r="P44" s="26">
        <f>GET_OK_GROUPS_COUNT(tbStoryEnemy[[#This Row],[Camp]],tbStoryEnemy[[#This Row],[Difficulty]],tbStoryEnemy[[#This Row],[IsBoss]],tbStoryEnemy[[#This Row],[Hero1]:[Soldier3]])</f>
        <v>5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5" spans="2:20" x14ac:dyDescent="0.3">
      <c r="B45" s="24"/>
      <c r="C45" s="34" t="s">
        <v>1265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49" t="s">
        <v>1623</v>
      </c>
      <c r="K45" s="24"/>
      <c r="L45" s="24"/>
      <c r="M45" s="24"/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1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6" spans="2:20" x14ac:dyDescent="0.3">
      <c r="B46" s="24" t="s">
        <v>632</v>
      </c>
      <c r="C46" s="34" t="s">
        <v>1377</v>
      </c>
      <c r="D46" s="24">
        <v>1</v>
      </c>
      <c r="E46" s="19" t="s">
        <v>1396</v>
      </c>
      <c r="F46" s="24">
        <v>0</v>
      </c>
      <c r="G46" s="24" t="s">
        <v>151</v>
      </c>
      <c r="H46" s="24" t="s">
        <v>1125</v>
      </c>
      <c r="I46" s="24"/>
      <c r="J46" s="49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1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7" spans="2:20" x14ac:dyDescent="0.3">
      <c r="B47" s="24"/>
      <c r="C47" s="34" t="s">
        <v>1377</v>
      </c>
      <c r="D47" s="24">
        <v>2</v>
      </c>
      <c r="E47" s="19" t="s">
        <v>1397</v>
      </c>
      <c r="F47" s="24">
        <v>0</v>
      </c>
      <c r="G47" s="24" t="s">
        <v>151</v>
      </c>
      <c r="H47" s="24" t="s">
        <v>1125</v>
      </c>
      <c r="I47" s="24"/>
      <c r="J47" s="45" t="s">
        <v>1569</v>
      </c>
      <c r="K47" s="24"/>
      <c r="L47" s="24"/>
      <c r="M47" s="49" t="s">
        <v>1611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8" spans="2:20" x14ac:dyDescent="0.3">
      <c r="B48" s="24"/>
      <c r="C48" s="34" t="s">
        <v>1377</v>
      </c>
      <c r="D48" s="24">
        <v>3</v>
      </c>
      <c r="E48" s="19" t="s">
        <v>1398</v>
      </c>
      <c r="F48" s="24">
        <v>0</v>
      </c>
      <c r="G48" s="24" t="s">
        <v>151</v>
      </c>
      <c r="H48" s="24" t="s">
        <v>1150</v>
      </c>
      <c r="I48" s="24"/>
      <c r="J48" s="24"/>
      <c r="K48" s="24"/>
      <c r="L48" s="24"/>
      <c r="M48" s="45" t="s">
        <v>1415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/>
      <c r="C49" s="34" t="s">
        <v>1377</v>
      </c>
      <c r="D49" s="24">
        <v>4</v>
      </c>
      <c r="E49" s="19" t="s">
        <v>1399</v>
      </c>
      <c r="F49" s="24">
        <v>0</v>
      </c>
      <c r="G49" s="24" t="s">
        <v>151</v>
      </c>
      <c r="H49" s="24" t="s">
        <v>1125</v>
      </c>
      <c r="I49" s="24"/>
      <c r="J49" s="49" t="s">
        <v>1622</v>
      </c>
      <c r="K49" s="24"/>
      <c r="L49" s="24"/>
      <c r="M49" s="49" t="s">
        <v>1603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1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" spans="2:20" x14ac:dyDescent="0.3">
      <c r="B50" s="24"/>
      <c r="C50" s="34" t="s">
        <v>1377</v>
      </c>
      <c r="D50" s="24">
        <v>5</v>
      </c>
      <c r="E50" s="19" t="s">
        <v>1400</v>
      </c>
      <c r="F50" s="24">
        <v>0</v>
      </c>
      <c r="G50" s="24" t="s">
        <v>151</v>
      </c>
      <c r="H50" s="24" t="s">
        <v>1125</v>
      </c>
      <c r="I50" s="24"/>
      <c r="J50" s="24" t="s">
        <v>1568</v>
      </c>
      <c r="K50" s="24"/>
      <c r="L50" s="24"/>
      <c r="M50" s="49" t="s">
        <v>1624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1" spans="2:20" x14ac:dyDescent="0.3">
      <c r="B51" s="24" t="s">
        <v>633</v>
      </c>
      <c r="C51" s="34" t="s">
        <v>1265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49" t="s">
        <v>1625</v>
      </c>
      <c r="K51" s="24"/>
      <c r="L51" s="24"/>
      <c r="M51" s="24"/>
      <c r="N51" s="24"/>
      <c r="O51" s="24"/>
      <c r="P51" s="26">
        <f>GET_OK_GROUPS_COUNT(tbStoryEnemy[[#This Row],[Camp]],tbStoryEnemy[[#This Row],[Difficulty]],tbStoryEnemy[[#This Row],[IsBoss]],tbStoryEnemy[[#This Row],[Hero1]:[Soldier3]])</f>
        <v>3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2" spans="2:20" x14ac:dyDescent="0.3">
      <c r="B52" s="24"/>
      <c r="C52" s="34" t="s">
        <v>1265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 t="b">
        <v>1</v>
      </c>
      <c r="J52" s="24" t="s">
        <v>24</v>
      </c>
      <c r="K52" s="49" t="s">
        <v>1623</v>
      </c>
      <c r="L52" s="49"/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53" spans="2:20" x14ac:dyDescent="0.3">
      <c r="B53" s="24" t="s">
        <v>634</v>
      </c>
      <c r="C53" s="34" t="s">
        <v>1265</v>
      </c>
      <c r="D53" s="24">
        <v>1</v>
      </c>
      <c r="E53" s="24"/>
      <c r="F53" s="24">
        <v>0</v>
      </c>
      <c r="G53" s="24" t="s">
        <v>151</v>
      </c>
      <c r="H53" s="24" t="s">
        <v>1150</v>
      </c>
      <c r="I53" s="24"/>
      <c r="J53" s="49" t="s">
        <v>1626</v>
      </c>
      <c r="K53" s="24"/>
      <c r="L53" s="24"/>
      <c r="M53" s="24"/>
      <c r="N53" s="24"/>
      <c r="O53" s="24"/>
      <c r="P53" s="26">
        <f>GET_OK_GROUPS_COUNT(tbStoryEnemy[[#This Row],[Camp]],tbStoryEnemy[[#This Row],[Difficulty]],tbStoryEnemy[[#This Row],[IsBoss]],tbStoryEnemy[[#This Row],[Hero1]:[Soldier3]])</f>
        <v>5</v>
      </c>
      <c r="Q53" s="24">
        <v>2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4" spans="2:20" x14ac:dyDescent="0.3">
      <c r="B54" s="24"/>
      <c r="C54" s="34" t="s">
        <v>1265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49" t="s">
        <v>1627</v>
      </c>
      <c r="K54" s="24"/>
      <c r="L54" s="24"/>
      <c r="M54" s="24"/>
      <c r="N54" s="24"/>
      <c r="O54" s="24"/>
      <c r="P54" s="26">
        <f>GET_OK_GROUPS_COUNT(tbStoryEnemy[[#This Row],[Camp]],tbStoryEnemy[[#This Row],[Difficulty]],tbStoryEnemy[[#This Row],[IsBoss]],tbStoryEnemy[[#This Row],[Hero1]:[Soldier3]])</f>
        <v>4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" spans="2:20" x14ac:dyDescent="0.3">
      <c r="B55" s="24" t="s">
        <v>635</v>
      </c>
      <c r="C55" s="34" t="s">
        <v>1265</v>
      </c>
      <c r="D55" s="24">
        <v>1</v>
      </c>
      <c r="E55" s="24"/>
      <c r="F55" s="24">
        <v>0</v>
      </c>
      <c r="G55" s="24" t="s">
        <v>151</v>
      </c>
      <c r="H55" s="24" t="s">
        <v>1150</v>
      </c>
      <c r="I55" s="24"/>
      <c r="J55" s="49" t="s">
        <v>1628</v>
      </c>
      <c r="K55" s="24"/>
      <c r="L55" s="24"/>
      <c r="M55" s="24"/>
      <c r="N55" s="24"/>
      <c r="O55" s="24"/>
      <c r="P55" s="26">
        <f>GET_OK_GROUPS_COUNT(tbStoryEnemy[[#This Row],[Camp]],tbStoryEnemy[[#This Row],[Difficulty]],tbStoryEnemy[[#This Row],[IsBoss]],tbStoryEnemy[[#This Row],[Hero1]:[Soldier3]])</f>
        <v>5</v>
      </c>
      <c r="Q55" s="24">
        <v>3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6" spans="2:20" x14ac:dyDescent="0.3">
      <c r="B56" s="24"/>
      <c r="C56" s="34" t="s">
        <v>1265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49" t="s">
        <v>1629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7" spans="2:20" x14ac:dyDescent="0.3">
      <c r="B57" s="24" t="s">
        <v>636</v>
      </c>
      <c r="C57" s="34" t="s">
        <v>1372</v>
      </c>
      <c r="D57" s="24">
        <v>1</v>
      </c>
      <c r="E57" s="24"/>
      <c r="F57" s="24">
        <v>0</v>
      </c>
      <c r="G57" s="24" t="s">
        <v>151</v>
      </c>
      <c r="H57" s="24" t="s">
        <v>1150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/>
      <c r="C58" s="34" t="s">
        <v>1372</v>
      </c>
      <c r="D58" s="24">
        <v>2</v>
      </c>
      <c r="E58" s="24"/>
      <c r="F58" s="24">
        <v>0</v>
      </c>
      <c r="G58" s="24" t="s">
        <v>151</v>
      </c>
      <c r="H58" s="24" t="s">
        <v>1150</v>
      </c>
      <c r="I58" s="24"/>
      <c r="J58" s="49" t="s">
        <v>1630</v>
      </c>
      <c r="K58" s="24"/>
      <c r="L58" s="24"/>
      <c r="M58" s="45"/>
      <c r="N58" s="45"/>
      <c r="O58" s="24"/>
      <c r="P58" s="26">
        <f>GET_OK_GROUPS_COUNT(tbStoryEnemy[[#This Row],[Camp]],tbStoryEnemy[[#This Row],[Difficulty]],tbStoryEnemy[[#This Row],[IsBoss]],tbStoryEnemy[[#This Row],[Hero1]:[Soldier3]])</f>
        <v>4</v>
      </c>
      <c r="Q58" s="24">
        <v>3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9" spans="2:20" x14ac:dyDescent="0.3">
      <c r="B59" s="24"/>
      <c r="C59" s="34" t="s">
        <v>1372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 t="b">
        <v>1</v>
      </c>
      <c r="J59" s="24" t="s">
        <v>331</v>
      </c>
      <c r="K59" s="49" t="s">
        <v>1627</v>
      </c>
      <c r="L59" s="49"/>
      <c r="M59" s="45"/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60" spans="2:20" x14ac:dyDescent="0.3">
      <c r="B60" s="24" t="s">
        <v>637</v>
      </c>
      <c r="C60" s="34" t="s">
        <v>1265</v>
      </c>
      <c r="D60" s="24">
        <v>1</v>
      </c>
      <c r="E60" s="24"/>
      <c r="F60" s="24">
        <v>0</v>
      </c>
      <c r="G60" s="24" t="s">
        <v>151</v>
      </c>
      <c r="H60" s="24" t="s">
        <v>1150</v>
      </c>
      <c r="I60" s="24"/>
      <c r="J60" s="49" t="s">
        <v>1631</v>
      </c>
      <c r="K60" s="24"/>
      <c r="L60" s="24"/>
      <c r="M60" s="24"/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1" spans="2:20" x14ac:dyDescent="0.3">
      <c r="B61" s="24"/>
      <c r="C61" s="34" t="s">
        <v>1265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49" t="s">
        <v>1632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2" spans="2:20" x14ac:dyDescent="0.3">
      <c r="B62" s="24" t="s">
        <v>638</v>
      </c>
      <c r="C62" s="34" t="s">
        <v>1358</v>
      </c>
      <c r="D62" s="24">
        <v>1</v>
      </c>
      <c r="E62" s="24"/>
      <c r="F62" s="24">
        <v>0</v>
      </c>
      <c r="G62" s="24" t="s">
        <v>151</v>
      </c>
      <c r="H62" s="24" t="s">
        <v>1150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/>
      <c r="C63" s="34" t="s">
        <v>1358</v>
      </c>
      <c r="D63" s="24">
        <v>2</v>
      </c>
      <c r="E63" s="24"/>
      <c r="F63" s="24">
        <v>0</v>
      </c>
      <c r="G63" s="24" t="s">
        <v>151</v>
      </c>
      <c r="H63" s="24" t="s">
        <v>1150</v>
      </c>
      <c r="I63" s="24"/>
      <c r="J63" s="49" t="s">
        <v>1633</v>
      </c>
      <c r="K63" s="24"/>
      <c r="L63" s="24"/>
      <c r="M63" s="45"/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64" spans="2:20" x14ac:dyDescent="0.3">
      <c r="B64" s="24"/>
      <c r="C64" s="34" t="s">
        <v>1358</v>
      </c>
      <c r="D64" s="24">
        <v>3</v>
      </c>
      <c r="E64" s="24"/>
      <c r="F64" s="24">
        <v>0</v>
      </c>
      <c r="G64" s="24" t="s">
        <v>151</v>
      </c>
      <c r="H64" s="24" t="s">
        <v>1150</v>
      </c>
      <c r="I64" s="24"/>
      <c r="J64" s="49" t="s">
        <v>1634</v>
      </c>
      <c r="K64" s="24"/>
      <c r="L64" s="24"/>
      <c r="M64" s="45"/>
      <c r="N64" s="24"/>
      <c r="O64" s="24"/>
      <c r="P64" s="26">
        <f>GET_OK_GROUPS_COUNT(tbStoryEnemy[[#This Row],[Camp]],tbStoryEnemy[[#This Row],[Difficulty]],tbStoryEnemy[[#This Row],[IsBoss]],tbStoryEnemy[[#This Row],[Hero1]:[Soldier3]])</f>
        <v>4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65" spans="2:20" x14ac:dyDescent="0.3">
      <c r="B65" s="24"/>
      <c r="C65" s="34" t="s">
        <v>1358</v>
      </c>
      <c r="D65" s="24">
        <v>4</v>
      </c>
      <c r="E65" s="24"/>
      <c r="F65" s="24">
        <v>0</v>
      </c>
      <c r="G65" s="24" t="s">
        <v>151</v>
      </c>
      <c r="H65" s="24" t="s">
        <v>1150</v>
      </c>
      <c r="I65" s="24"/>
      <c r="J65" s="45"/>
      <c r="K65" s="24"/>
      <c r="L65" s="24"/>
      <c r="M65" s="45" t="s">
        <v>609</v>
      </c>
      <c r="N65" s="45" t="s">
        <v>1418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1378</v>
      </c>
      <c r="D66" s="24">
        <v>1</v>
      </c>
      <c r="E66" s="24"/>
      <c r="F66" s="24">
        <v>0</v>
      </c>
      <c r="G66" s="24" t="s">
        <v>151</v>
      </c>
      <c r="H66" s="24" t="s">
        <v>1150</v>
      </c>
      <c r="I66" s="24"/>
      <c r="J66" s="49" t="s">
        <v>1635</v>
      </c>
      <c r="K66" s="24"/>
      <c r="L66" s="24"/>
      <c r="M66" s="24"/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7" spans="2:20" x14ac:dyDescent="0.3">
      <c r="B67" s="24"/>
      <c r="C67" s="34" t="s">
        <v>1378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/>
      <c r="J67" s="49" t="s">
        <v>1637</v>
      </c>
      <c r="K67" s="49" t="s">
        <v>1636</v>
      </c>
      <c r="L67" s="49"/>
      <c r="M67" s="45"/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8" spans="2:20" x14ac:dyDescent="0.3">
      <c r="B68" s="24"/>
      <c r="C68" s="34" t="s">
        <v>1378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1419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1265</v>
      </c>
      <c r="D69" s="24">
        <v>1</v>
      </c>
      <c r="E69" s="24"/>
      <c r="F69" s="24">
        <v>0</v>
      </c>
      <c r="G69" s="24" t="s">
        <v>151</v>
      </c>
      <c r="H69" s="24" t="s">
        <v>1150</v>
      </c>
      <c r="I69" s="24"/>
      <c r="J69" s="24" t="s">
        <v>1484</v>
      </c>
      <c r="K69" s="24"/>
      <c r="L69" s="24"/>
      <c r="M69" s="24"/>
      <c r="N69" s="24"/>
      <c r="O69" s="24"/>
      <c r="P69" s="26">
        <f>GET_OK_GROUPS_COUNT(tbStoryEnemy[[#This Row],[Camp]],tbStoryEnemy[[#This Row],[Difficulty]],tbStoryEnemy[[#This Row],[IsBoss]],tbStoryEnemy[[#This Row],[Hero1]:[Soldier3]])</f>
        <v>5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0" spans="2:20" x14ac:dyDescent="0.3">
      <c r="B70" s="24"/>
      <c r="C70" s="34" t="s">
        <v>1265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1485</v>
      </c>
      <c r="K70" s="24"/>
      <c r="L70" s="24"/>
      <c r="M70" s="24"/>
      <c r="N70" s="24"/>
      <c r="O70" s="24"/>
      <c r="P70" s="26">
        <f>GET_OK_GROUPS_COUNT(tbStoryEnemy[[#This Row],[Camp]],tbStoryEnemy[[#This Row],[Difficulty]],tbStoryEnemy[[#This Row],[IsBoss]],tbStoryEnemy[[#This Row],[Hero1]:[Soldier3]])</f>
        <v>4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71" spans="2:20" x14ac:dyDescent="0.3">
      <c r="B71" s="24" t="s">
        <v>641</v>
      </c>
      <c r="C71" s="34" t="s">
        <v>1265</v>
      </c>
      <c r="D71" s="24">
        <v>1</v>
      </c>
      <c r="E71" s="24"/>
      <c r="F71" s="24">
        <v>0</v>
      </c>
      <c r="G71" s="24" t="s">
        <v>151</v>
      </c>
      <c r="H71" s="24" t="s">
        <v>1150</v>
      </c>
      <c r="I71" s="24"/>
      <c r="J71" s="24" t="s">
        <v>1455</v>
      </c>
      <c r="K71" s="24"/>
      <c r="L71" s="24"/>
      <c r="M71" s="24"/>
      <c r="N71" s="24"/>
      <c r="O71" s="24"/>
      <c r="P71" s="26">
        <f>GET_OK_GROUPS_COUNT(tbStoryEnemy[[#This Row],[Camp]],tbStoryEnemy[[#This Row],[Difficulty]],tbStoryEnemy[[#This Row],[IsBoss]],tbStoryEnemy[[#This Row],[Hero1]:[Soldier3]])</f>
        <v>4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72" spans="2:20" x14ac:dyDescent="0.3">
      <c r="B72" s="24"/>
      <c r="C72" s="34" t="s">
        <v>1265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1456</v>
      </c>
      <c r="K72" s="24"/>
      <c r="L72" s="24"/>
      <c r="M72" s="24"/>
      <c r="N72" s="24"/>
      <c r="O72" s="24"/>
      <c r="P72" s="26">
        <f>GET_OK_GROUPS_COUNT(tbStoryEnemy[[#This Row],[Camp]],tbStoryEnemy[[#This Row],[Difficulty]],tbStoryEnemy[[#This Row],[IsBoss]],tbStoryEnemy[[#This Row],[Hero1]:[Soldier3]])</f>
        <v>3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3" spans="2:20" x14ac:dyDescent="0.3">
      <c r="B73" s="24" t="s">
        <v>642</v>
      </c>
      <c r="C73" s="34" t="s">
        <v>1265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1522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4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74" spans="2:20" x14ac:dyDescent="0.3">
      <c r="B74" s="24"/>
      <c r="C74" s="34" t="s">
        <v>1265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 t="b">
        <v>1</v>
      </c>
      <c r="J74" s="24" t="s">
        <v>313</v>
      </c>
      <c r="K74" s="24" t="s">
        <v>1485</v>
      </c>
      <c r="L74" s="24"/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75" spans="2:20" x14ac:dyDescent="0.3">
      <c r="B75" s="24" t="s">
        <v>643</v>
      </c>
      <c r="C75" s="34" t="s">
        <v>1265</v>
      </c>
      <c r="D75" s="24">
        <v>1</v>
      </c>
      <c r="E75" s="24"/>
      <c r="F75" s="24">
        <v>0</v>
      </c>
      <c r="G75" s="24" t="s">
        <v>151</v>
      </c>
      <c r="H75" s="24" t="s">
        <v>1150</v>
      </c>
      <c r="I75" s="24"/>
      <c r="J75" s="24" t="s">
        <v>1472</v>
      </c>
      <c r="K75" s="24"/>
      <c r="L75" s="24"/>
      <c r="M75" s="24"/>
      <c r="N75" s="24"/>
      <c r="O75" s="24"/>
      <c r="P75" s="26">
        <f>GET_OK_GROUPS_COUNT(tbStoryEnemy[[#This Row],[Camp]],tbStoryEnemy[[#This Row],[Difficulty]],tbStoryEnemy[[#This Row],[IsBoss]],tbStoryEnemy[[#This Row],[Hero1]:[Soldier3]])</f>
        <v>5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76" spans="2:20" x14ac:dyDescent="0.3">
      <c r="B76" s="24"/>
      <c r="C76" s="34" t="s">
        <v>1265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1473</v>
      </c>
      <c r="K76" s="24"/>
      <c r="L76" s="24"/>
      <c r="M76" s="24"/>
      <c r="N76" s="24"/>
      <c r="O76" s="24"/>
      <c r="P76" s="26">
        <f>GET_OK_GROUPS_COUNT(tbStoryEnemy[[#This Row],[Camp]],tbStoryEnemy[[#This Row],[Difficulty]],tbStoryEnemy[[#This Row],[IsBoss]],tbStoryEnemy[[#This Row],[Hero1]:[Soldier3]])</f>
        <v>3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7" spans="2:20" x14ac:dyDescent="0.3">
      <c r="B77" s="24" t="s">
        <v>644</v>
      </c>
      <c r="C77" s="34" t="s">
        <v>1265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 t="s">
        <v>1535</v>
      </c>
      <c r="K77" s="24"/>
      <c r="L77" s="24"/>
      <c r="M77" s="24"/>
      <c r="N77" s="24"/>
      <c r="O77" s="24"/>
      <c r="P77" s="26">
        <f>GET_OK_GROUPS_COUNT(tbStoryEnemy[[#This Row],[Camp]],tbStoryEnemy[[#This Row],[Difficulty]],tbStoryEnemy[[#This Row],[IsBoss]],tbStoryEnemy[[#This Row],[Hero1]:[Soldier3]])</f>
        <v>3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8" spans="2:20" x14ac:dyDescent="0.3">
      <c r="B78" s="24"/>
      <c r="C78" s="34" t="s">
        <v>1265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1536</v>
      </c>
      <c r="K78" s="24"/>
      <c r="L78" s="24"/>
      <c r="M78" s="24"/>
      <c r="N78" s="24"/>
      <c r="O78" s="24"/>
      <c r="P78" s="26">
        <f>GET_OK_GROUPS_COUNT(tbStoryEnemy[[#This Row],[Camp]],tbStoryEnemy[[#This Row],[Difficulty]],tbStoryEnemy[[#This Row],[IsBoss]],tbStoryEnemy[[#This Row],[Hero1]:[Soldier3]])</f>
        <v>3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9" spans="2:20" x14ac:dyDescent="0.3">
      <c r="B79" s="24" t="s">
        <v>645</v>
      </c>
      <c r="C79" s="34" t="s">
        <v>1265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1171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80" spans="2:20" x14ac:dyDescent="0.3">
      <c r="B80" s="24"/>
      <c r="C80" s="34" t="s">
        <v>1265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1473</v>
      </c>
      <c r="L80" s="24" t="s">
        <v>1536</v>
      </c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1" spans="2:20" x14ac:dyDescent="0.3">
      <c r="B81" s="24" t="s">
        <v>646</v>
      </c>
      <c r="C81" s="34" t="s">
        <v>1265</v>
      </c>
      <c r="D81" s="24">
        <v>1</v>
      </c>
      <c r="E81" s="24"/>
      <c r="F81" s="24">
        <v>0</v>
      </c>
      <c r="G81" s="24" t="s">
        <v>151</v>
      </c>
      <c r="H81" s="24" t="s">
        <v>1150</v>
      </c>
      <c r="I81" s="24"/>
      <c r="J81" s="24" t="s">
        <v>1556</v>
      </c>
      <c r="K81" s="24"/>
      <c r="L81" s="24"/>
      <c r="M81" s="24"/>
      <c r="N81" s="24"/>
      <c r="O81" s="24"/>
      <c r="P81" s="26">
        <f>GET_OK_GROUPS_COUNT(tbStoryEnemy[[#This Row],[Camp]],tbStoryEnemy[[#This Row],[Difficulty]],tbStoryEnemy[[#This Row],[IsBoss]],tbStoryEnemy[[#This Row],[Hero1]:[Soldier3]])</f>
        <v>5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2" spans="2:20" x14ac:dyDescent="0.3">
      <c r="B82" s="24"/>
      <c r="C82" s="34" t="s">
        <v>1265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1557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1265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 t="s">
        <v>1532</v>
      </c>
      <c r="K83" s="24"/>
      <c r="L83" s="24"/>
      <c r="M83" s="24"/>
      <c r="N83" s="24"/>
      <c r="O83" s="24"/>
      <c r="P83" s="26">
        <f>GET_OK_GROUPS_COUNT(tbStoryEnemy[[#This Row],[Camp]],tbStoryEnemy[[#This Row],[Difficulty]],tbStoryEnemy[[#This Row],[IsBoss]],tbStoryEnemy[[#This Row],[Hero1]:[Soldier3]])</f>
        <v>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84" spans="2:20" x14ac:dyDescent="0.3">
      <c r="B84" s="24"/>
      <c r="C84" s="34" t="s">
        <v>1265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1533</v>
      </c>
      <c r="K84" s="24"/>
      <c r="L84" s="24"/>
      <c r="M84" s="24"/>
      <c r="N84" s="24"/>
      <c r="O84" s="24"/>
      <c r="P84" s="26">
        <f>GET_OK_GROUPS_COUNT(tbStoryEnemy[[#This Row],[Camp]],tbStoryEnemy[[#This Row],[Difficulty]],tbStoryEnemy[[#This Row],[IsBoss]],tbStoryEnemy[[#This Row],[Hero1]:[Soldier3]])</f>
        <v>3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5" spans="2:20" x14ac:dyDescent="0.3">
      <c r="B85" s="24" t="s">
        <v>648</v>
      </c>
      <c r="C85" s="34" t="s">
        <v>1265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 t="s">
        <v>1508</v>
      </c>
      <c r="K85" s="24"/>
      <c r="L85" s="24"/>
      <c r="M85" s="24"/>
      <c r="N85" s="24"/>
      <c r="O85" s="24"/>
      <c r="P85" s="26">
        <f>GET_OK_GROUPS_COUNT(tbStoryEnemy[[#This Row],[Camp]],tbStoryEnemy[[#This Row],[Difficulty]],tbStoryEnemy[[#This Row],[IsBoss]],tbStoryEnemy[[#This Row],[Hero1]:[Soldier3]])</f>
        <v>4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6" spans="2:20" x14ac:dyDescent="0.3">
      <c r="B86" s="24"/>
      <c r="C86" s="34" t="s">
        <v>1265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 t="b">
        <v>1</v>
      </c>
      <c r="J86" s="24" t="s">
        <v>334</v>
      </c>
      <c r="K86" s="24" t="s">
        <v>1557</v>
      </c>
      <c r="L86" s="24"/>
      <c r="M86" s="24"/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87" spans="2:20" x14ac:dyDescent="0.3">
      <c r="B87" s="24" t="s">
        <v>649</v>
      </c>
      <c r="C87" s="34" t="s">
        <v>1265</v>
      </c>
      <c r="D87" s="24">
        <v>1</v>
      </c>
      <c r="E87" s="24"/>
      <c r="F87" s="24">
        <v>0</v>
      </c>
      <c r="G87" s="24" t="s">
        <v>151</v>
      </c>
      <c r="H87" s="24" t="s">
        <v>1150</v>
      </c>
      <c r="I87" s="24"/>
      <c r="J87" s="24" t="s">
        <v>1441</v>
      </c>
      <c r="K87" s="24"/>
      <c r="L87" s="24"/>
      <c r="M87" s="24"/>
      <c r="N87" s="24"/>
      <c r="O87" s="24"/>
      <c r="P87" s="26">
        <f>GET_OK_GROUPS_COUNT(tbStoryEnemy[[#This Row],[Camp]],tbStoryEnemy[[#This Row],[Difficulty]],tbStoryEnemy[[#This Row],[IsBoss]],tbStoryEnemy[[#This Row],[Hero1]:[Soldier3]])</f>
        <v>5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88" spans="2:20" x14ac:dyDescent="0.3">
      <c r="B88" s="24"/>
      <c r="C88" s="34" t="s">
        <v>1265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1482</v>
      </c>
      <c r="K88" s="24"/>
      <c r="L88" s="24"/>
      <c r="M88" s="24"/>
      <c r="N88" s="24"/>
      <c r="O88" s="24"/>
      <c r="P88" s="26">
        <f>GET_OK_GROUPS_COUNT(tbStoryEnemy[[#This Row],[Camp]],tbStoryEnemy[[#This Row],[Difficulty]],tbStoryEnemy[[#This Row],[IsBoss]],tbStoryEnemy[[#This Row],[Hero1]:[Soldier3]])</f>
        <v>3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9" spans="2:20" x14ac:dyDescent="0.3">
      <c r="B89" s="24" t="s">
        <v>650</v>
      </c>
      <c r="C89" s="34" t="s">
        <v>1265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 t="s">
        <v>1568</v>
      </c>
      <c r="K89" s="24"/>
      <c r="L89" s="24"/>
      <c r="M89" s="24"/>
      <c r="N89" s="24"/>
      <c r="O89" s="24"/>
      <c r="P89" s="26">
        <f>GET_OK_GROUPS_COUNT(tbStoryEnemy[[#This Row],[Camp]],tbStoryEnemy[[#This Row],[Difficulty]],tbStoryEnemy[[#This Row],[IsBoss]],tbStoryEnemy[[#This Row],[Hero1]:[Soldier3]])</f>
        <v>3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0" spans="2:20" x14ac:dyDescent="0.3">
      <c r="B90" s="24"/>
      <c r="C90" s="34" t="s">
        <v>1265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1454</v>
      </c>
      <c r="K90" s="24"/>
      <c r="L90" s="24"/>
      <c r="M90" s="24"/>
      <c r="N90" s="24"/>
      <c r="O90" s="24"/>
      <c r="P90" s="26">
        <f>GET_OK_GROUPS_COUNT(tbStoryEnemy[[#This Row],[Camp]],tbStoryEnemy[[#This Row],[Difficulty]],tbStoryEnemy[[#This Row],[IsBoss]],tbStoryEnemy[[#This Row],[Hero1]:[Soldier3]])</f>
        <v>3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20" x14ac:dyDescent="0.3">
      <c r="B91" s="24" t="s">
        <v>651</v>
      </c>
      <c r="C91" s="34" t="s">
        <v>1265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24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/>
      <c r="C92" s="34" t="s">
        <v>1265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1638</v>
      </c>
      <c r="L92" s="49" t="s">
        <v>1642</v>
      </c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93" spans="2:20" x14ac:dyDescent="0.3">
      <c r="B93" s="24" t="s">
        <v>652</v>
      </c>
      <c r="C93" s="34" t="s">
        <v>1265</v>
      </c>
      <c r="D93" s="24">
        <v>1</v>
      </c>
      <c r="E93" s="24"/>
      <c r="F93" s="24">
        <v>0</v>
      </c>
      <c r="G93" s="24" t="s">
        <v>151</v>
      </c>
      <c r="H93" s="24" t="s">
        <v>1150</v>
      </c>
      <c r="I93" s="24"/>
      <c r="J93" s="24" t="s">
        <v>1578</v>
      </c>
      <c r="K93" s="24"/>
      <c r="L93" s="24"/>
      <c r="M93" s="24"/>
      <c r="N93" s="24"/>
      <c r="O93" s="24"/>
      <c r="P93" s="26">
        <f>GET_OK_GROUPS_COUNT(tbStoryEnemy[[#This Row],[Camp]],tbStoryEnemy[[#This Row],[Difficulty]],tbStoryEnemy[[#This Row],[IsBoss]],tbStoryEnemy[[#This Row],[Hero1]:[Soldier3]])</f>
        <v>5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94" spans="2:20" x14ac:dyDescent="0.3">
      <c r="B94" s="24"/>
      <c r="C94" s="34" t="s">
        <v>1265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1485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4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95" spans="2:20" x14ac:dyDescent="0.3">
      <c r="B95" s="24" t="s">
        <v>653</v>
      </c>
      <c r="C95" s="34" t="s">
        <v>1265</v>
      </c>
      <c r="D95" s="24">
        <v>1</v>
      </c>
      <c r="E95" s="24"/>
      <c r="F95" s="24">
        <v>0</v>
      </c>
      <c r="G95" s="24" t="s">
        <v>151</v>
      </c>
      <c r="H95" s="24" t="s">
        <v>1150</v>
      </c>
      <c r="I95" s="24"/>
      <c r="J95" s="24" t="s">
        <v>1458</v>
      </c>
      <c r="K95" s="24"/>
      <c r="L95" s="24"/>
      <c r="M95" s="24"/>
      <c r="N95" s="24"/>
      <c r="O95" s="24"/>
      <c r="P95" s="26">
        <f>GET_OK_GROUPS_COUNT(tbStoryEnemy[[#This Row],[Camp]],tbStoryEnemy[[#This Row],[Difficulty]],tbStoryEnemy[[#This Row],[IsBoss]],tbStoryEnemy[[#This Row],[Hero1]:[Soldier3]])</f>
        <v>5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6" spans="2:20" x14ac:dyDescent="0.3">
      <c r="B96" s="24"/>
      <c r="C96" s="34" t="s">
        <v>1265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1456</v>
      </c>
      <c r="K96" s="24"/>
      <c r="L96" s="24"/>
      <c r="M96" s="24"/>
      <c r="N96" s="24"/>
      <c r="O96" s="24"/>
      <c r="P96" s="26">
        <f>GET_OK_GROUPS_COUNT(tbStoryEnemy[[#This Row],[Camp]],tbStoryEnemy[[#This Row],[Difficulty]],tbStoryEnemy[[#This Row],[IsBoss]],tbStoryEnemy[[#This Row],[Hero1]:[Soldier3]])</f>
        <v>3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7" spans="2:20" x14ac:dyDescent="0.3">
      <c r="B97" s="24" t="s">
        <v>654</v>
      </c>
      <c r="C97" s="34" t="s">
        <v>1265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 t="s">
        <v>340</v>
      </c>
      <c r="K97" s="24"/>
      <c r="L97" s="24"/>
      <c r="M97" s="24"/>
      <c r="N97" s="24"/>
      <c r="O97" s="24"/>
      <c r="P97" s="26">
        <f>GET_OK_GROUPS_COUNT(tbStoryEnemy[[#This Row],[Camp]],tbStoryEnemy[[#This Row],[Difficulty]],tbStoryEnemy[[#This Row],[IsBoss]],tbStoryEnemy[[#This Row],[Hero1]:[Soldier3]])</f>
        <v>3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8" spans="2:20" x14ac:dyDescent="0.3">
      <c r="B98" s="24"/>
      <c r="C98" s="34" t="s">
        <v>1265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 t="b">
        <v>1</v>
      </c>
      <c r="J98" s="24" t="s">
        <v>24</v>
      </c>
      <c r="K98" s="24" t="s">
        <v>1485</v>
      </c>
      <c r="L98" s="24"/>
      <c r="M98" s="24"/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99" spans="2:20" x14ac:dyDescent="0.3">
      <c r="B99" s="24" t="s">
        <v>655</v>
      </c>
      <c r="C99" s="34" t="s">
        <v>1265</v>
      </c>
      <c r="D99" s="24">
        <v>1</v>
      </c>
      <c r="E99" s="24"/>
      <c r="F99" s="24">
        <v>0</v>
      </c>
      <c r="G99" s="24" t="s">
        <v>151</v>
      </c>
      <c r="H99" s="24" t="s">
        <v>1150</v>
      </c>
      <c r="I99" s="24"/>
      <c r="J99" s="24" t="s">
        <v>1545</v>
      </c>
      <c r="K99" s="24"/>
      <c r="L99" s="24"/>
      <c r="M99" s="24"/>
      <c r="N99" s="24"/>
      <c r="O99" s="24"/>
      <c r="P99" s="26">
        <f>GET_OK_GROUPS_COUNT(tbStoryEnemy[[#This Row],[Camp]],tbStoryEnemy[[#This Row],[Difficulty]],tbStoryEnemy[[#This Row],[IsBoss]],tbStoryEnemy[[#This Row],[Hero1]:[Soldier3]])</f>
        <v>5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00" spans="2:20" x14ac:dyDescent="0.3">
      <c r="B100" s="24"/>
      <c r="C100" s="34" t="s">
        <v>1265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1546</v>
      </c>
      <c r="K100" s="24"/>
      <c r="L100" s="24"/>
      <c r="M100" s="24"/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3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01" spans="2:20" x14ac:dyDescent="0.3">
      <c r="B101" s="24" t="s">
        <v>656</v>
      </c>
      <c r="C101" s="34" t="s">
        <v>1265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 t="s">
        <v>1530</v>
      </c>
      <c r="K101" s="24"/>
      <c r="L101" s="24"/>
      <c r="M101" s="24"/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4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2" spans="2:20" x14ac:dyDescent="0.3">
      <c r="B102" s="24"/>
      <c r="C102" s="34" t="s">
        <v>1265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1531</v>
      </c>
      <c r="K102" s="24"/>
      <c r="L102" s="24"/>
      <c r="M102" s="24"/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4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3" spans="2:20" x14ac:dyDescent="0.3">
      <c r="B103" s="24" t="s">
        <v>657</v>
      </c>
      <c r="C103" s="34" t="s">
        <v>1265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1510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/>
      <c r="C104" s="34" t="s">
        <v>1265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334</v>
      </c>
      <c r="L104" s="24" t="s">
        <v>313</v>
      </c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20" x14ac:dyDescent="0.3">
      <c r="B105" s="24" t="s">
        <v>658</v>
      </c>
      <c r="C105" s="34" t="s">
        <v>1265</v>
      </c>
      <c r="D105" s="24">
        <v>1</v>
      </c>
      <c r="E105" s="24"/>
      <c r="F105" s="24">
        <v>0</v>
      </c>
      <c r="G105" s="24" t="s">
        <v>151</v>
      </c>
      <c r="H105" s="24" t="s">
        <v>1150</v>
      </c>
      <c r="I105" s="24"/>
      <c r="J105" s="24" t="s">
        <v>1558</v>
      </c>
      <c r="K105" s="24"/>
      <c r="L105" s="24"/>
      <c r="M105" s="24"/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5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06" spans="2:20" x14ac:dyDescent="0.3">
      <c r="B106" s="24"/>
      <c r="C106" s="34" t="s">
        <v>1265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 t="s">
        <v>1559</v>
      </c>
      <c r="K106" s="24"/>
      <c r="L106" s="24"/>
      <c r="M106" s="24"/>
      <c r="N106" s="24"/>
      <c r="O106" s="24"/>
      <c r="P106" s="26">
        <f>GET_OK_GROUPS_COUNT(tbStoryEnemy[[#This Row],[Camp]],tbStoryEnemy[[#This Row],[Difficulty]],tbStoryEnemy[[#This Row],[IsBoss]],tbStoryEnemy[[#This Row],[Hero1]:[Soldier3]])</f>
        <v>4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07" spans="2:20" x14ac:dyDescent="0.3">
      <c r="B107" s="24" t="s">
        <v>659</v>
      </c>
      <c r="C107" s="34" t="s">
        <v>1265</v>
      </c>
      <c r="D107" s="24">
        <v>1</v>
      </c>
      <c r="E107" s="24"/>
      <c r="F107" s="24">
        <v>0</v>
      </c>
      <c r="G107" s="24" t="s">
        <v>151</v>
      </c>
      <c r="H107" s="24" t="s">
        <v>1150</v>
      </c>
      <c r="I107" s="24"/>
      <c r="J107" s="24" t="s">
        <v>1469</v>
      </c>
      <c r="K107" s="24"/>
      <c r="L107" s="24"/>
      <c r="M107" s="24"/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8" spans="2:20" x14ac:dyDescent="0.3">
      <c r="B108" s="24"/>
      <c r="C108" s="34" t="s">
        <v>1265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1470</v>
      </c>
      <c r="K108" s="24"/>
      <c r="L108" s="24"/>
      <c r="M108" s="24"/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3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9" spans="2:20" x14ac:dyDescent="0.3">
      <c r="B109" s="24" t="s">
        <v>660</v>
      </c>
      <c r="C109" s="34" t="s">
        <v>1265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 t="s">
        <v>1511</v>
      </c>
      <c r="K109" s="24"/>
      <c r="L109" s="24"/>
      <c r="M109" s="24"/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3</v>
      </c>
      <c r="Q109" s="24">
        <v>2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0" spans="2:20" x14ac:dyDescent="0.3">
      <c r="B110" s="24"/>
      <c r="C110" s="34" t="s">
        <v>1265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 t="b">
        <v>1</v>
      </c>
      <c r="J110" s="24" t="s">
        <v>1638</v>
      </c>
      <c r="K110" s="24" t="s">
        <v>1559</v>
      </c>
      <c r="L110" s="24"/>
      <c r="M110" s="24"/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56" t="s">
        <v>1711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11" spans="2:20" x14ac:dyDescent="0.3">
      <c r="B111" s="24" t="s">
        <v>661</v>
      </c>
      <c r="C111" s="34" t="s">
        <v>1265</v>
      </c>
      <c r="D111" s="24">
        <v>1</v>
      </c>
      <c r="E111" s="24"/>
      <c r="F111" s="24">
        <v>0</v>
      </c>
      <c r="G111" s="24" t="s">
        <v>151</v>
      </c>
      <c r="H111" s="24" t="s">
        <v>1150</v>
      </c>
      <c r="I111" s="24"/>
      <c r="J111" s="24" t="s">
        <v>1545</v>
      </c>
      <c r="K111" s="24"/>
      <c r="L111" s="24"/>
      <c r="M111" s="24"/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5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2" spans="2:20" x14ac:dyDescent="0.3">
      <c r="B112" s="24"/>
      <c r="C112" s="34" t="s">
        <v>1265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 t="s">
        <v>1559</v>
      </c>
      <c r="K112" s="24"/>
      <c r="L112" s="24"/>
      <c r="M112" s="24"/>
      <c r="N112" s="24"/>
      <c r="O112" s="24"/>
      <c r="P112" s="26">
        <f>GET_OK_GROUPS_COUNT(tbStoryEnemy[[#This Row],[Camp]],tbStoryEnemy[[#This Row],[Difficulty]],tbStoryEnemy[[#This Row],[IsBoss]],tbStoryEnemy[[#This Row],[Hero1]:[Soldier3]])</f>
        <v>4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13" spans="2:20" x14ac:dyDescent="0.3">
      <c r="B113" s="24" t="s">
        <v>662</v>
      </c>
      <c r="C113" s="34" t="s">
        <v>1265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 t="s">
        <v>1469</v>
      </c>
      <c r="K113" s="24"/>
      <c r="L113" s="24"/>
      <c r="M113" s="24"/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4" spans="2:20" x14ac:dyDescent="0.3">
      <c r="B114" s="24"/>
      <c r="C114" s="34" t="s">
        <v>1265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1531</v>
      </c>
      <c r="K114" s="24"/>
      <c r="L114" s="24"/>
      <c r="M114" s="24"/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4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15" spans="2:20" x14ac:dyDescent="0.3">
      <c r="B115" s="24" t="s">
        <v>663</v>
      </c>
      <c r="C115" s="34" t="s">
        <v>1265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 t="s">
        <v>335</v>
      </c>
      <c r="K115" s="24" t="s">
        <v>331</v>
      </c>
      <c r="L115" s="24"/>
      <c r="M115" s="24"/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</v>
      </c>
      <c r="Q115" s="24">
        <v>1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16" spans="2:20" x14ac:dyDescent="0.3">
      <c r="B116" s="24"/>
      <c r="C116" s="34" t="s">
        <v>1265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328</v>
      </c>
      <c r="L116" s="53" t="s">
        <v>1646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117" spans="2:20" x14ac:dyDescent="0.3">
      <c r="B117" s="24" t="s">
        <v>1212</v>
      </c>
      <c r="C117" s="34" t="s">
        <v>1265</v>
      </c>
      <c r="D117" s="24">
        <v>1</v>
      </c>
      <c r="E117" s="24"/>
      <c r="F117" s="24">
        <v>0</v>
      </c>
      <c r="G117" s="24" t="s">
        <v>151</v>
      </c>
      <c r="H117" s="24" t="s">
        <v>1150</v>
      </c>
      <c r="I117" s="24"/>
      <c r="J117" s="24" t="s">
        <v>1532</v>
      </c>
      <c r="K117" s="24"/>
      <c r="L117" s="24"/>
      <c r="M117" s="24"/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5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8" spans="2:20" x14ac:dyDescent="0.3">
      <c r="B118" s="24"/>
      <c r="C118" s="34" t="s">
        <v>1265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1533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9" spans="2:20" x14ac:dyDescent="0.3">
      <c r="B119" s="24" t="s">
        <v>1213</v>
      </c>
      <c r="C119" s="34" t="s">
        <v>1265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 t="s">
        <v>1556</v>
      </c>
      <c r="K119" s="24"/>
      <c r="L119" s="24"/>
      <c r="M119" s="24"/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4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0" spans="2:20" x14ac:dyDescent="0.3">
      <c r="B120" s="24"/>
      <c r="C120" s="34" t="s">
        <v>1265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1557</v>
      </c>
      <c r="K120" s="24"/>
      <c r="L120" s="24"/>
      <c r="M120" s="24"/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3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1" spans="2:20" x14ac:dyDescent="0.3">
      <c r="B121" s="24" t="s">
        <v>1214</v>
      </c>
      <c r="C121" s="34" t="s">
        <v>1265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1524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2" spans="2:20" x14ac:dyDescent="0.3">
      <c r="B122" s="24"/>
      <c r="C122" s="34" t="s">
        <v>1265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53" t="s">
        <v>1648</v>
      </c>
      <c r="K122" s="24" t="s">
        <v>1533</v>
      </c>
      <c r="L122" s="24" t="s">
        <v>1557</v>
      </c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56" t="s">
        <v>1712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123" spans="2:20" x14ac:dyDescent="0.3">
      <c r="B123" s="24" t="s">
        <v>1215</v>
      </c>
      <c r="C123" s="34" t="s">
        <v>1265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 t="s">
        <v>1477</v>
      </c>
      <c r="K123" s="24"/>
      <c r="L123" s="24"/>
      <c r="M123" s="24"/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3</v>
      </c>
      <c r="Q123" s="24">
        <v>2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4" spans="2:20" x14ac:dyDescent="0.3">
      <c r="B124" s="24"/>
      <c r="C124" s="34" t="s">
        <v>1265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1478</v>
      </c>
      <c r="K124" s="24"/>
      <c r="L124" s="24"/>
      <c r="M124" s="24"/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4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5" spans="2:20" x14ac:dyDescent="0.3">
      <c r="B125" s="24" t="s">
        <v>1216</v>
      </c>
      <c r="C125" s="34" t="s">
        <v>1265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 t="s">
        <v>1445</v>
      </c>
      <c r="K125" s="24"/>
      <c r="L125" s="24"/>
      <c r="M125" s="24"/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3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6" spans="2:20" x14ac:dyDescent="0.3">
      <c r="B126" s="24"/>
      <c r="C126" s="34" t="s">
        <v>1265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/>
      <c r="J126" s="24" t="s">
        <v>1523</v>
      </c>
      <c r="K126" s="24" t="s">
        <v>1446</v>
      </c>
      <c r="L126" s="24" t="s">
        <v>1445</v>
      </c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7" spans="2:20" x14ac:dyDescent="0.3">
      <c r="B127" s="24" t="s">
        <v>1217</v>
      </c>
      <c r="C127" s="34" t="s">
        <v>1265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1523</v>
      </c>
      <c r="K127" s="24" t="s">
        <v>1445</v>
      </c>
      <c r="L127" s="24" t="s">
        <v>1446</v>
      </c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三国-超难-铁英+强英+法英</v>
      </c>
    </row>
    <row r="128" spans="2:20" x14ac:dyDescent="0.3">
      <c r="B128" s="24"/>
      <c r="C128" s="34" t="s">
        <v>1265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1478</v>
      </c>
      <c r="L128" s="24" t="s">
        <v>1446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129" spans="2:20" x14ac:dyDescent="0.3">
      <c r="B129" s="24" t="s">
        <v>664</v>
      </c>
      <c r="C129" s="34" t="s">
        <v>1265</v>
      </c>
      <c r="D129" s="24">
        <v>1</v>
      </c>
      <c r="E129" s="24"/>
      <c r="F129" s="24">
        <v>0</v>
      </c>
      <c r="G129" s="24" t="s">
        <v>151</v>
      </c>
      <c r="H129" s="24" t="s">
        <v>1150</v>
      </c>
      <c r="I129" s="24"/>
      <c r="J129" s="24"/>
      <c r="K129" s="24"/>
      <c r="L129" s="24"/>
      <c r="M129" s="24" t="s">
        <v>25</v>
      </c>
      <c r="N129" s="24" t="s">
        <v>26</v>
      </c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0" spans="2:20" x14ac:dyDescent="0.3">
      <c r="B130" s="24"/>
      <c r="C130" s="34" t="s">
        <v>1265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 t="s">
        <v>1443</v>
      </c>
      <c r="K130" s="24"/>
      <c r="L130" s="24"/>
      <c r="M130" s="24"/>
      <c r="N130" s="24"/>
      <c r="O130" s="24"/>
      <c r="P130" s="26">
        <f>GET_OK_GROUPS_COUNT(tbStoryEnemy[[#This Row],[Camp]],tbStoryEnemy[[#This Row],[Difficulty]],tbStoryEnemy[[#This Row],[IsBoss]],tbStoryEnemy[[#This Row],[Hero1]:[Soldier3]])</f>
        <v>3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20" x14ac:dyDescent="0.3">
      <c r="B131" s="24" t="s">
        <v>665</v>
      </c>
      <c r="C131" s="34" t="s">
        <v>1265</v>
      </c>
      <c r="D131" s="24">
        <v>1</v>
      </c>
      <c r="E131" s="24"/>
      <c r="F131" s="24">
        <v>0</v>
      </c>
      <c r="G131" s="24" t="s">
        <v>151</v>
      </c>
      <c r="H131" s="24" t="s">
        <v>1150</v>
      </c>
      <c r="I131" s="24"/>
      <c r="J131" s="24"/>
      <c r="K131" s="24"/>
      <c r="L131" s="24"/>
      <c r="M131" s="24" t="s">
        <v>34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5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2" spans="2:20" x14ac:dyDescent="0.3">
      <c r="B132" s="24"/>
      <c r="C132" s="34" t="s">
        <v>1265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1487</v>
      </c>
      <c r="K132" s="24"/>
      <c r="L132" s="24"/>
      <c r="M132" s="24"/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4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3" spans="2:20" x14ac:dyDescent="0.3">
      <c r="B133" s="24" t="s">
        <v>666</v>
      </c>
      <c r="C133" s="34" t="s">
        <v>1265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 t="s">
        <v>1577</v>
      </c>
      <c r="K133" s="24"/>
      <c r="L133" s="24"/>
      <c r="M133" s="24"/>
      <c r="N133" s="24"/>
      <c r="O133" s="24"/>
      <c r="P133" s="26">
        <f>GET_OK_GROUPS_COUNT(tbStoryEnemy[[#This Row],[Camp]],tbStoryEnemy[[#This Row],[Difficulty]],tbStoryEnemy[[#This Row],[IsBoss]],tbStoryEnemy[[#This Row],[Hero1]:[Soldier3]])</f>
        <v>4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4" spans="2:20" x14ac:dyDescent="0.3">
      <c r="B134" s="24"/>
      <c r="C134" s="34" t="s">
        <v>1265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 t="b">
        <v>1</v>
      </c>
      <c r="J134" s="24" t="s">
        <v>1166</v>
      </c>
      <c r="K134" s="24" t="s">
        <v>1443</v>
      </c>
      <c r="L134" s="24"/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1166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35" spans="2:20" x14ac:dyDescent="0.3">
      <c r="B135" s="24" t="s">
        <v>667</v>
      </c>
      <c r="C135" s="34" t="s">
        <v>1265</v>
      </c>
      <c r="D135" s="24">
        <v>1</v>
      </c>
      <c r="E135" s="24"/>
      <c r="F135" s="24">
        <v>0</v>
      </c>
      <c r="G135" s="24" t="s">
        <v>151</v>
      </c>
      <c r="H135" s="24" t="s">
        <v>1150</v>
      </c>
      <c r="I135" s="24"/>
      <c r="J135" s="24"/>
      <c r="K135" s="24"/>
      <c r="L135" s="24"/>
      <c r="M135" s="24" t="s">
        <v>25</v>
      </c>
      <c r="N135" s="24" t="s">
        <v>26</v>
      </c>
      <c r="O135" s="24"/>
      <c r="P135" s="26">
        <f>GET_OK_GROUPS_COUNT(tbStoryEnemy[[#This Row],[Camp]],tbStoryEnemy[[#This Row],[Difficulty]],tbStoryEnemy[[#This Row],[IsBoss]],tbStoryEnemy[[#This Row],[Hero1]:[Soldier3]])</f>
        <v>1</v>
      </c>
      <c r="Q135" s="24">
        <v>1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6" spans="2:20" x14ac:dyDescent="0.3">
      <c r="B136" s="24"/>
      <c r="C136" s="34" t="s">
        <v>1265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1478</v>
      </c>
      <c r="K136" s="24"/>
      <c r="L136" s="24"/>
      <c r="M136" s="24"/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4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 x14ac:dyDescent="0.3">
      <c r="B137" s="24" t="s">
        <v>668</v>
      </c>
      <c r="C137" s="34" t="s">
        <v>1265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25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14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20" x14ac:dyDescent="0.3">
      <c r="B138" s="24"/>
      <c r="C138" s="34" t="s">
        <v>1265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1446</v>
      </c>
      <c r="K138" s="24"/>
      <c r="L138" s="24"/>
      <c r="M138" s="24"/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4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9" spans="2:20" x14ac:dyDescent="0.3">
      <c r="B139" s="24" t="s">
        <v>669</v>
      </c>
      <c r="C139" s="34" t="s">
        <v>1265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1564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3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0" spans="2:20" x14ac:dyDescent="0.3">
      <c r="B140" s="24"/>
      <c r="C140" s="34" t="s">
        <v>1265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416</v>
      </c>
      <c r="K140" s="24" t="s">
        <v>1478</v>
      </c>
      <c r="L140" s="24" t="s">
        <v>1446</v>
      </c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56" t="s">
        <v>1713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1" spans="2:20" x14ac:dyDescent="0.3">
      <c r="B141" s="24" t="s">
        <v>670</v>
      </c>
      <c r="C141" s="34" t="s">
        <v>1265</v>
      </c>
      <c r="D141" s="24">
        <v>1</v>
      </c>
      <c r="E141" s="24"/>
      <c r="F141" s="24">
        <v>0</v>
      </c>
      <c r="G141" s="24" t="s">
        <v>151</v>
      </c>
      <c r="H141" s="24" t="s">
        <v>1150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/>
      <c r="C142" s="34" t="s">
        <v>1265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1452</v>
      </c>
      <c r="K142" s="24"/>
      <c r="L142" s="24"/>
      <c r="M142" s="24" t="s">
        <v>25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3" spans="2:20" x14ac:dyDescent="0.3">
      <c r="B143" s="24" t="s">
        <v>671</v>
      </c>
      <c r="C143" s="34" t="s">
        <v>1265</v>
      </c>
      <c r="D143" s="24">
        <v>1</v>
      </c>
      <c r="E143" s="24"/>
      <c r="F143" s="24">
        <v>0</v>
      </c>
      <c r="G143" s="24" t="s">
        <v>151</v>
      </c>
      <c r="H143" s="24" t="s">
        <v>1150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/>
      <c r="C144" s="34" t="s">
        <v>1265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1451</v>
      </c>
      <c r="K144" s="24"/>
      <c r="L144" s="24"/>
      <c r="M144" s="24"/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3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5" spans="2:20" x14ac:dyDescent="0.3">
      <c r="B145" s="24" t="s">
        <v>672</v>
      </c>
      <c r="C145" s="34" t="s">
        <v>1265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1483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/>
      <c r="C146" s="34" t="s">
        <v>1265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 t="b">
        <v>1</v>
      </c>
      <c r="J146" s="24" t="s">
        <v>27</v>
      </c>
      <c r="K146" s="24" t="s">
        <v>1452</v>
      </c>
      <c r="L146" s="24"/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47" spans="2:20" x14ac:dyDescent="0.3">
      <c r="B147" s="24" t="s">
        <v>673</v>
      </c>
      <c r="C147" s="34" t="s">
        <v>1265</v>
      </c>
      <c r="D147" s="24">
        <v>1</v>
      </c>
      <c r="E147" s="24"/>
      <c r="F147" s="24">
        <v>0</v>
      </c>
      <c r="G147" s="24" t="s">
        <v>151</v>
      </c>
      <c r="H147" s="24" t="s">
        <v>1150</v>
      </c>
      <c r="I147" s="24"/>
      <c r="J147" s="24"/>
      <c r="K147" s="24"/>
      <c r="L147" s="24"/>
      <c r="M147" s="24" t="s">
        <v>25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5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48" spans="2:20" x14ac:dyDescent="0.3">
      <c r="B148" s="24"/>
      <c r="C148" s="34" t="s">
        <v>1265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1503</v>
      </c>
      <c r="K148" s="24"/>
      <c r="L148" s="24"/>
      <c r="M148" s="24" t="s">
        <v>447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49" spans="2:20" x14ac:dyDescent="0.3">
      <c r="B149" s="24" t="s">
        <v>674</v>
      </c>
      <c r="C149" s="34" t="s">
        <v>1265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25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14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/>
      <c r="C150" s="34" t="s">
        <v>1265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1504</v>
      </c>
      <c r="K150" s="24"/>
      <c r="L150" s="24"/>
      <c r="M150" s="24"/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3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1265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414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3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2" spans="2:20" x14ac:dyDescent="0.3">
      <c r="B152" s="24"/>
      <c r="C152" s="34" t="s">
        <v>1265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1503</v>
      </c>
      <c r="L152" s="24" t="s">
        <v>1504</v>
      </c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3" spans="2:20" x14ac:dyDescent="0.3">
      <c r="B153" s="24" t="s">
        <v>676</v>
      </c>
      <c r="C153" s="34" t="s">
        <v>1265</v>
      </c>
      <c r="D153" s="24">
        <v>1</v>
      </c>
      <c r="E153" s="24"/>
      <c r="F153" s="24">
        <v>0</v>
      </c>
      <c r="G153" s="24" t="s">
        <v>151</v>
      </c>
      <c r="H153" s="24" t="s">
        <v>1150</v>
      </c>
      <c r="I153" s="24"/>
      <c r="J153" s="24"/>
      <c r="K153" s="24"/>
      <c r="L153" s="24"/>
      <c r="M153" s="54" t="s">
        <v>1649</v>
      </c>
      <c r="N153" s="54" t="s">
        <v>1650</v>
      </c>
      <c r="O153" s="24"/>
      <c r="P153" s="26">
        <f>GET_OK_GROUPS_COUNT(tbStoryEnemy[[#This Row],[Camp]],tbStoryEnemy[[#This Row],[Difficulty]],tbStoryEnemy[[#This Row],[IsBoss]],tbStoryEnemy[[#This Row],[Hero1]:[Soldier3]])</f>
        <v>1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4" spans="2:20" x14ac:dyDescent="0.3">
      <c r="B154" s="24"/>
      <c r="C154" s="34" t="s">
        <v>1265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1479</v>
      </c>
      <c r="K154" s="24"/>
      <c r="L154" s="24"/>
      <c r="M154" s="24" t="s">
        <v>25</v>
      </c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5" spans="2:20" x14ac:dyDescent="0.3">
      <c r="B155" s="24" t="s">
        <v>677</v>
      </c>
      <c r="C155" s="34" t="s">
        <v>1265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/>
      <c r="K155" s="24"/>
      <c r="L155" s="24"/>
      <c r="M155" s="54" t="s">
        <v>1651</v>
      </c>
      <c r="N155" s="54" t="s">
        <v>1650</v>
      </c>
      <c r="O155" s="24"/>
      <c r="P155" s="26">
        <f>GET_OK_GROUPS_COUNT(tbStoryEnemy[[#This Row],[Camp]],tbStoryEnemy[[#This Row],[Difficulty]],tbStoryEnemy[[#This Row],[IsBoss]],tbStoryEnemy[[#This Row],[Hero1]:[Soldier3]])</f>
        <v>5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6" spans="2:20" x14ac:dyDescent="0.3">
      <c r="B156" s="24"/>
      <c r="C156" s="34" t="s">
        <v>1265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1465</v>
      </c>
      <c r="K156" s="24"/>
      <c r="L156" s="24"/>
      <c r="M156" s="24" t="s">
        <v>28</v>
      </c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57" spans="2:20" x14ac:dyDescent="0.3">
      <c r="B157" s="24" t="s">
        <v>678</v>
      </c>
      <c r="C157" s="34" t="s">
        <v>1265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 t="s">
        <v>1466</v>
      </c>
      <c r="K157" s="24"/>
      <c r="L157" s="24"/>
      <c r="M157" s="24"/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3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58" spans="2:20" x14ac:dyDescent="0.3">
      <c r="B158" s="24"/>
      <c r="C158" s="34" t="s">
        <v>1265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1448</v>
      </c>
      <c r="L158" s="24" t="s">
        <v>1447</v>
      </c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59" spans="2:20" x14ac:dyDescent="0.3">
      <c r="B159" s="24" t="s">
        <v>679</v>
      </c>
      <c r="C159" s="34" t="s">
        <v>1265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28</v>
      </c>
      <c r="N159" s="24"/>
      <c r="O159" s="24"/>
      <c r="P159" s="26">
        <f>GET_OK_GROUPS_COUNT(tbStoryEnemy[[#This Row],[Camp]],tbStoryEnemy[[#This Row],[Difficulty]],tbStoryEnemy[[#This Row],[IsBoss]],tbStoryEnemy[[#This Row],[Hero1]:[Soldier3]])</f>
        <v>9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0" spans="2:20" x14ac:dyDescent="0.3">
      <c r="B160" s="24"/>
      <c r="C160" s="34" t="s">
        <v>1265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1503</v>
      </c>
      <c r="K160" s="24"/>
      <c r="L160" s="24"/>
      <c r="M160" s="24" t="s">
        <v>26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1" spans="2:20" x14ac:dyDescent="0.3">
      <c r="B161" s="24" t="s">
        <v>680</v>
      </c>
      <c r="C161" s="34" t="s">
        <v>1265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54" t="s">
        <v>1651</v>
      </c>
      <c r="N161" s="54" t="s">
        <v>1652</v>
      </c>
      <c r="O161" s="24"/>
      <c r="P161" s="26">
        <f>GET_OK_GROUPS_COUNT(tbStoryEnemy[[#This Row],[Camp]],tbStoryEnemy[[#This Row],[Difficulty]],tbStoryEnemy[[#This Row],[IsBoss]],tbStoryEnemy[[#This Row],[Hero1]:[Soldier3]])</f>
        <v>5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2" spans="2:20" x14ac:dyDescent="0.3">
      <c r="B162" s="24"/>
      <c r="C162" s="34" t="s">
        <v>1265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1505</v>
      </c>
      <c r="K162" s="24"/>
      <c r="L162" s="24"/>
      <c r="M162" s="24" t="s">
        <v>447</v>
      </c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3" spans="2:20" x14ac:dyDescent="0.3">
      <c r="B163" s="24" t="s">
        <v>681</v>
      </c>
      <c r="C163" s="34" t="s">
        <v>1265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 t="s">
        <v>414</v>
      </c>
      <c r="K163" s="24" t="s">
        <v>1439</v>
      </c>
      <c r="L163" s="24"/>
      <c r="M163" s="24"/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1</v>
      </c>
      <c r="Q163" s="24">
        <v>1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4" spans="2:20" x14ac:dyDescent="0.3">
      <c r="B164" s="24"/>
      <c r="C164" s="34" t="s">
        <v>1265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1170</v>
      </c>
      <c r="K164" s="24" t="s">
        <v>1503</v>
      </c>
      <c r="L164" s="54" t="s">
        <v>1504</v>
      </c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1170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5" spans="2:20" x14ac:dyDescent="0.3">
      <c r="B165" s="24" t="s">
        <v>682</v>
      </c>
      <c r="C165" s="34" t="s">
        <v>1265</v>
      </c>
      <c r="D165" s="24">
        <v>1</v>
      </c>
      <c r="E165" s="24"/>
      <c r="F165" s="24">
        <v>0</v>
      </c>
      <c r="G165" s="24" t="s">
        <v>151</v>
      </c>
      <c r="H165" s="24" t="s">
        <v>1150</v>
      </c>
      <c r="I165" s="24"/>
      <c r="J165" s="24"/>
      <c r="K165" s="24"/>
      <c r="L165" s="24"/>
      <c r="M165" s="54" t="s">
        <v>1649</v>
      </c>
      <c r="N165" s="54" t="s">
        <v>1653</v>
      </c>
      <c r="O165" s="24"/>
      <c r="P165" s="26">
        <f>GET_OK_GROUPS_COUNT(tbStoryEnemy[[#This Row],[Camp]],tbStoryEnemy[[#This Row],[Difficulty]],tbStoryEnemy[[#This Row],[IsBoss]],tbStoryEnemy[[#This Row],[Hero1]:[Soldier3]])</f>
        <v>1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6" spans="2:20" x14ac:dyDescent="0.3">
      <c r="B166" s="24"/>
      <c r="C166" s="34" t="s">
        <v>1265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1559</v>
      </c>
      <c r="K166" s="24"/>
      <c r="L166" s="24"/>
      <c r="M166" s="24" t="s">
        <v>26</v>
      </c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7" spans="2:20" x14ac:dyDescent="0.3">
      <c r="B167" s="24" t="s">
        <v>683</v>
      </c>
      <c r="C167" s="34" t="s">
        <v>1265</v>
      </c>
      <c r="D167" s="24">
        <v>1</v>
      </c>
      <c r="E167" s="24"/>
      <c r="F167" s="24">
        <v>0</v>
      </c>
      <c r="G167" s="24" t="s">
        <v>151</v>
      </c>
      <c r="H167" s="24" t="s">
        <v>1150</v>
      </c>
      <c r="I167" s="24"/>
      <c r="J167" s="24"/>
      <c r="K167" s="24"/>
      <c r="L167" s="24"/>
      <c r="M167" s="54" t="s">
        <v>1651</v>
      </c>
      <c r="N167" s="54" t="s">
        <v>1653</v>
      </c>
      <c r="O167" s="24"/>
      <c r="P167" s="26">
        <f>GET_OK_GROUPS_COUNT(tbStoryEnemy[[#This Row],[Camp]],tbStoryEnemy[[#This Row],[Difficulty]],tbStoryEnemy[[#This Row],[IsBoss]],tbStoryEnemy[[#This Row],[Hero1]:[Soldier3]])</f>
        <v>1</v>
      </c>
      <c r="Q167" s="24">
        <v>1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68" spans="2:20" x14ac:dyDescent="0.3">
      <c r="B168" s="24"/>
      <c r="C168" s="34" t="s">
        <v>1265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1531</v>
      </c>
      <c r="K168" s="24"/>
      <c r="L168" s="24"/>
      <c r="M168" s="54" t="s">
        <v>1653</v>
      </c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9" spans="2:20" x14ac:dyDescent="0.3">
      <c r="B169" s="24" t="s">
        <v>684</v>
      </c>
      <c r="C169" s="34" t="s">
        <v>1265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 t="s">
        <v>1457</v>
      </c>
      <c r="K169" s="24"/>
      <c r="L169" s="24"/>
      <c r="M169" s="24"/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0" spans="2:20" x14ac:dyDescent="0.3">
      <c r="B170" s="24"/>
      <c r="C170" s="34" t="s">
        <v>1265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 t="b">
        <v>1</v>
      </c>
      <c r="J170" s="24" t="s">
        <v>24</v>
      </c>
      <c r="K170" s="24" t="s">
        <v>1559</v>
      </c>
      <c r="L170" s="24"/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171" spans="2:20" x14ac:dyDescent="0.3">
      <c r="B171" s="24" t="s">
        <v>685</v>
      </c>
      <c r="C171" s="34" t="s">
        <v>1265</v>
      </c>
      <c r="D171" s="24">
        <v>1</v>
      </c>
      <c r="E171" s="24"/>
      <c r="F171" s="24">
        <v>0</v>
      </c>
      <c r="G171" s="24" t="s">
        <v>151</v>
      </c>
      <c r="H171" s="24" t="s">
        <v>1150</v>
      </c>
      <c r="I171" s="24"/>
      <c r="J171" s="24"/>
      <c r="K171" s="24"/>
      <c r="L171" s="24"/>
      <c r="M171" s="54" t="s">
        <v>1651</v>
      </c>
      <c r="N171" s="54" t="s">
        <v>1653</v>
      </c>
      <c r="O171" s="24"/>
      <c r="P171" s="26">
        <f>GET_OK_GROUPS_COUNT(tbStoryEnemy[[#This Row],[Camp]],tbStoryEnemy[[#This Row],[Difficulty]],tbStoryEnemy[[#This Row],[IsBoss]],tbStoryEnemy[[#This Row],[Hero1]:[Soldier3]])</f>
        <v>1</v>
      </c>
      <c r="Q171" s="24">
        <v>1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 x14ac:dyDescent="0.3">
      <c r="B172" s="24"/>
      <c r="C172" s="34" t="s">
        <v>1265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1546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3" spans="2:20" x14ac:dyDescent="0.3">
      <c r="B173" s="24" t="s">
        <v>686</v>
      </c>
      <c r="C173" s="34" t="s">
        <v>1265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/>
      <c r="K173" s="24"/>
      <c r="L173" s="24"/>
      <c r="M173" s="54" t="s">
        <v>1649</v>
      </c>
      <c r="N173" s="54" t="s">
        <v>1650</v>
      </c>
      <c r="O173" s="24"/>
      <c r="P173" s="26">
        <f>GET_OK_GROUPS_COUNT(tbStoryEnemy[[#This Row],[Camp]],tbStoryEnemy[[#This Row],[Difficulty]],tbStoryEnemy[[#This Row],[IsBoss]],tbStoryEnemy[[#This Row],[Hero1]:[Soldier3]])</f>
        <v>5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4" spans="2:20" x14ac:dyDescent="0.3">
      <c r="B174" s="24"/>
      <c r="C174" s="34" t="s">
        <v>1265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1470</v>
      </c>
      <c r="K174" s="24"/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3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20" x14ac:dyDescent="0.3">
      <c r="B175" s="24" t="s">
        <v>687</v>
      </c>
      <c r="C175" s="34" t="s">
        <v>1265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 t="s">
        <v>1567</v>
      </c>
      <c r="K175" s="24"/>
      <c r="L175" s="24"/>
      <c r="M175" s="24"/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4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76" spans="2:20" x14ac:dyDescent="0.3">
      <c r="B176" s="24"/>
      <c r="C176" s="34" t="s">
        <v>1265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54" t="s">
        <v>1654</v>
      </c>
      <c r="L176" s="24" t="s">
        <v>1470</v>
      </c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77" spans="2:20" x14ac:dyDescent="0.3">
      <c r="B177" s="24" t="s">
        <v>688</v>
      </c>
      <c r="C177" s="34" t="s">
        <v>1265</v>
      </c>
      <c r="D177" s="24">
        <v>1</v>
      </c>
      <c r="E177" s="24"/>
      <c r="F177" s="24">
        <v>0</v>
      </c>
      <c r="G177" s="24" t="s">
        <v>151</v>
      </c>
      <c r="H177" s="24" t="s">
        <v>1150</v>
      </c>
      <c r="I177" s="24"/>
      <c r="J177" s="24"/>
      <c r="K177" s="24"/>
      <c r="L177" s="24"/>
      <c r="M177" s="54" t="s">
        <v>1651</v>
      </c>
      <c r="N177" s="54" t="s">
        <v>1653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8" spans="2:20" x14ac:dyDescent="0.3">
      <c r="B178" s="24"/>
      <c r="C178" s="34" t="s">
        <v>1265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1505</v>
      </c>
      <c r="K178" s="24"/>
      <c r="L178" s="24"/>
      <c r="M178" s="24" t="s">
        <v>26</v>
      </c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9" spans="2:20" x14ac:dyDescent="0.3">
      <c r="B179" s="24" t="s">
        <v>689</v>
      </c>
      <c r="C179" s="34" t="s">
        <v>1265</v>
      </c>
      <c r="D179" s="24">
        <v>1</v>
      </c>
      <c r="E179" s="24"/>
      <c r="F179" s="24">
        <v>0</v>
      </c>
      <c r="G179" s="24" t="s">
        <v>151</v>
      </c>
      <c r="H179" s="24" t="s">
        <v>1150</v>
      </c>
      <c r="I179" s="24"/>
      <c r="J179" s="24"/>
      <c r="K179" s="24"/>
      <c r="L179" s="24"/>
      <c r="M179" s="54" t="s">
        <v>1649</v>
      </c>
      <c r="N179" s="54" t="s">
        <v>1652</v>
      </c>
      <c r="O179" s="24"/>
      <c r="P179" s="26">
        <f>GET_OK_GROUPS_COUNT(tbStoryEnemy[[#This Row],[Camp]],tbStoryEnemy[[#This Row],[Difficulty]],tbStoryEnemy[[#This Row],[IsBoss]],tbStoryEnemy[[#This Row],[Hero1]:[Soldier3]])</f>
        <v>1</v>
      </c>
      <c r="Q179" s="24">
        <v>1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20" x14ac:dyDescent="0.3">
      <c r="B180" s="24"/>
      <c r="C180" s="34" t="s">
        <v>1265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1504</v>
      </c>
      <c r="K180" s="24"/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3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1" spans="2:20" x14ac:dyDescent="0.3">
      <c r="B181" s="24" t="s">
        <v>690</v>
      </c>
      <c r="C181" s="34" t="s">
        <v>1265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 t="s">
        <v>1492</v>
      </c>
      <c r="K181" s="24"/>
      <c r="L181" s="24"/>
      <c r="M181" s="24"/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3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2" spans="2:20" x14ac:dyDescent="0.3">
      <c r="B182" s="24"/>
      <c r="C182" s="34" t="s">
        <v>1265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/>
      <c r="J182" s="24" t="s">
        <v>426</v>
      </c>
      <c r="K182" s="24" t="s">
        <v>1505</v>
      </c>
      <c r="L182" s="24"/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183" spans="2:20" x14ac:dyDescent="0.3">
      <c r="B183" s="24" t="s">
        <v>691</v>
      </c>
      <c r="C183" s="34" t="s">
        <v>1265</v>
      </c>
      <c r="D183" s="24">
        <v>1</v>
      </c>
      <c r="E183" s="24"/>
      <c r="F183" s="24">
        <v>0</v>
      </c>
      <c r="G183" s="24" t="s">
        <v>151</v>
      </c>
      <c r="H183" s="24" t="s">
        <v>1150</v>
      </c>
      <c r="I183" s="24"/>
      <c r="J183" s="24"/>
      <c r="K183" s="24"/>
      <c r="L183" s="24"/>
      <c r="M183" s="54" t="s">
        <v>1651</v>
      </c>
      <c r="N183" s="54" t="s">
        <v>1653</v>
      </c>
      <c r="O183" s="24"/>
      <c r="P183" s="26">
        <f>GET_OK_GROUPS_COUNT(tbStoryEnemy[[#This Row],[Camp]],tbStoryEnemy[[#This Row],[Difficulty]],tbStoryEnemy[[#This Row],[IsBoss]],tbStoryEnemy[[#This Row],[Hero1]:[Soldier3]])</f>
        <v>1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4" spans="2:20" x14ac:dyDescent="0.3">
      <c r="B184" s="24"/>
      <c r="C184" s="34" t="s">
        <v>1265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1441</v>
      </c>
      <c r="K184" s="24"/>
      <c r="L184" s="24"/>
      <c r="M184" s="24" t="s">
        <v>26</v>
      </c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5" spans="2:20" x14ac:dyDescent="0.3">
      <c r="B185" s="24" t="s">
        <v>692</v>
      </c>
      <c r="C185" s="34" t="s">
        <v>1265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/>
      <c r="K185" s="24"/>
      <c r="L185" s="24"/>
      <c r="M185" s="54" t="s">
        <v>1651</v>
      </c>
      <c r="N185" s="54" t="s">
        <v>1652</v>
      </c>
      <c r="O185" s="24"/>
      <c r="P185" s="26">
        <f>GET_OK_GROUPS_COUNT(tbStoryEnemy[[#This Row],[Camp]],tbStoryEnemy[[#This Row],[Difficulty]],tbStoryEnemy[[#This Row],[IsBoss]],tbStoryEnemy[[#This Row],[Hero1]:[Soldier3]])</f>
        <v>5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20" x14ac:dyDescent="0.3">
      <c r="B186" s="24"/>
      <c r="C186" s="34" t="s">
        <v>1265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1442</v>
      </c>
      <c r="K186" s="24"/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4</v>
      </c>
      <c r="Q186" s="24">
        <v>2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87" spans="2:20" x14ac:dyDescent="0.3">
      <c r="B187" s="24" t="s">
        <v>693</v>
      </c>
      <c r="C187" s="34" t="s">
        <v>1265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 t="s">
        <v>340</v>
      </c>
      <c r="K187" s="24"/>
      <c r="L187" s="24"/>
      <c r="M187" s="24"/>
      <c r="N187" s="24"/>
      <c r="O187" s="24"/>
      <c r="P187" s="26">
        <f>GET_OK_GROUPS_COUNT(tbStoryEnemy[[#This Row],[Camp]],tbStoryEnemy[[#This Row],[Difficulty]],tbStoryEnemy[[#This Row],[IsBoss]],tbStoryEnemy[[#This Row],[Hero1]:[Soldier3]])</f>
        <v>3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88" spans="2:20" x14ac:dyDescent="0.3">
      <c r="B188" s="24"/>
      <c r="C188" s="34" t="s">
        <v>1265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54" t="s">
        <v>1655</v>
      </c>
      <c r="L188" s="24"/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9" spans="2:20" x14ac:dyDescent="0.3">
      <c r="B189" s="24" t="s">
        <v>694</v>
      </c>
      <c r="C189" s="34" t="s">
        <v>1265</v>
      </c>
      <c r="D189" s="24">
        <v>1</v>
      </c>
      <c r="E189" s="24"/>
      <c r="F189" s="24">
        <v>0</v>
      </c>
      <c r="G189" s="24" t="s">
        <v>151</v>
      </c>
      <c r="H189" s="24" t="s">
        <v>1150</v>
      </c>
      <c r="I189" s="24"/>
      <c r="J189" s="24"/>
      <c r="K189" s="24"/>
      <c r="L189" s="24"/>
      <c r="M189" s="54" t="s">
        <v>1649</v>
      </c>
      <c r="N189" s="54" t="s">
        <v>1653</v>
      </c>
      <c r="O189" s="24"/>
      <c r="P189" s="26">
        <f>GET_OK_GROUPS_COUNT(tbStoryEnemy[[#This Row],[Camp]],tbStoryEnemy[[#This Row],[Difficulty]],tbStoryEnemy[[#This Row],[IsBoss]],tbStoryEnemy[[#This Row],[Hero1]:[Soldier3]])</f>
        <v>1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0" spans="2:20" x14ac:dyDescent="0.3">
      <c r="B190" s="24"/>
      <c r="C190" s="34" t="s">
        <v>1265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1568</v>
      </c>
      <c r="K190" s="24"/>
      <c r="L190" s="24"/>
      <c r="M190" s="24" t="s">
        <v>25</v>
      </c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1" spans="2:20" x14ac:dyDescent="0.3">
      <c r="B191" s="24" t="s">
        <v>695</v>
      </c>
      <c r="C191" s="34" t="s">
        <v>1265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49</v>
      </c>
      <c r="N191" s="24"/>
      <c r="O191" s="24"/>
      <c r="P191" s="26">
        <f>GET_OK_GROUPS_COUNT(tbStoryEnemy[[#This Row],[Camp]],tbStoryEnemy[[#This Row],[Difficulty]],tbStoryEnemy[[#This Row],[IsBoss]],tbStoryEnemy[[#This Row],[Hero1]:[Soldier3]])</f>
        <v>1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2" spans="2:20" x14ac:dyDescent="0.3">
      <c r="B192" s="24"/>
      <c r="C192" s="34" t="s">
        <v>1265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1569</v>
      </c>
      <c r="K192" s="24"/>
      <c r="L192" s="24"/>
      <c r="M192" s="24"/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3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20" x14ac:dyDescent="0.3">
      <c r="B193" s="24" t="s">
        <v>696</v>
      </c>
      <c r="C193" s="34" t="s">
        <v>1265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1507</v>
      </c>
      <c r="K193" s="24"/>
      <c r="L193" s="24"/>
      <c r="M193" s="24"/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4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/>
      <c r="C194" s="34" t="s">
        <v>1265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1638</v>
      </c>
      <c r="L194" s="24" t="s">
        <v>1639</v>
      </c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5" spans="2:20" x14ac:dyDescent="0.3">
      <c r="B195" s="24" t="s">
        <v>697</v>
      </c>
      <c r="C195" s="34" t="s">
        <v>1265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54" t="s">
        <v>1649</v>
      </c>
      <c r="N195" s="54" t="s">
        <v>1653</v>
      </c>
      <c r="O195" s="24"/>
      <c r="P195" s="26">
        <f>GET_OK_GROUPS_COUNT(tbStoryEnemy[[#This Row],[Camp]],tbStoryEnemy[[#This Row],[Difficulty]],tbStoryEnemy[[#This Row],[IsBoss]],tbStoryEnemy[[#This Row],[Hero1]:[Soldier3]])</f>
        <v>5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96" spans="2:20" x14ac:dyDescent="0.3">
      <c r="B196" s="24"/>
      <c r="C196" s="34" t="s">
        <v>1265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1578</v>
      </c>
      <c r="K196" s="24"/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4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7" spans="2:20" x14ac:dyDescent="0.3">
      <c r="B197" s="24" t="s">
        <v>698</v>
      </c>
      <c r="C197" s="34" t="s">
        <v>1265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54" t="s">
        <v>1651</v>
      </c>
      <c r="N197" s="54" t="s">
        <v>1650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98" spans="2:20" x14ac:dyDescent="0.3">
      <c r="B198" s="24"/>
      <c r="C198" s="34" t="s">
        <v>1265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1579</v>
      </c>
      <c r="K198" s="24" t="s">
        <v>1470</v>
      </c>
      <c r="L198" s="24"/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199" spans="2:20" x14ac:dyDescent="0.3">
      <c r="B199" s="24" t="s">
        <v>699</v>
      </c>
      <c r="C199" s="34" t="s">
        <v>1265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1565</v>
      </c>
      <c r="K199" s="24" t="s">
        <v>1578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0" spans="2:20" x14ac:dyDescent="0.3">
      <c r="B200" s="24"/>
      <c r="C200" s="34" t="s">
        <v>1265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335</v>
      </c>
      <c r="L200" s="24" t="s">
        <v>331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1" spans="2:20" x14ac:dyDescent="0.3">
      <c r="B201" s="24" t="s">
        <v>700</v>
      </c>
      <c r="C201" s="34" t="s">
        <v>1265</v>
      </c>
      <c r="D201" s="24">
        <v>1</v>
      </c>
      <c r="E201" s="24"/>
      <c r="F201" s="24">
        <v>0</v>
      </c>
      <c r="G201" s="24" t="s">
        <v>151</v>
      </c>
      <c r="H201" s="24" t="s">
        <v>1150</v>
      </c>
      <c r="I201" s="24"/>
      <c r="J201" s="24"/>
      <c r="K201" s="24"/>
      <c r="L201" s="24"/>
      <c r="M201" s="24" t="s">
        <v>448</v>
      </c>
      <c r="N201" s="24"/>
      <c r="O201" s="24"/>
      <c r="P201" s="26">
        <f>GET_OK_GROUPS_COUNT(tbStoryEnemy[[#This Row],[Camp]],tbStoryEnemy[[#This Row],[Difficulty]],tbStoryEnemy[[#This Row],[IsBoss]],tbStoryEnemy[[#This Row],[Hero1]:[Soldier3]])</f>
        <v>3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20" x14ac:dyDescent="0.3">
      <c r="B202" s="24"/>
      <c r="C202" s="34" t="s">
        <v>1265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1497</v>
      </c>
      <c r="K202" s="24"/>
      <c r="L202" s="24"/>
      <c r="M202" s="24"/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4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3" spans="2:20" x14ac:dyDescent="0.3">
      <c r="B203" s="24" t="s">
        <v>701</v>
      </c>
      <c r="C203" s="34" t="s">
        <v>1265</v>
      </c>
      <c r="D203" s="24">
        <v>1</v>
      </c>
      <c r="E203" s="24"/>
      <c r="F203" s="24">
        <v>0</v>
      </c>
      <c r="G203" s="24" t="s">
        <v>151</v>
      </c>
      <c r="H203" s="24" t="s">
        <v>1150</v>
      </c>
      <c r="I203" s="24"/>
      <c r="J203" s="24"/>
      <c r="K203" s="24"/>
      <c r="L203" s="24"/>
      <c r="M203" s="54" t="s">
        <v>1649</v>
      </c>
      <c r="N203" s="54" t="s">
        <v>1653</v>
      </c>
      <c r="O203" s="24"/>
      <c r="P203" s="26">
        <f>GET_OK_GROUPS_COUNT(tbStoryEnemy[[#This Row],[Camp]],tbStoryEnemy[[#This Row],[Difficulty]],tbStoryEnemy[[#This Row],[IsBoss]],tbStoryEnemy[[#This Row],[Hero1]:[Soldier3]])</f>
        <v>1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20" x14ac:dyDescent="0.3">
      <c r="B204" s="24"/>
      <c r="C204" s="34" t="s">
        <v>1265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1498</v>
      </c>
      <c r="K204" s="24"/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4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5" spans="2:20" x14ac:dyDescent="0.3">
      <c r="B205" s="24" t="s">
        <v>702</v>
      </c>
      <c r="C205" s="34" t="s">
        <v>1265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 t="s">
        <v>400</v>
      </c>
      <c r="K205" s="24"/>
      <c r="L205" s="24"/>
      <c r="M205" s="24"/>
      <c r="N205" s="24"/>
      <c r="O205" s="24"/>
      <c r="P205" s="26">
        <f>GET_OK_GROUPS_COUNT(tbStoryEnemy[[#This Row],[Camp]],tbStoryEnemy[[#This Row],[Difficulty]],tbStoryEnemy[[#This Row],[IsBoss]],tbStoryEnemy[[#This Row],[Hero1]:[Soldier3]])</f>
        <v>4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6" spans="2:20" x14ac:dyDescent="0.3">
      <c r="B206" s="24"/>
      <c r="C206" s="34" t="s">
        <v>1265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 t="b">
        <v>1</v>
      </c>
      <c r="J206" s="24" t="s">
        <v>389</v>
      </c>
      <c r="K206" s="24" t="s">
        <v>1497</v>
      </c>
      <c r="L206" s="54"/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07" spans="2:20" x14ac:dyDescent="0.3">
      <c r="B207" s="24" t="s">
        <v>703</v>
      </c>
      <c r="C207" s="34" t="s">
        <v>1265</v>
      </c>
      <c r="D207" s="24">
        <v>1</v>
      </c>
      <c r="E207" s="24"/>
      <c r="F207" s="24">
        <v>0</v>
      </c>
      <c r="G207" s="24" t="s">
        <v>151</v>
      </c>
      <c r="H207" s="24" t="s">
        <v>1150</v>
      </c>
      <c r="I207" s="24"/>
      <c r="J207" s="24"/>
      <c r="K207" s="24"/>
      <c r="L207" s="24"/>
      <c r="M207" s="54" t="s">
        <v>1651</v>
      </c>
      <c r="N207" s="54" t="s">
        <v>1653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08" spans="2:20" x14ac:dyDescent="0.3">
      <c r="B208" s="24"/>
      <c r="C208" s="34" t="s">
        <v>1265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1458</v>
      </c>
      <c r="K208" s="24"/>
      <c r="L208" s="24"/>
      <c r="M208" s="24" t="s">
        <v>26</v>
      </c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9" spans="2:20" x14ac:dyDescent="0.3">
      <c r="B209" s="24" t="s">
        <v>704</v>
      </c>
      <c r="C209" s="34" t="s">
        <v>1265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/>
      <c r="K209" s="24"/>
      <c r="L209" s="24"/>
      <c r="M209" s="54" t="s">
        <v>1649</v>
      </c>
      <c r="N209" s="54" t="s">
        <v>1653</v>
      </c>
      <c r="O209" s="24"/>
      <c r="P209" s="26">
        <f>GET_OK_GROUPS_COUNT(tbStoryEnemy[[#This Row],[Camp]],tbStoryEnemy[[#This Row],[Difficulty]],tbStoryEnemy[[#This Row],[IsBoss]],tbStoryEnemy[[#This Row],[Hero1]:[Soldier3]])</f>
        <v>5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0" spans="2:20" x14ac:dyDescent="0.3">
      <c r="B210" s="24"/>
      <c r="C210" s="34" t="s">
        <v>1265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1459</v>
      </c>
      <c r="K210" s="24"/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4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1" spans="2:20" x14ac:dyDescent="0.3">
      <c r="B211" s="24" t="s">
        <v>705</v>
      </c>
      <c r="C211" s="34" t="s">
        <v>1265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 t="s">
        <v>340</v>
      </c>
      <c r="K211" s="24"/>
      <c r="L211" s="24"/>
      <c r="M211" s="24"/>
      <c r="N211" s="24"/>
      <c r="O211" s="24"/>
      <c r="P211" s="26">
        <f>GET_OK_GROUPS_COUNT(tbStoryEnemy[[#This Row],[Camp]],tbStoryEnemy[[#This Row],[Difficulty]],tbStoryEnemy[[#This Row],[IsBoss]],tbStoryEnemy[[#This Row],[Hero1]:[Soldier3]])</f>
        <v>3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2" spans="2:20" x14ac:dyDescent="0.3">
      <c r="B212" s="24"/>
      <c r="C212" s="34" t="s">
        <v>1265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54" t="s">
        <v>1656</v>
      </c>
      <c r="L212" s="24" t="s">
        <v>1459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3" spans="2:20" x14ac:dyDescent="0.3">
      <c r="B213" s="24" t="s">
        <v>706</v>
      </c>
      <c r="C213" s="34" t="s">
        <v>1265</v>
      </c>
      <c r="D213" s="24">
        <v>1</v>
      </c>
      <c r="E213" s="24"/>
      <c r="F213" s="24">
        <v>0</v>
      </c>
      <c r="G213" s="24" t="s">
        <v>151</v>
      </c>
      <c r="H213" s="24" t="s">
        <v>1150</v>
      </c>
      <c r="I213" s="24"/>
      <c r="J213" s="24"/>
      <c r="K213" s="24"/>
      <c r="L213" s="24"/>
      <c r="M213" s="54" t="s">
        <v>1649</v>
      </c>
      <c r="N213" s="54" t="s">
        <v>1653</v>
      </c>
      <c r="O213" s="24"/>
      <c r="P213" s="26">
        <f>GET_OK_GROUPS_COUNT(tbStoryEnemy[[#This Row],[Camp]],tbStoryEnemy[[#This Row],[Difficulty]],tbStoryEnemy[[#This Row],[IsBoss]],tbStoryEnemy[[#This Row],[Hero1]:[Soldier3]])</f>
        <v>1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4" spans="2:20" x14ac:dyDescent="0.3">
      <c r="B214" s="24"/>
      <c r="C214" s="34" t="s">
        <v>1265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1475</v>
      </c>
      <c r="K214" s="24"/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4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 x14ac:dyDescent="0.3">
      <c r="B215" s="24" t="s">
        <v>707</v>
      </c>
      <c r="C215" s="34" t="s">
        <v>1265</v>
      </c>
      <c r="D215" s="24">
        <v>1</v>
      </c>
      <c r="E215" s="24"/>
      <c r="F215" s="24">
        <v>0</v>
      </c>
      <c r="G215" s="24" t="s">
        <v>151</v>
      </c>
      <c r="H215" s="24" t="s">
        <v>1150</v>
      </c>
      <c r="I215" s="24"/>
      <c r="J215" s="24"/>
      <c r="K215" s="24"/>
      <c r="L215" s="24"/>
      <c r="M215" s="24" t="s">
        <v>49</v>
      </c>
      <c r="N215" s="24"/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16" spans="2:20" x14ac:dyDescent="0.3">
      <c r="B216" s="24"/>
      <c r="C216" s="34" t="s">
        <v>1265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1476</v>
      </c>
      <c r="K216" s="24"/>
      <c r="L216" s="24"/>
      <c r="M216" s="24"/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4</v>
      </c>
      <c r="Q216" s="24">
        <v>2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17" spans="2:20" x14ac:dyDescent="0.3">
      <c r="B217" s="24" t="s">
        <v>708</v>
      </c>
      <c r="C217" s="34" t="s">
        <v>1265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 t="s">
        <v>1564</v>
      </c>
      <c r="K217" s="24"/>
      <c r="L217" s="24"/>
      <c r="M217" s="24"/>
      <c r="N217" s="24"/>
      <c r="O217" s="24"/>
      <c r="P217" s="26">
        <f>GET_OK_GROUPS_COUNT(tbStoryEnemy[[#This Row],[Camp]],tbStoryEnemy[[#This Row],[Difficulty]],tbStoryEnemy[[#This Row],[IsBoss]],tbStoryEnemy[[#This Row],[Hero1]:[Soldier3]])</f>
        <v>3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8" spans="2:20" x14ac:dyDescent="0.3">
      <c r="B218" s="24"/>
      <c r="C218" s="34" t="s">
        <v>1265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 t="b">
        <v>1</v>
      </c>
      <c r="J218" s="24" t="s">
        <v>416</v>
      </c>
      <c r="K218" s="24" t="s">
        <v>1475</v>
      </c>
      <c r="L218" s="24"/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24" t="s">
        <v>709</v>
      </c>
      <c r="C219" s="34" t="s">
        <v>1265</v>
      </c>
      <c r="D219" s="24">
        <v>1</v>
      </c>
      <c r="E219" s="24"/>
      <c r="F219" s="24">
        <v>0</v>
      </c>
      <c r="G219" s="24" t="s">
        <v>151</v>
      </c>
      <c r="H219" s="24" t="s">
        <v>1150</v>
      </c>
      <c r="I219" s="24"/>
      <c r="J219" s="24"/>
      <c r="K219" s="24"/>
      <c r="L219" s="24"/>
      <c r="M219" s="24" t="s">
        <v>25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5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0" spans="2:20" x14ac:dyDescent="0.3">
      <c r="B220" s="24"/>
      <c r="C220" s="34" t="s">
        <v>1265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1475</v>
      </c>
      <c r="K220" s="24"/>
      <c r="L220" s="24"/>
      <c r="M220" s="24" t="s">
        <v>26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1" spans="2:20" x14ac:dyDescent="0.3">
      <c r="B221" s="24" t="s">
        <v>710</v>
      </c>
      <c r="C221" s="34" t="s">
        <v>1265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/>
      <c r="K221" s="24"/>
      <c r="L221" s="24"/>
      <c r="M221" s="54" t="s">
        <v>1649</v>
      </c>
      <c r="N221" s="54" t="s">
        <v>1653</v>
      </c>
      <c r="O221" s="24"/>
      <c r="P221" s="26">
        <f>GET_OK_GROUPS_COUNT(tbStoryEnemy[[#This Row],[Camp]],tbStoryEnemy[[#This Row],[Difficulty]],tbStoryEnemy[[#This Row],[IsBoss]],tbStoryEnemy[[#This Row],[Hero1]:[Soldier3]])</f>
        <v>5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2" spans="2:20" x14ac:dyDescent="0.3">
      <c r="B222" s="24"/>
      <c r="C222" s="34" t="s">
        <v>1265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1476</v>
      </c>
      <c r="K222" s="24"/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4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3" spans="2:20" x14ac:dyDescent="0.3">
      <c r="B223" s="24" t="s">
        <v>711</v>
      </c>
      <c r="C223" s="34" t="s">
        <v>1265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 t="s">
        <v>1491</v>
      </c>
      <c r="K223" s="24"/>
      <c r="L223" s="24"/>
      <c r="M223" s="24"/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3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4" spans="2:20" x14ac:dyDescent="0.3">
      <c r="B224" s="24"/>
      <c r="C224" s="34" t="s">
        <v>1265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1475</v>
      </c>
      <c r="L224" s="54" t="s">
        <v>1656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5" spans="2:20" x14ac:dyDescent="0.3">
      <c r="B225" s="24" t="s">
        <v>712</v>
      </c>
      <c r="C225" s="34" t="s">
        <v>1265</v>
      </c>
      <c r="D225" s="24">
        <v>1</v>
      </c>
      <c r="E225" s="24"/>
      <c r="F225" s="24">
        <v>0</v>
      </c>
      <c r="G225" s="24" t="s">
        <v>151</v>
      </c>
      <c r="H225" s="24" t="s">
        <v>1150</v>
      </c>
      <c r="I225" s="24"/>
      <c r="J225" s="24"/>
      <c r="K225" s="24"/>
      <c r="L225" s="24"/>
      <c r="M225" s="54" t="s">
        <v>1651</v>
      </c>
      <c r="N225" s="54" t="s">
        <v>1653</v>
      </c>
      <c r="O225" s="24"/>
      <c r="P225" s="26">
        <f>GET_OK_GROUPS_COUNT(tbStoryEnemy[[#This Row],[Camp]],tbStoryEnemy[[#This Row],[Difficulty]],tbStoryEnemy[[#This Row],[IsBoss]],tbStoryEnemy[[#This Row],[Hero1]:[Soldier3]])</f>
        <v>1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6" spans="2:20" x14ac:dyDescent="0.3">
      <c r="B226" s="24"/>
      <c r="C226" s="34" t="s">
        <v>1265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1436</v>
      </c>
      <c r="K226" s="24"/>
      <c r="L226" s="24"/>
      <c r="M226" s="24" t="s">
        <v>26</v>
      </c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7" spans="2:20" x14ac:dyDescent="0.3">
      <c r="B227" s="24" t="s">
        <v>713</v>
      </c>
      <c r="C227" s="34" t="s">
        <v>1265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/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9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8" spans="2:20" x14ac:dyDescent="0.3">
      <c r="B228" s="24"/>
      <c r="C228" s="34" t="s">
        <v>1265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1437</v>
      </c>
      <c r="K228" s="24"/>
      <c r="L228" s="24"/>
      <c r="M228" s="24"/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4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9" spans="2:20" x14ac:dyDescent="0.3">
      <c r="B229" s="24" t="s">
        <v>714</v>
      </c>
      <c r="C229" s="34" t="s">
        <v>1265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 t="s">
        <v>1427</v>
      </c>
      <c r="K229" s="24"/>
      <c r="L229" s="24"/>
      <c r="M229" s="24"/>
      <c r="N229" s="24"/>
      <c r="O229" s="24"/>
      <c r="P229" s="26">
        <f>GET_OK_GROUPS_COUNT(tbStoryEnemy[[#This Row],[Camp]],tbStoryEnemy[[#This Row],[Difficulty]],tbStoryEnemy[[#This Row],[IsBoss]],tbStoryEnemy[[#This Row],[Hero1]:[Soldier3]])</f>
        <v>3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0" spans="2:20" x14ac:dyDescent="0.3">
      <c r="B230" s="24"/>
      <c r="C230" s="34" t="s">
        <v>1265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54" t="s">
        <v>1655</v>
      </c>
      <c r="L230" s="24" t="s">
        <v>1437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1" spans="2:20" x14ac:dyDescent="0.3">
      <c r="B231" s="24" t="s">
        <v>715</v>
      </c>
      <c r="C231" s="34" t="s">
        <v>1265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54" t="s">
        <v>1651</v>
      </c>
      <c r="N231" s="54" t="s">
        <v>1652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2" spans="2:20" x14ac:dyDescent="0.3">
      <c r="B232" s="24"/>
      <c r="C232" s="34" t="s">
        <v>1265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1485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3" spans="2:20" x14ac:dyDescent="0.3">
      <c r="B233" s="24" t="s">
        <v>716</v>
      </c>
      <c r="C233" s="34" t="s">
        <v>1265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/>
      <c r="K233" s="24"/>
      <c r="L233" s="24"/>
      <c r="M233" s="54" t="s">
        <v>1651</v>
      </c>
      <c r="N233" s="54" t="s">
        <v>1653</v>
      </c>
      <c r="O233" s="24"/>
      <c r="P233" s="26">
        <f>GET_OK_GROUPS_COUNT(tbStoryEnemy[[#This Row],[Camp]],tbStoryEnemy[[#This Row],[Difficulty]],tbStoryEnemy[[#This Row],[IsBoss]],tbStoryEnemy[[#This Row],[Hero1]:[Soldier3]])</f>
        <v>5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4" spans="2:20" x14ac:dyDescent="0.3">
      <c r="B234" s="24"/>
      <c r="C234" s="34" t="s">
        <v>1265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1456</v>
      </c>
      <c r="K234" s="24" t="s">
        <v>1485</v>
      </c>
      <c r="L234" s="24" t="s">
        <v>1437</v>
      </c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235" spans="2:20" x14ac:dyDescent="0.3">
      <c r="B235" s="24" t="s">
        <v>717</v>
      </c>
      <c r="C235" s="34" t="s">
        <v>1265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1548</v>
      </c>
      <c r="K235" s="24" t="s">
        <v>1456</v>
      </c>
      <c r="L235" s="24" t="s">
        <v>1485</v>
      </c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36" spans="2:20" x14ac:dyDescent="0.3">
      <c r="B236" s="24"/>
      <c r="C236" s="34" t="s">
        <v>1265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54" t="s">
        <v>1658</v>
      </c>
      <c r="L236" s="24" t="s">
        <v>1456</v>
      </c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37" spans="2:20" x14ac:dyDescent="0.3">
      <c r="B237" s="24" t="s">
        <v>1206</v>
      </c>
      <c r="C237" s="34" t="s">
        <v>1265</v>
      </c>
      <c r="D237" s="24">
        <v>1</v>
      </c>
      <c r="E237" s="24"/>
      <c r="F237" s="24">
        <v>0</v>
      </c>
      <c r="G237" s="24" t="s">
        <v>151</v>
      </c>
      <c r="H237" s="24" t="s">
        <v>1150</v>
      </c>
      <c r="I237" s="24"/>
      <c r="J237" s="24"/>
      <c r="K237" s="24"/>
      <c r="L237" s="24"/>
      <c r="M237" s="54" t="s">
        <v>1651</v>
      </c>
      <c r="N237" s="54" t="s">
        <v>1652</v>
      </c>
      <c r="O237" s="24"/>
      <c r="P237" s="26">
        <f>GET_OK_GROUPS_COUNT(tbStoryEnemy[[#This Row],[Camp]],tbStoryEnemy[[#This Row],[Difficulty]],tbStoryEnemy[[#This Row],[IsBoss]],tbStoryEnemy[[#This Row],[Hero1]:[Soldier3]])</f>
        <v>1</v>
      </c>
      <c r="Q237" s="24">
        <v>1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8" spans="2:20" x14ac:dyDescent="0.3">
      <c r="B238" s="24"/>
      <c r="C238" s="34" t="s">
        <v>1265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1436</v>
      </c>
      <c r="K238" s="24"/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4</v>
      </c>
      <c r="Q238" s="24">
        <v>2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9" spans="2:20" x14ac:dyDescent="0.3">
      <c r="B239" s="24" t="s">
        <v>1207</v>
      </c>
      <c r="C239" s="34" t="s">
        <v>1265</v>
      </c>
      <c r="D239" s="24">
        <v>1</v>
      </c>
      <c r="E239" s="24"/>
      <c r="F239" s="24">
        <v>0</v>
      </c>
      <c r="G239" s="24" t="s">
        <v>151</v>
      </c>
      <c r="H239" s="24" t="s">
        <v>1150</v>
      </c>
      <c r="I239" s="24"/>
      <c r="J239" s="24"/>
      <c r="K239" s="24"/>
      <c r="L239" s="24"/>
      <c r="M239" s="24" t="s">
        <v>448</v>
      </c>
      <c r="N239" s="24"/>
      <c r="O239" s="24"/>
      <c r="P239" s="26">
        <f>GET_OK_GROUPS_COUNT(tbStoryEnemy[[#This Row],[Camp]],tbStoryEnemy[[#This Row],[Difficulty]],tbStoryEnemy[[#This Row],[IsBoss]],tbStoryEnemy[[#This Row],[Hero1]:[Soldier3]])</f>
        <v>3</v>
      </c>
      <c r="Q239" s="24">
        <v>3</v>
      </c>
      <c r="R239" s="25" t="s">
        <v>912</v>
      </c>
      <c r="S239" s="24"/>
      <c r="T23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0" spans="2:20" x14ac:dyDescent="0.3">
      <c r="B240" s="24"/>
      <c r="C240" s="34" t="s">
        <v>1265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1437</v>
      </c>
      <c r="K240" s="24"/>
      <c r="L240" s="24"/>
      <c r="M240" s="24"/>
      <c r="N240" s="24"/>
      <c r="O240" s="24"/>
      <c r="P240" s="26">
        <f>GET_OK_GROUPS_COUNT(tbStoryEnemy[[#This Row],[Camp]],tbStoryEnemy[[#This Row],[Difficulty]],tbStoryEnemy[[#This Row],[IsBoss]],tbStoryEnemy[[#This Row],[Hero1]:[Soldier3]])</f>
        <v>4</v>
      </c>
      <c r="Q240" s="24">
        <v>4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41" spans="2:20" x14ac:dyDescent="0.3">
      <c r="B241" s="24" t="s">
        <v>1208</v>
      </c>
      <c r="C241" s="34" t="s">
        <v>1265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 t="s">
        <v>1427</v>
      </c>
      <c r="K241" s="24"/>
      <c r="L241" s="24"/>
      <c r="M241" s="24"/>
      <c r="N241" s="24"/>
      <c r="O241" s="24"/>
      <c r="P241" s="26">
        <f>GET_OK_GROUPS_COUNT(tbStoryEnemy[[#This Row],[Camp]],tbStoryEnemy[[#This Row],[Difficulty]],tbStoryEnemy[[#This Row],[IsBoss]],tbStoryEnemy[[#This Row],[Hero1]:[Soldier3]])</f>
        <v>3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2" spans="2:20" x14ac:dyDescent="0.3">
      <c r="B242" s="24"/>
      <c r="C242" s="34" t="s">
        <v>1265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1436</v>
      </c>
      <c r="L242" s="24"/>
      <c r="M242" s="24"/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1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43" spans="2:20" x14ac:dyDescent="0.3">
      <c r="B243" s="24" t="s">
        <v>1209</v>
      </c>
      <c r="C243" s="34" t="s">
        <v>1265</v>
      </c>
      <c r="D243" s="24">
        <v>1</v>
      </c>
      <c r="E243" s="24"/>
      <c r="F243" s="24">
        <v>0</v>
      </c>
      <c r="G243" s="24" t="s">
        <v>151</v>
      </c>
      <c r="H243" s="24" t="s">
        <v>1150</v>
      </c>
      <c r="I243" s="24"/>
      <c r="J243" s="24"/>
      <c r="K243" s="24"/>
      <c r="L243" s="24"/>
      <c r="M243" s="24" t="s">
        <v>448</v>
      </c>
      <c r="N243" s="24"/>
      <c r="O243" s="24"/>
      <c r="P243" s="26">
        <f>GET_OK_GROUPS_COUNT(tbStoryEnemy[[#This Row],[Camp]],tbStoryEnemy[[#This Row],[Difficulty]],tbStoryEnemy[[#This Row],[IsBoss]],tbStoryEnemy[[#This Row],[Hero1]:[Soldier3]])</f>
        <v>3</v>
      </c>
      <c r="Q243" s="24">
        <v>2</v>
      </c>
      <c r="R243" s="25" t="s">
        <v>912</v>
      </c>
      <c r="S243" s="24"/>
      <c r="T243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44" spans="2:20" x14ac:dyDescent="0.3">
      <c r="B244" s="24"/>
      <c r="C244" s="34" t="s">
        <v>1265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1482</v>
      </c>
      <c r="K244" s="24"/>
      <c r="L244" s="24"/>
      <c r="M244" s="24"/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3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45" spans="2:20" x14ac:dyDescent="0.3">
      <c r="B245" s="24" t="s">
        <v>1210</v>
      </c>
      <c r="C245" s="34" t="s">
        <v>1265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55" t="s">
        <v>1659</v>
      </c>
      <c r="N245" s="24" t="s">
        <v>25</v>
      </c>
      <c r="O245" s="24"/>
      <c r="P245" s="26">
        <f>GET_OK_GROUPS_COUNT(tbStoryEnemy[[#This Row],[Camp]],tbStoryEnemy[[#This Row],[Difficulty]],tbStoryEnemy[[#This Row],[IsBoss]],tbStoryEnemy[[#This Row],[Hero1]:[Soldier3]])</f>
        <v>5</v>
      </c>
      <c r="Q245" s="24">
        <v>3</v>
      </c>
      <c r="R245" s="25" t="s">
        <v>912</v>
      </c>
      <c r="S245" s="24"/>
      <c r="T245" s="26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246" spans="2:20" x14ac:dyDescent="0.3">
      <c r="B246" s="24"/>
      <c r="C246" s="34" t="s">
        <v>1265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1454</v>
      </c>
      <c r="K246" s="24"/>
      <c r="L246" s="24"/>
      <c r="M246" s="24"/>
      <c r="N246" s="24"/>
      <c r="O246" s="24"/>
      <c r="P246" s="26">
        <f>GET_OK_GROUPS_COUNT(tbStoryEnemy[[#This Row],[Camp]],tbStoryEnemy[[#This Row],[Difficulty]],tbStoryEnemy[[#This Row],[IsBoss]],tbStoryEnemy[[#This Row],[Hero1]:[Soldier3]])</f>
        <v>3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47" spans="2:20" x14ac:dyDescent="0.3">
      <c r="B247" s="24" t="s">
        <v>1211</v>
      </c>
      <c r="C247" s="34" t="s">
        <v>1265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 t="s">
        <v>1491</v>
      </c>
      <c r="K247" s="24"/>
      <c r="L247" s="24"/>
      <c r="M247" s="24"/>
      <c r="N247" s="24"/>
      <c r="O247" s="24"/>
      <c r="P247" s="26">
        <f>GET_OK_GROUPS_COUNT(tbStoryEnemy[[#This Row],[Camp]],tbStoryEnemy[[#This Row],[Difficulty]],tbStoryEnemy[[#This Row],[IsBoss]],tbStoryEnemy[[#This Row],[Hero1]:[Soldier3]])</f>
        <v>3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48" spans="2:20" x14ac:dyDescent="0.3">
      <c r="B248" s="24"/>
      <c r="C248" s="34" t="s">
        <v>1265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1482</v>
      </c>
      <c r="L248" s="24" t="s">
        <v>1454</v>
      </c>
      <c r="M248" s="24"/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1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9" spans="2:20" x14ac:dyDescent="0.3">
      <c r="B249" s="24" t="s">
        <v>718</v>
      </c>
      <c r="C249" s="34" t="s">
        <v>1265</v>
      </c>
      <c r="D249" s="24">
        <v>1</v>
      </c>
      <c r="E249" s="24"/>
      <c r="F249" s="24">
        <v>0</v>
      </c>
      <c r="G249" s="24" t="s">
        <v>151</v>
      </c>
      <c r="H249" s="24" t="s">
        <v>1150</v>
      </c>
      <c r="I249" s="24"/>
      <c r="J249" s="24"/>
      <c r="K249" s="24"/>
      <c r="L249" s="24"/>
      <c r="M249" s="55" t="s">
        <v>1660</v>
      </c>
      <c r="N249" s="55" t="s">
        <v>1659</v>
      </c>
      <c r="O249" s="24"/>
      <c r="P249" s="26">
        <f>GET_OK_GROUPS_COUNT(tbStoryEnemy[[#This Row],[Camp]],tbStoryEnemy[[#This Row],[Difficulty]],tbStoryEnemy[[#This Row],[IsBoss]],tbStoryEnemy[[#This Row],[Hero1]:[Soldier3]])</f>
        <v>1</v>
      </c>
      <c r="Q249" s="24">
        <v>1</v>
      </c>
      <c r="R249" s="25" t="s">
        <v>912</v>
      </c>
      <c r="S249" s="24"/>
      <c r="T249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50" spans="2:20" x14ac:dyDescent="0.3">
      <c r="B250" s="24"/>
      <c r="C250" s="34" t="s">
        <v>1265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1423</v>
      </c>
      <c r="K250" s="24"/>
      <c r="L250" s="24"/>
      <c r="M250" s="55" t="s">
        <v>1659</v>
      </c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1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1" spans="2:20" x14ac:dyDescent="0.3">
      <c r="B251" s="24" t="s">
        <v>719</v>
      </c>
      <c r="C251" s="34" t="s">
        <v>1265</v>
      </c>
      <c r="D251" s="24">
        <v>1</v>
      </c>
      <c r="E251" s="24"/>
      <c r="F251" s="24">
        <v>0</v>
      </c>
      <c r="G251" s="24" t="s">
        <v>151</v>
      </c>
      <c r="H251" s="24" t="s">
        <v>1150</v>
      </c>
      <c r="I251" s="24"/>
      <c r="J251" s="24"/>
      <c r="K251" s="24"/>
      <c r="L251" s="24"/>
      <c r="M251" s="24" t="s">
        <v>34</v>
      </c>
      <c r="N251" s="55" t="s">
        <v>1659</v>
      </c>
      <c r="O251" s="24"/>
      <c r="P251" s="26">
        <f>GET_OK_GROUPS_COUNT(tbStoryEnemy[[#This Row],[Camp]],tbStoryEnemy[[#This Row],[Difficulty]],tbStoryEnemy[[#This Row],[IsBoss]],tbStoryEnemy[[#This Row],[Hero1]:[Soldier3]])</f>
        <v>1</v>
      </c>
      <c r="Q251" s="24">
        <v>1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52" spans="2:20" x14ac:dyDescent="0.3">
      <c r="B252" s="24"/>
      <c r="C252" s="34" t="s">
        <v>1265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1430</v>
      </c>
      <c r="K252" s="24"/>
      <c r="L252" s="24"/>
      <c r="M252" s="24"/>
      <c r="N252" s="24" t="s">
        <v>448</v>
      </c>
      <c r="O252" s="24"/>
      <c r="P252" s="26">
        <f>GET_OK_GROUPS_COUNT(tbStoryEnemy[[#This Row],[Camp]],tbStoryEnemy[[#This Row],[Difficulty]],tbStoryEnemy[[#This Row],[IsBoss]],tbStoryEnemy[[#This Row],[Hero1]:[Soldier3]])</f>
        <v>1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3" spans="2:20" x14ac:dyDescent="0.3">
      <c r="B253" s="24" t="s">
        <v>720</v>
      </c>
      <c r="C253" s="34" t="s">
        <v>1265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 t="s">
        <v>1425</v>
      </c>
      <c r="K253" s="24"/>
      <c r="L253" s="24"/>
      <c r="M253" s="24"/>
      <c r="N253" s="24"/>
      <c r="O253" s="24"/>
      <c r="P253" s="26">
        <f>GET_OK_GROUPS_COUNT(tbStoryEnemy[[#This Row],[Camp]],tbStoryEnemy[[#This Row],[Difficulty]],tbStoryEnemy[[#This Row],[IsBoss]],tbStoryEnemy[[#This Row],[Hero1]:[Soldier3]])</f>
        <v>3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4" spans="2:20" x14ac:dyDescent="0.3">
      <c r="B254" s="24"/>
      <c r="C254" s="34" t="s">
        <v>1265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1423</v>
      </c>
      <c r="L254" s="24"/>
      <c r="M254" s="24"/>
      <c r="N254" s="24"/>
      <c r="O254" s="24"/>
      <c r="P254" s="26">
        <f>GET_OK_GROUPS_COUNT(tbStoryEnemy[[#This Row],[Camp]],tbStoryEnemy[[#This Row],[Difficulty]],tbStoryEnemy[[#This Row],[IsBoss]],tbStoryEnemy[[#This Row],[Hero1]:[Soldier3]])</f>
        <v>1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5" spans="2:20" x14ac:dyDescent="0.3">
      <c r="B255" s="24" t="s">
        <v>721</v>
      </c>
      <c r="C255" s="34" t="s">
        <v>1265</v>
      </c>
      <c r="D255" s="24">
        <v>1</v>
      </c>
      <c r="E255" s="24"/>
      <c r="F255" s="24">
        <v>0</v>
      </c>
      <c r="G255" s="24" t="s">
        <v>151</v>
      </c>
      <c r="H255" s="24" t="s">
        <v>1150</v>
      </c>
      <c r="I255" s="24"/>
      <c r="J255" s="24"/>
      <c r="K255" s="24"/>
      <c r="L255" s="24"/>
      <c r="M255" s="55" t="s">
        <v>1660</v>
      </c>
      <c r="N255" s="55" t="s">
        <v>1661</v>
      </c>
      <c r="O255" s="24"/>
      <c r="P255" s="26">
        <f>GET_OK_GROUPS_COUNT(tbStoryEnemy[[#This Row],[Camp]],tbStoryEnemy[[#This Row],[Difficulty]],tbStoryEnemy[[#This Row],[IsBoss]],tbStoryEnemy[[#This Row],[Hero1]:[Soldier3]])</f>
        <v>1</v>
      </c>
      <c r="Q255" s="24">
        <v>1</v>
      </c>
      <c r="R255" s="25" t="s">
        <v>912</v>
      </c>
      <c r="S255" s="24"/>
      <c r="T2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6" spans="2:20" x14ac:dyDescent="0.3">
      <c r="B256" s="24"/>
      <c r="C256" s="34" t="s">
        <v>1265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1460</v>
      </c>
      <c r="K256" s="24"/>
      <c r="L256" s="24"/>
      <c r="M256" s="55" t="s">
        <v>1661</v>
      </c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1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57" spans="2:20" x14ac:dyDescent="0.3">
      <c r="B257" s="24" t="s">
        <v>722</v>
      </c>
      <c r="C257" s="34" t="s">
        <v>1265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55" t="s">
        <v>1662</v>
      </c>
      <c r="K257" s="24"/>
      <c r="L257" s="24"/>
      <c r="M257" s="24"/>
      <c r="N257" s="24"/>
      <c r="O257" s="24"/>
      <c r="P257" s="26">
        <f>GET_OK_GROUPS_COUNT(tbStoryEnemy[[#This Row],[Camp]],tbStoryEnemy[[#This Row],[Difficulty]],tbStoryEnemy[[#This Row],[IsBoss]],tbStoryEnemy[[#This Row],[Hero1]:[Soldier3]])</f>
        <v>3</v>
      </c>
      <c r="Q257" s="24">
        <v>3</v>
      </c>
      <c r="R257" s="25" t="s">
        <v>912</v>
      </c>
      <c r="S257" s="24"/>
      <c r="T25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58" spans="2:20" x14ac:dyDescent="0.3">
      <c r="B258" s="24"/>
      <c r="C258" s="34" t="s">
        <v>1265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1433</v>
      </c>
      <c r="K258" s="24"/>
      <c r="L258" s="24"/>
      <c r="M258" s="24" t="s">
        <v>448</v>
      </c>
      <c r="N258" s="24"/>
      <c r="O258" s="24"/>
      <c r="P258" s="26">
        <f>GET_OK_GROUPS_COUNT(tbStoryEnemy[[#This Row],[Camp]],tbStoryEnemy[[#This Row],[Difficulty]],tbStoryEnemy[[#This Row],[IsBoss]],tbStoryEnemy[[#This Row],[Hero1]:[Soldier3]])</f>
        <v>1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59" spans="2:20" x14ac:dyDescent="0.3">
      <c r="B259" s="24" t="s">
        <v>723</v>
      </c>
      <c r="C259" s="34" t="s">
        <v>1265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 t="s">
        <v>1438</v>
      </c>
      <c r="K259" s="24"/>
      <c r="L259" s="24"/>
      <c r="M259" s="24"/>
      <c r="N259" s="24"/>
      <c r="O259" s="24"/>
      <c r="P259" s="26">
        <f>GET_OK_GROUPS_COUNT(tbStoryEnemy[[#This Row],[Camp]],tbStoryEnemy[[#This Row],[Difficulty]],tbStoryEnemy[[#This Row],[IsBoss]],tbStoryEnemy[[#This Row],[Hero1]:[Soldier3]])</f>
        <v>3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0" spans="2:20" x14ac:dyDescent="0.3">
      <c r="B260" s="24"/>
      <c r="C260" s="34" t="s">
        <v>1265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1460</v>
      </c>
      <c r="L260" s="55" t="s">
        <v>1662</v>
      </c>
      <c r="M260" s="24"/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1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261" spans="2:20" x14ac:dyDescent="0.3">
      <c r="B261" s="24" t="s">
        <v>724</v>
      </c>
      <c r="C261" s="34" t="s">
        <v>1265</v>
      </c>
      <c r="D261" s="24">
        <v>1</v>
      </c>
      <c r="E261" s="24"/>
      <c r="F261" s="24">
        <v>0</v>
      </c>
      <c r="G261" s="24" t="s">
        <v>151</v>
      </c>
      <c r="H261" s="24" t="s">
        <v>1150</v>
      </c>
      <c r="I261" s="24"/>
      <c r="J261" s="24"/>
      <c r="K261" s="24"/>
      <c r="L261" s="24"/>
      <c r="M261" s="24" t="s">
        <v>447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3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2" spans="2:20" x14ac:dyDescent="0.3">
      <c r="B262" s="24"/>
      <c r="C262" s="34" t="s">
        <v>1265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1485</v>
      </c>
      <c r="K262" s="24"/>
      <c r="L262" s="24"/>
      <c r="M262" s="55" t="s">
        <v>1663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24" t="s">
        <v>725</v>
      </c>
      <c r="C263" s="34" t="s">
        <v>1265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 t="s">
        <v>1485</v>
      </c>
      <c r="K263" s="24" t="s">
        <v>1456</v>
      </c>
      <c r="L263" s="24"/>
      <c r="M263" s="24"/>
      <c r="N263" s="24"/>
      <c r="O263" s="24"/>
      <c r="P263" s="26">
        <f>GET_OK_GROUPS_COUNT(tbStoryEnemy[[#This Row],[Camp]],tbStoryEnemy[[#This Row],[Difficulty]],tbStoryEnemy[[#This Row],[IsBoss]],tbStoryEnemy[[#This Row],[Hero1]:[Soldier3]])</f>
        <v>1</v>
      </c>
      <c r="Q263" s="24">
        <v>1</v>
      </c>
      <c r="R263" s="25" t="s">
        <v>912</v>
      </c>
      <c r="S263" s="24"/>
      <c r="T263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4" spans="2:20" x14ac:dyDescent="0.3">
      <c r="B264" s="24"/>
      <c r="C264" s="34" t="s">
        <v>1265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1485</v>
      </c>
      <c r="K264" s="24" t="s">
        <v>1456</v>
      </c>
      <c r="L264" s="24"/>
      <c r="M264" s="24"/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1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5" spans="2:20" x14ac:dyDescent="0.3">
      <c r="B265" s="24" t="s">
        <v>726</v>
      </c>
      <c r="C265" s="34" t="s">
        <v>1265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 t="s">
        <v>1492</v>
      </c>
      <c r="K265" s="24" t="s">
        <v>1456</v>
      </c>
      <c r="L265" s="24"/>
      <c r="M265" s="24"/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1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三国-困难-强英+炼英</v>
      </c>
    </row>
    <row r="266" spans="2:20" x14ac:dyDescent="0.3">
      <c r="B266" s="24"/>
      <c r="C266" s="34" t="s">
        <v>1265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1485</v>
      </c>
      <c r="L266" s="24" t="s">
        <v>1456</v>
      </c>
      <c r="M266" s="24"/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1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67" spans="2:20" x14ac:dyDescent="0.3">
      <c r="B267" s="24" t="s">
        <v>727</v>
      </c>
      <c r="C267" s="34" t="s">
        <v>1265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/>
      <c r="K267" s="24"/>
      <c r="L267" s="24"/>
      <c r="M267" s="55" t="s">
        <v>1664</v>
      </c>
      <c r="N267" s="24"/>
      <c r="O267" s="24"/>
      <c r="P267" s="26">
        <f>GET_OK_GROUPS_COUNT(tbStoryEnemy[[#This Row],[Camp]],tbStoryEnemy[[#This Row],[Difficulty]],tbStoryEnemy[[#This Row],[IsBoss]],tbStoryEnemy[[#This Row],[Hero1]:[Soldier3]])</f>
        <v>1</v>
      </c>
      <c r="Q267" s="24">
        <v>1</v>
      </c>
      <c r="R267" s="25" t="s">
        <v>912</v>
      </c>
      <c r="S267" s="24"/>
      <c r="T26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268" spans="2:20" x14ac:dyDescent="0.3">
      <c r="B268" s="24"/>
      <c r="C268" s="34" t="s">
        <v>1265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1452</v>
      </c>
      <c r="K268" s="24"/>
      <c r="L268" s="24"/>
      <c r="M268" s="24" t="s">
        <v>34</v>
      </c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69" spans="2:20" x14ac:dyDescent="0.3">
      <c r="B269" s="24" t="s">
        <v>728</v>
      </c>
      <c r="C269" s="34" t="s">
        <v>1265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/>
      <c r="K269" s="24"/>
      <c r="L269" s="24"/>
      <c r="M269" s="55" t="s">
        <v>1665</v>
      </c>
      <c r="N269" s="55" t="s">
        <v>1666</v>
      </c>
      <c r="O269" s="24"/>
      <c r="P269" s="26">
        <f>GET_OK_GROUPS_COUNT(tbStoryEnemy[[#This Row],[Camp]],tbStoryEnemy[[#This Row],[Difficulty]],tbStoryEnemy[[#This Row],[IsBoss]],tbStoryEnemy[[#This Row],[Hero1]:[Soldier3]])</f>
        <v>5</v>
      </c>
      <c r="Q269" s="24">
        <v>1</v>
      </c>
      <c r="R269" s="25" t="s">
        <v>912</v>
      </c>
      <c r="S269" s="24"/>
      <c r="T2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0" spans="2:20" x14ac:dyDescent="0.3">
      <c r="B270" s="24"/>
      <c r="C270" s="34" t="s">
        <v>1265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1451</v>
      </c>
      <c r="K270" s="24" t="s">
        <v>1452</v>
      </c>
      <c r="L270" s="24" t="s">
        <v>1485</v>
      </c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1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271" spans="2:20" x14ac:dyDescent="0.3">
      <c r="B271" s="24" t="s">
        <v>729</v>
      </c>
      <c r="C271" s="34" t="s">
        <v>1265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1483</v>
      </c>
      <c r="K271" s="24" t="s">
        <v>1451</v>
      </c>
      <c r="L271" s="24" t="s">
        <v>1452</v>
      </c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1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2" spans="2:20" x14ac:dyDescent="0.3">
      <c r="B272" s="24"/>
      <c r="C272" s="34" t="s">
        <v>1265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1452</v>
      </c>
      <c r="L272" s="24" t="s">
        <v>1485</v>
      </c>
      <c r="M272" s="24"/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1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273" spans="2:20" x14ac:dyDescent="0.3">
      <c r="B273" s="24" t="s">
        <v>730</v>
      </c>
      <c r="C273" s="34" t="s">
        <v>1265</v>
      </c>
      <c r="D273" s="24">
        <v>1</v>
      </c>
      <c r="E273" s="24"/>
      <c r="F273" s="24">
        <v>0</v>
      </c>
      <c r="G273" s="24" t="s">
        <v>151</v>
      </c>
      <c r="H273" s="24" t="s">
        <v>1150</v>
      </c>
      <c r="I273" s="24"/>
      <c r="J273" s="24"/>
      <c r="K273" s="24"/>
      <c r="L273" s="24"/>
      <c r="M273" s="55" t="s">
        <v>1660</v>
      </c>
      <c r="N273" s="55" t="s">
        <v>1666</v>
      </c>
      <c r="O273" s="24"/>
      <c r="P273" s="26">
        <f>GET_OK_GROUPS_COUNT(tbStoryEnemy[[#This Row],[Camp]],tbStoryEnemy[[#This Row],[Difficulty]],tbStoryEnemy[[#This Row],[IsBoss]],tbStoryEnemy[[#This Row],[Hero1]:[Soldier3]])</f>
        <v>1</v>
      </c>
      <c r="Q273" s="24">
        <v>1</v>
      </c>
      <c r="R273" s="25" t="s">
        <v>912</v>
      </c>
      <c r="S273" s="24"/>
      <c r="T27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B274" s="24"/>
      <c r="C274" s="34" t="s">
        <v>1265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1452</v>
      </c>
      <c r="K274" s="24"/>
      <c r="L274" s="24"/>
      <c r="M274" s="55" t="s">
        <v>1660</v>
      </c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1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75" spans="2:20" x14ac:dyDescent="0.3">
      <c r="B275" s="24" t="s">
        <v>731</v>
      </c>
      <c r="C275" s="34" t="s">
        <v>1265</v>
      </c>
      <c r="D275" s="24">
        <v>1</v>
      </c>
      <c r="E275" s="24"/>
      <c r="F275" s="24">
        <v>0</v>
      </c>
      <c r="G275" s="24" t="s">
        <v>151</v>
      </c>
      <c r="H275" s="24" t="s">
        <v>1150</v>
      </c>
      <c r="I275" s="24"/>
      <c r="J275" s="24"/>
      <c r="K275" s="24"/>
      <c r="L275" s="24"/>
      <c r="M275" s="55" t="s">
        <v>1665</v>
      </c>
      <c r="N275" s="55" t="s">
        <v>1666</v>
      </c>
      <c r="O275" s="24"/>
      <c r="P275" s="26">
        <f>GET_OK_GROUPS_COUNT(tbStoryEnemy[[#This Row],[Camp]],tbStoryEnemy[[#This Row],[Difficulty]],tbStoryEnemy[[#This Row],[IsBoss]],tbStoryEnemy[[#This Row],[Hero1]:[Soldier3]])</f>
        <v>1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6" spans="2:20" x14ac:dyDescent="0.3">
      <c r="B276" s="24"/>
      <c r="C276" s="34" t="s">
        <v>1265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1451</v>
      </c>
      <c r="K276" s="24"/>
      <c r="L276" s="24"/>
      <c r="M276" s="55" t="s">
        <v>1665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1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7" spans="2:20" x14ac:dyDescent="0.3">
      <c r="B277" s="24" t="s">
        <v>732</v>
      </c>
      <c r="C277" s="34" t="s">
        <v>1265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 t="s">
        <v>393</v>
      </c>
      <c r="K277" s="24"/>
      <c r="L277" s="24"/>
      <c r="M277" s="55" t="s">
        <v>1665</v>
      </c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1</v>
      </c>
      <c r="Q277" s="24">
        <v>1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78" spans="2:20" x14ac:dyDescent="0.3">
      <c r="B278" s="24"/>
      <c r="C278" s="34" t="s">
        <v>1265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1452</v>
      </c>
      <c r="L278" s="24"/>
      <c r="M278" s="24"/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1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>三国-困难-[B]炼英+法英</v>
      </c>
    </row>
    <row r="279" spans="2:20" x14ac:dyDescent="0.3">
      <c r="B279" s="24" t="s">
        <v>733</v>
      </c>
      <c r="C279" s="34" t="s">
        <v>1265</v>
      </c>
      <c r="D279" s="24">
        <v>1</v>
      </c>
      <c r="E279" s="24"/>
      <c r="F279" s="24">
        <v>0</v>
      </c>
      <c r="G279" s="24" t="s">
        <v>151</v>
      </c>
      <c r="H279" s="24" t="s">
        <v>1150</v>
      </c>
      <c r="I279" s="24"/>
      <c r="J279" s="24"/>
      <c r="K279" s="24"/>
      <c r="L279" s="24"/>
      <c r="M279" s="55" t="s">
        <v>1665</v>
      </c>
      <c r="N279" s="55" t="s">
        <v>1659</v>
      </c>
      <c r="O279" s="24"/>
      <c r="P279" s="26">
        <f>GET_OK_GROUPS_COUNT(tbStoryEnemy[[#This Row],[Camp]],tbStoryEnemy[[#This Row],[Difficulty]],tbStoryEnemy[[#This Row],[IsBoss]],tbStoryEnemy[[#This Row],[Hero1]:[Soldier3]])</f>
        <v>1</v>
      </c>
      <c r="Q279" s="24">
        <v>1</v>
      </c>
      <c r="R279" s="25" t="s">
        <v>912</v>
      </c>
      <c r="S279" s="24"/>
      <c r="T279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0" spans="2:20" x14ac:dyDescent="0.3">
      <c r="B280" s="24"/>
      <c r="C280" s="34" t="s">
        <v>1265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1442</v>
      </c>
      <c r="K280" s="24"/>
      <c r="L280" s="24"/>
      <c r="M280" s="55" t="s">
        <v>1659</v>
      </c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1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81" spans="2:20" x14ac:dyDescent="0.3">
      <c r="B281" s="24" t="s">
        <v>734</v>
      </c>
      <c r="C281" s="34" t="s">
        <v>1265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/>
      <c r="K281" s="24"/>
      <c r="L281" s="24"/>
      <c r="M281" s="24" t="s">
        <v>34</v>
      </c>
      <c r="N281" s="55" t="s">
        <v>1661</v>
      </c>
      <c r="O281" s="24"/>
      <c r="P281" s="26">
        <f>GET_OK_GROUPS_COUNT(tbStoryEnemy[[#This Row],[Camp]],tbStoryEnemy[[#This Row],[Difficulty]],tbStoryEnemy[[#This Row],[IsBoss]],tbStoryEnemy[[#This Row],[Hero1]:[Soldier3]])</f>
        <v>5</v>
      </c>
      <c r="Q281" s="24">
        <v>1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2" spans="2:20" x14ac:dyDescent="0.3">
      <c r="B282" s="24"/>
      <c r="C282" s="34" t="s">
        <v>1265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1569</v>
      </c>
      <c r="K282" s="24"/>
      <c r="L282" s="24"/>
      <c r="M282" s="55" t="s">
        <v>1665</v>
      </c>
      <c r="N282" s="24"/>
      <c r="O282" s="24"/>
      <c r="P282" s="26">
        <f>GET_OK_GROUPS_COUNT(tbStoryEnemy[[#This Row],[Camp]],tbStoryEnemy[[#This Row],[Difficulty]],tbStoryEnemy[[#This Row],[IsBoss]],tbStoryEnemy[[#This Row],[Hero1]:[Soldier3]])</f>
        <v>1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83" spans="2:20" x14ac:dyDescent="0.3">
      <c r="B283" s="24" t="s">
        <v>735</v>
      </c>
      <c r="C283" s="34" t="s">
        <v>1265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 t="s">
        <v>1457</v>
      </c>
      <c r="K283" s="24"/>
      <c r="L283" s="24"/>
      <c r="M283" s="24"/>
      <c r="N283" s="24"/>
      <c r="O283" s="24"/>
      <c r="P283" s="26">
        <f>GET_OK_GROUPS_COUNT(tbStoryEnemy[[#This Row],[Camp]],tbStoryEnemy[[#This Row],[Difficulty]],tbStoryEnemy[[#This Row],[IsBoss]],tbStoryEnemy[[#This Row],[Hero1]:[Soldier3]])</f>
        <v>4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4" spans="2:20" x14ac:dyDescent="0.3">
      <c r="B284" s="24"/>
      <c r="C284" s="34" t="s">
        <v>1265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1579</v>
      </c>
      <c r="L284" s="24" t="s">
        <v>1569</v>
      </c>
      <c r="M284" s="24"/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1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85" spans="2:20" x14ac:dyDescent="0.3">
      <c r="B285" s="24" t="s">
        <v>736</v>
      </c>
      <c r="C285" s="34" t="s">
        <v>1265</v>
      </c>
      <c r="D285" s="24">
        <v>1</v>
      </c>
      <c r="E285" s="24"/>
      <c r="F285" s="24">
        <v>0</v>
      </c>
      <c r="G285" s="24" t="s">
        <v>151</v>
      </c>
      <c r="H285" s="24" t="s">
        <v>1150</v>
      </c>
      <c r="I285" s="24"/>
      <c r="J285" s="24"/>
      <c r="K285" s="24"/>
      <c r="L285" s="24"/>
      <c r="M285" s="55" t="s">
        <v>1665</v>
      </c>
      <c r="N285" s="55" t="s">
        <v>1663</v>
      </c>
      <c r="O285" s="24"/>
      <c r="P285" s="26">
        <f>GET_OK_GROUPS_COUNT(tbStoryEnemy[[#This Row],[Camp]],tbStoryEnemy[[#This Row],[Difficulty]],tbStoryEnemy[[#This Row],[IsBoss]],tbStoryEnemy[[#This Row],[Hero1]:[Soldier3]])</f>
        <v>1</v>
      </c>
      <c r="Q285" s="24">
        <v>1</v>
      </c>
      <c r="R285" s="25" t="s">
        <v>912</v>
      </c>
      <c r="S285" s="24"/>
      <c r="T28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6" spans="2:20" x14ac:dyDescent="0.3">
      <c r="B286" s="24"/>
      <c r="C286" s="34" t="s">
        <v>1265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1436</v>
      </c>
      <c r="K286" s="24"/>
      <c r="L286" s="24"/>
      <c r="M286" s="24" t="s">
        <v>447</v>
      </c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7" spans="2:20" x14ac:dyDescent="0.3">
      <c r="B287" s="24" t="s">
        <v>737</v>
      </c>
      <c r="C287" s="34" t="s">
        <v>1265</v>
      </c>
      <c r="D287" s="24">
        <v>1</v>
      </c>
      <c r="E287" s="24"/>
      <c r="F287" s="24">
        <v>0</v>
      </c>
      <c r="G287" s="24" t="s">
        <v>151</v>
      </c>
      <c r="H287" s="24" t="s">
        <v>1150</v>
      </c>
      <c r="I287" s="24"/>
      <c r="J287" s="24"/>
      <c r="K287" s="24"/>
      <c r="L287" s="24"/>
      <c r="M287" s="55" t="s">
        <v>1660</v>
      </c>
      <c r="N287" s="55" t="s">
        <v>1661</v>
      </c>
      <c r="O287" s="24"/>
      <c r="P287" s="26">
        <f>GET_OK_GROUPS_COUNT(tbStoryEnemy[[#This Row],[Camp]],tbStoryEnemy[[#This Row],[Difficulty]],tbStoryEnemy[[#This Row],[IsBoss]],tbStoryEnemy[[#This Row],[Hero1]:[Soldier3]])</f>
        <v>1</v>
      </c>
      <c r="Q287" s="24">
        <v>1</v>
      </c>
      <c r="R287" s="25" t="s">
        <v>912</v>
      </c>
      <c r="S287" s="24"/>
      <c r="T2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20" x14ac:dyDescent="0.3">
      <c r="B288" s="24"/>
      <c r="C288" s="34" t="s">
        <v>1265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1437</v>
      </c>
      <c r="K288" s="24"/>
      <c r="L288" s="24"/>
      <c r="M288" s="24" t="s">
        <v>26</v>
      </c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89" spans="2:20" x14ac:dyDescent="0.3">
      <c r="B289" s="24" t="s">
        <v>738</v>
      </c>
      <c r="C289" s="34" t="s">
        <v>1265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1427</v>
      </c>
      <c r="K289" s="24"/>
      <c r="L289" s="24"/>
      <c r="M289" s="24"/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3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0" spans="2:20" x14ac:dyDescent="0.3">
      <c r="B290" s="24"/>
      <c r="C290" s="34" t="s">
        <v>1265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348</v>
      </c>
      <c r="K290" s="24" t="s">
        <v>1436</v>
      </c>
      <c r="L290" s="24"/>
      <c r="M290" s="24"/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1</v>
      </c>
      <c r="Q290" s="24">
        <v>1</v>
      </c>
      <c r="R290" s="56" t="s">
        <v>1667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91" spans="2:20" x14ac:dyDescent="0.3">
      <c r="B291" s="24" t="s">
        <v>739</v>
      </c>
      <c r="C291" s="34" t="s">
        <v>1265</v>
      </c>
      <c r="D291" s="24">
        <v>1</v>
      </c>
      <c r="E291" s="24"/>
      <c r="F291" s="24">
        <v>0</v>
      </c>
      <c r="G291" s="24" t="s">
        <v>151</v>
      </c>
      <c r="H291" s="24" t="s">
        <v>1150</v>
      </c>
      <c r="I291" s="24"/>
      <c r="J291" s="24"/>
      <c r="K291" s="24"/>
      <c r="L291" s="24"/>
      <c r="M291" s="55" t="s">
        <v>1665</v>
      </c>
      <c r="N291" s="55" t="s">
        <v>1661</v>
      </c>
      <c r="O291" s="24"/>
      <c r="P291" s="26">
        <f>GET_OK_GROUPS_COUNT(tbStoryEnemy[[#This Row],[Camp]],tbStoryEnemy[[#This Row],[Difficulty]],tbStoryEnemy[[#This Row],[IsBoss]],tbStoryEnemy[[#This Row],[Hero1]:[Soldier3]])</f>
        <v>1</v>
      </c>
      <c r="Q291" s="24">
        <v>1</v>
      </c>
      <c r="R291" s="25" t="s">
        <v>912</v>
      </c>
      <c r="S291" s="24"/>
      <c r="T29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B292" s="24"/>
      <c r="C292" s="34" t="s">
        <v>1265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1482</v>
      </c>
      <c r="K292" s="24"/>
      <c r="L292" s="24"/>
      <c r="M292" s="24" t="s">
        <v>34</v>
      </c>
      <c r="N292" s="24"/>
      <c r="O292" s="24"/>
      <c r="P292" s="26">
        <f>GET_OK_GROUPS_COUNT(tbStoryEnemy[[#This Row],[Camp]],tbStoryEnemy[[#This Row],[Difficulty]],tbStoryEnemy[[#This Row],[IsBoss]],tbStoryEnemy[[#This Row],[Hero1]:[Soldier3]])</f>
        <v>1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3" spans="2:20" x14ac:dyDescent="0.3">
      <c r="B293" s="24" t="s">
        <v>740</v>
      </c>
      <c r="C293" s="34" t="s">
        <v>1265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55" t="s">
        <v>1663</v>
      </c>
      <c r="O293" s="24"/>
      <c r="P293" s="26">
        <f>GET_OK_GROUPS_COUNT(tbStoryEnemy[[#This Row],[Camp]],tbStoryEnemy[[#This Row],[Difficulty]],tbStoryEnemy[[#This Row],[IsBoss]],tbStoryEnemy[[#This Row],[Hero1]:[Soldier3]])</f>
        <v>5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4" spans="2:20" x14ac:dyDescent="0.3">
      <c r="B294" s="24"/>
      <c r="C294" s="34" t="s">
        <v>1265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1454</v>
      </c>
      <c r="K294" s="24"/>
      <c r="L294" s="24"/>
      <c r="M294" s="24" t="s">
        <v>25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5" spans="2:20" x14ac:dyDescent="0.3">
      <c r="B295" s="24" t="s">
        <v>741</v>
      </c>
      <c r="C295" s="34" t="s">
        <v>1265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 t="s">
        <v>1548</v>
      </c>
      <c r="K295" s="24"/>
      <c r="L295" s="24"/>
      <c r="M295" s="24"/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3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96" spans="2:20" x14ac:dyDescent="0.3">
      <c r="B296" s="24"/>
      <c r="C296" s="34" t="s">
        <v>1265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1485</v>
      </c>
      <c r="L296" s="24" t="s">
        <v>1456</v>
      </c>
      <c r="M296" s="24"/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1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97" spans="2:20" x14ac:dyDescent="0.3">
      <c r="B297" s="24" t="s">
        <v>742</v>
      </c>
      <c r="C297" s="34" t="s">
        <v>1265</v>
      </c>
      <c r="D297" s="24">
        <v>1</v>
      </c>
      <c r="E297" s="24"/>
      <c r="F297" s="24">
        <v>0</v>
      </c>
      <c r="G297" s="24" t="s">
        <v>151</v>
      </c>
      <c r="H297" s="24" t="s">
        <v>1150</v>
      </c>
      <c r="I297" s="24"/>
      <c r="J297" s="24"/>
      <c r="K297" s="24"/>
      <c r="L297" s="24"/>
      <c r="M297" s="55" t="s">
        <v>1665</v>
      </c>
      <c r="N297" s="55" t="s">
        <v>1663</v>
      </c>
      <c r="O297" s="24"/>
      <c r="P297" s="26">
        <f>GET_OK_GROUPS_COUNT(tbStoryEnemy[[#This Row],[Camp]],tbStoryEnemy[[#This Row],[Difficulty]],tbStoryEnemy[[#This Row],[IsBoss]],tbStoryEnemy[[#This Row],[Hero1]:[Soldier3]])</f>
        <v>1</v>
      </c>
      <c r="Q297" s="24">
        <v>1</v>
      </c>
      <c r="R297" s="25" t="s">
        <v>912</v>
      </c>
      <c r="S297" s="24"/>
      <c r="T29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98" spans="2:20" x14ac:dyDescent="0.3">
      <c r="B298" s="24"/>
      <c r="C298" s="34" t="s">
        <v>1265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1461</v>
      </c>
      <c r="K298" s="24"/>
      <c r="L298" s="24"/>
      <c r="M298" s="55" t="s">
        <v>1663</v>
      </c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1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99" spans="2:20" x14ac:dyDescent="0.3">
      <c r="B299" s="24" t="s">
        <v>743</v>
      </c>
      <c r="C299" s="34" t="s">
        <v>1265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/>
      <c r="K299" s="24"/>
      <c r="L299" s="24"/>
      <c r="M299" s="55" t="s">
        <v>1660</v>
      </c>
      <c r="N299" s="55" t="s">
        <v>1661</v>
      </c>
      <c r="O299" s="24"/>
      <c r="P299" s="26">
        <f>GET_OK_GROUPS_COUNT(tbStoryEnemy[[#This Row],[Camp]],tbStoryEnemy[[#This Row],[Difficulty]],tbStoryEnemy[[#This Row],[IsBoss]],tbStoryEnemy[[#This Row],[Hero1]:[Soldier3]])</f>
        <v>5</v>
      </c>
      <c r="Q299" s="24">
        <v>2</v>
      </c>
      <c r="R299" s="25" t="s">
        <v>912</v>
      </c>
      <c r="S299" s="24"/>
      <c r="T29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0" spans="2:20" x14ac:dyDescent="0.3">
      <c r="B300" s="24"/>
      <c r="C300" s="34" t="s">
        <v>1265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1462</v>
      </c>
      <c r="K300" s="24"/>
      <c r="L300" s="24"/>
      <c r="M300" s="24"/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4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01" spans="2:20" x14ac:dyDescent="0.3">
      <c r="B301" s="24" t="s">
        <v>744</v>
      </c>
      <c r="C301" s="34" t="s">
        <v>1265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1464</v>
      </c>
      <c r="K301" s="24"/>
      <c r="L301" s="24"/>
      <c r="M301" s="24"/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3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2" spans="2:20" x14ac:dyDescent="0.3">
      <c r="B302" s="24"/>
      <c r="C302" s="34" t="s">
        <v>1265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1461</v>
      </c>
      <c r="L302" s="24" t="s">
        <v>1462</v>
      </c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3" spans="2:20" x14ac:dyDescent="0.3">
      <c r="B303" s="24" t="s">
        <v>745</v>
      </c>
      <c r="C303" s="34" t="s">
        <v>1265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/>
      <c r="K303" s="24"/>
      <c r="L303" s="24"/>
      <c r="M303" s="55" t="s">
        <v>1665</v>
      </c>
      <c r="N303" s="55" t="s">
        <v>1666</v>
      </c>
      <c r="O303" s="24"/>
      <c r="P303" s="26">
        <f>GET_OK_GROUPS_COUNT(tbStoryEnemy[[#This Row],[Camp]],tbStoryEnemy[[#This Row],[Difficulty]],tbStoryEnemy[[#This Row],[IsBoss]],tbStoryEnemy[[#This Row],[Hero1]:[Soldier3]])</f>
        <v>5</v>
      </c>
      <c r="Q303" s="24">
        <v>3</v>
      </c>
      <c r="R303" s="25" t="s">
        <v>912</v>
      </c>
      <c r="S303" s="24"/>
      <c r="T303" s="26" t="str">
        <f>GET_OK_GROUP(tbStoryEnemy[[#This Row],[Camp]],tbStoryEnemy[[#This Row],[Difficulty]],tbStoryEnemy[[#This Row],[IsBoss]],tbStoryEnemy[[#This Row],[Hero1]:[Soldier3]],tbStoryEnemy[[#This Row],[GroupID]])</f>
        <v>三国-困难-盾兵+强兵+法兵</v>
      </c>
    </row>
    <row r="304" spans="2:20" x14ac:dyDescent="0.3">
      <c r="B304" s="24"/>
      <c r="C304" s="34" t="s">
        <v>1265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1505</v>
      </c>
      <c r="K304" s="24"/>
      <c r="L304" s="24"/>
      <c r="M304" s="24" t="s">
        <v>28</v>
      </c>
      <c r="N304" s="24"/>
      <c r="O304" s="24"/>
      <c r="P304" s="26">
        <f>GET_OK_GROUPS_COUNT(tbStoryEnemy[[#This Row],[Camp]],tbStoryEnemy[[#This Row],[Difficulty]],tbStoryEnemy[[#This Row],[IsBoss]],tbStoryEnemy[[#This Row],[Hero1]:[Soldier3]])</f>
        <v>1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05" spans="2:20" x14ac:dyDescent="0.3">
      <c r="B305" s="24" t="s">
        <v>746</v>
      </c>
      <c r="C305" s="34" t="s">
        <v>1265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 t="s">
        <v>1504</v>
      </c>
      <c r="K305" s="24" t="s">
        <v>1505</v>
      </c>
      <c r="L305" s="24"/>
      <c r="M305" s="24"/>
      <c r="N305" s="24"/>
      <c r="O305" s="24"/>
      <c r="P305" s="26">
        <f>GET_OK_GROUPS_COUNT(tbStoryEnemy[[#This Row],[Camp]],tbStoryEnemy[[#This Row],[Difficulty]],tbStoryEnemy[[#This Row],[IsBoss]],tbStoryEnemy[[#This Row],[Hero1]:[Soldier3]])</f>
        <v>1</v>
      </c>
      <c r="Q305" s="24">
        <v>1</v>
      </c>
      <c r="R305" s="25" t="s">
        <v>912</v>
      </c>
      <c r="S305" s="24"/>
      <c r="T305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6" spans="2:20" x14ac:dyDescent="0.3">
      <c r="B306" s="24"/>
      <c r="C306" s="34" t="s">
        <v>1265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1504</v>
      </c>
      <c r="K306" s="24" t="s">
        <v>1505</v>
      </c>
      <c r="L306" s="24" t="s">
        <v>1482</v>
      </c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1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>三国-超难-盾英+强英+强英</v>
      </c>
    </row>
    <row r="307" spans="2:20" x14ac:dyDescent="0.3">
      <c r="B307" s="24" t="s">
        <v>747</v>
      </c>
      <c r="C307" s="34" t="s">
        <v>1265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1492</v>
      </c>
      <c r="K307" s="24" t="s">
        <v>1504</v>
      </c>
      <c r="L307" s="24" t="s">
        <v>1505</v>
      </c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1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308" spans="2:20" x14ac:dyDescent="0.3">
      <c r="B308" s="24"/>
      <c r="C308" s="34" t="s">
        <v>1265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1505</v>
      </c>
      <c r="L308" s="24" t="s">
        <v>1504</v>
      </c>
      <c r="M308" s="24"/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1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9" spans="2:20" x14ac:dyDescent="0.3">
      <c r="B309" s="24" t="s">
        <v>748</v>
      </c>
      <c r="C309" s="34" t="s">
        <v>1265</v>
      </c>
      <c r="D309" s="24">
        <v>1</v>
      </c>
      <c r="E309" s="24"/>
      <c r="F309" s="24">
        <v>0</v>
      </c>
      <c r="G309" s="24" t="s">
        <v>151</v>
      </c>
      <c r="H309" s="24" t="s">
        <v>1150</v>
      </c>
      <c r="I309" s="24"/>
      <c r="J309" s="24"/>
      <c r="K309" s="24"/>
      <c r="L309" s="24"/>
      <c r="M309" s="55" t="s">
        <v>1660</v>
      </c>
      <c r="N309" s="55" t="s">
        <v>1661</v>
      </c>
      <c r="O309" s="24"/>
      <c r="P309" s="26">
        <f>GET_OK_GROUPS_COUNT(tbStoryEnemy[[#This Row],[Camp]],tbStoryEnemy[[#This Row],[Difficulty]],tbStoryEnemy[[#This Row],[IsBoss]],tbStoryEnemy[[#This Row],[Hero1]:[Soldier3]])</f>
        <v>1</v>
      </c>
      <c r="Q309" s="24">
        <v>1</v>
      </c>
      <c r="R309" s="25" t="s">
        <v>912</v>
      </c>
      <c r="S309" s="24"/>
      <c r="T30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0" spans="2:20" x14ac:dyDescent="0.3">
      <c r="B310" s="24"/>
      <c r="C310" s="34" t="s">
        <v>1265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1482</v>
      </c>
      <c r="K310" s="24"/>
      <c r="L310" s="24"/>
      <c r="M310" s="55" t="s">
        <v>1660</v>
      </c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1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11" spans="2:20" x14ac:dyDescent="0.3">
      <c r="B311" s="24" t="s">
        <v>749</v>
      </c>
      <c r="C311" s="34" t="s">
        <v>1265</v>
      </c>
      <c r="D311" s="24">
        <v>1</v>
      </c>
      <c r="E311" s="24"/>
      <c r="F311" s="24">
        <v>0</v>
      </c>
      <c r="G311" s="24" t="s">
        <v>151</v>
      </c>
      <c r="H311" s="24" t="s">
        <v>1150</v>
      </c>
      <c r="I311" s="24"/>
      <c r="J311" s="24"/>
      <c r="K311" s="24"/>
      <c r="L311" s="24"/>
      <c r="M311" s="55" t="s">
        <v>1664</v>
      </c>
      <c r="N311" s="55"/>
      <c r="O311" s="24"/>
      <c r="P311" s="26">
        <f>GET_OK_GROUPS_COUNT(tbStoryEnemy[[#This Row],[Camp]],tbStoryEnemy[[#This Row],[Difficulty]],tbStoryEnemy[[#This Row],[IsBoss]],tbStoryEnemy[[#This Row],[Hero1]:[Soldier3]])</f>
        <v>1</v>
      </c>
      <c r="Q311" s="24">
        <v>1</v>
      </c>
      <c r="R311" s="25" t="s">
        <v>912</v>
      </c>
      <c r="S311" s="24"/>
      <c r="T31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12" spans="2:20" x14ac:dyDescent="0.3">
      <c r="B312" s="24"/>
      <c r="C312" s="34" t="s">
        <v>1265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1454</v>
      </c>
      <c r="K312" s="24"/>
      <c r="L312" s="24"/>
      <c r="M312" s="24" t="s">
        <v>49</v>
      </c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3" spans="2:20" x14ac:dyDescent="0.3">
      <c r="B313" s="24" t="s">
        <v>750</v>
      </c>
      <c r="C313" s="34" t="s">
        <v>1265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1573</v>
      </c>
      <c r="K313" s="24"/>
      <c r="L313" s="24"/>
      <c r="M313" s="24"/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4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4" spans="2:20" x14ac:dyDescent="0.3">
      <c r="B314" s="24"/>
      <c r="C314" s="34" t="s">
        <v>1265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1482</v>
      </c>
      <c r="L314" s="24"/>
      <c r="M314" s="24"/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1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15" spans="2:20" x14ac:dyDescent="0.3">
      <c r="B315" s="24" t="s">
        <v>751</v>
      </c>
      <c r="C315" s="34" t="s">
        <v>1265</v>
      </c>
      <c r="D315" s="24">
        <v>1</v>
      </c>
      <c r="E315" s="24"/>
      <c r="F315" s="24">
        <v>0</v>
      </c>
      <c r="G315" s="24" t="s">
        <v>151</v>
      </c>
      <c r="H315" s="24" t="s">
        <v>1150</v>
      </c>
      <c r="I315" s="24"/>
      <c r="J315" s="24"/>
      <c r="K315" s="24"/>
      <c r="L315" s="24"/>
      <c r="M315" s="55" t="s">
        <v>1665</v>
      </c>
      <c r="N315" s="55" t="s">
        <v>1659</v>
      </c>
      <c r="O315" s="24"/>
      <c r="P315" s="26">
        <f>GET_OK_GROUPS_COUNT(tbStoryEnemy[[#This Row],[Camp]],tbStoryEnemy[[#This Row],[Difficulty]],tbStoryEnemy[[#This Row],[IsBoss]],tbStoryEnemy[[#This Row],[Hero1]:[Soldier3]])</f>
        <v>1</v>
      </c>
      <c r="Q315" s="24">
        <v>1</v>
      </c>
      <c r="R315" s="25" t="s">
        <v>912</v>
      </c>
      <c r="S315" s="24"/>
      <c r="T31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6" spans="2:20" x14ac:dyDescent="0.3">
      <c r="B316" s="24"/>
      <c r="C316" s="34" t="s">
        <v>1265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1485</v>
      </c>
      <c r="K316" s="24"/>
      <c r="L316" s="24"/>
      <c r="M316" s="55" t="s">
        <v>1659</v>
      </c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1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17" spans="2:20" x14ac:dyDescent="0.3">
      <c r="B317" s="24" t="s">
        <v>752</v>
      </c>
      <c r="C317" s="34" t="s">
        <v>1265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55" t="s">
        <v>1665</v>
      </c>
      <c r="N317" s="24"/>
      <c r="O317" s="24"/>
      <c r="P317" s="26">
        <f>GET_OK_GROUPS_COUNT(tbStoryEnemy[[#This Row],[Camp]],tbStoryEnemy[[#This Row],[Difficulty]],tbStoryEnemy[[#This Row],[IsBoss]],tbStoryEnemy[[#This Row],[Hero1]:[Soldier3]])</f>
        <v>14</v>
      </c>
      <c r="Q317" s="24">
        <v>5</v>
      </c>
      <c r="R317" s="25" t="s">
        <v>912</v>
      </c>
      <c r="S317" s="24"/>
      <c r="T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B318" s="24"/>
      <c r="C318" s="34" t="s">
        <v>1265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1456</v>
      </c>
      <c r="K318" s="24"/>
      <c r="L318" s="24"/>
      <c r="M318" s="55" t="s">
        <v>1665</v>
      </c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1</v>
      </c>
      <c r="Q318" s="24">
        <v>1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19" spans="2:20" x14ac:dyDescent="0.3">
      <c r="B319" s="24" t="s">
        <v>753</v>
      </c>
      <c r="C319" s="34" t="s">
        <v>1265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 t="s">
        <v>1499</v>
      </c>
      <c r="K319" s="24"/>
      <c r="L319" s="24"/>
      <c r="M319" s="24"/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4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0" spans="2:20" x14ac:dyDescent="0.3">
      <c r="B320" s="24"/>
      <c r="C320" s="34" t="s">
        <v>1265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1485</v>
      </c>
      <c r="L320" s="24" t="s">
        <v>1456</v>
      </c>
      <c r="M320" s="24"/>
      <c r="N320" s="24"/>
      <c r="O320" s="24"/>
      <c r="P320" s="26">
        <f>GET_OK_GROUPS_COUNT(tbStoryEnemy[[#This Row],[Camp]],tbStoryEnemy[[#This Row],[Difficulty]],tbStoryEnemy[[#This Row],[IsBoss]],tbStoryEnemy[[#This Row],[Hero1]:[Soldier3]])</f>
        <v>1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321" spans="2:20" x14ac:dyDescent="0.3">
      <c r="B321" s="24" t="s">
        <v>754</v>
      </c>
      <c r="C321" s="34" t="s">
        <v>1265</v>
      </c>
      <c r="D321" s="24">
        <v>1</v>
      </c>
      <c r="E321" s="24"/>
      <c r="F321" s="24">
        <v>0</v>
      </c>
      <c r="G321" s="24" t="s">
        <v>151</v>
      </c>
      <c r="H321" s="24" t="s">
        <v>1150</v>
      </c>
      <c r="I321" s="24"/>
      <c r="J321" s="24" t="s">
        <v>1426</v>
      </c>
      <c r="K321" s="24"/>
      <c r="L321" s="24"/>
      <c r="M321" s="24" t="s">
        <v>26</v>
      </c>
      <c r="N321" s="24"/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2" spans="2:20" x14ac:dyDescent="0.3">
      <c r="B322" s="24"/>
      <c r="C322" s="34" t="s">
        <v>1265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1471</v>
      </c>
      <c r="K322" s="24"/>
      <c r="L322" s="24"/>
      <c r="M322" s="55" t="s">
        <v>1665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1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3" spans="2:20" x14ac:dyDescent="0.3">
      <c r="B323" s="24" t="s">
        <v>755</v>
      </c>
      <c r="C323" s="34" t="s">
        <v>1265</v>
      </c>
      <c r="D323" s="24">
        <v>1</v>
      </c>
      <c r="E323" s="24"/>
      <c r="F323" s="24">
        <v>0</v>
      </c>
      <c r="G323" s="24" t="s">
        <v>151</v>
      </c>
      <c r="H323" s="24" t="s">
        <v>1150</v>
      </c>
      <c r="I323" s="24"/>
      <c r="J323" s="24" t="s">
        <v>1474</v>
      </c>
      <c r="K323" s="24"/>
      <c r="L323" s="24"/>
      <c r="M323" s="24"/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4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4" spans="2:20" x14ac:dyDescent="0.3">
      <c r="B324" s="24"/>
      <c r="C324" s="34" t="s">
        <v>1265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1572</v>
      </c>
      <c r="K324" s="24"/>
      <c r="L324" s="24"/>
      <c r="M324" s="24" t="s">
        <v>447</v>
      </c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5" spans="2:20" x14ac:dyDescent="0.3">
      <c r="B325" s="24" t="s">
        <v>756</v>
      </c>
      <c r="C325" s="34" t="s">
        <v>1265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 t="s">
        <v>1515</v>
      </c>
      <c r="K325" s="24"/>
      <c r="L325" s="24"/>
      <c r="M325" s="24" t="s">
        <v>34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1</v>
      </c>
      <c r="Q325" s="24">
        <v>1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26" spans="2:20" x14ac:dyDescent="0.3">
      <c r="B326" s="24"/>
      <c r="C326" s="34" t="s">
        <v>1265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 t="s">
        <v>1471</v>
      </c>
      <c r="L326" s="24"/>
      <c r="M326" s="24"/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1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27" spans="2:20" x14ac:dyDescent="0.3">
      <c r="B327" s="24" t="s">
        <v>757</v>
      </c>
      <c r="C327" s="34" t="s">
        <v>1265</v>
      </c>
      <c r="D327" s="24">
        <v>1</v>
      </c>
      <c r="E327" s="24"/>
      <c r="F327" s="24">
        <v>0</v>
      </c>
      <c r="G327" s="24" t="s">
        <v>151</v>
      </c>
      <c r="H327" s="24" t="s">
        <v>1150</v>
      </c>
      <c r="I327" s="24"/>
      <c r="J327" s="24" t="s">
        <v>1542</v>
      </c>
      <c r="K327" s="24"/>
      <c r="L327" s="24"/>
      <c r="M327" s="24"/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5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28" spans="2:20" x14ac:dyDescent="0.3">
      <c r="B328" s="24"/>
      <c r="C328" s="34" t="s">
        <v>1265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1525</v>
      </c>
      <c r="K328" s="24"/>
      <c r="L328" s="24"/>
      <c r="M328" s="24" t="s">
        <v>34</v>
      </c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9" spans="2:20" x14ac:dyDescent="0.3">
      <c r="B329" s="24" t="s">
        <v>758</v>
      </c>
      <c r="C329" s="34" t="s">
        <v>1265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 t="s">
        <v>1520</v>
      </c>
      <c r="K329" s="24"/>
      <c r="L329" s="24"/>
      <c r="M329" s="24"/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4</v>
      </c>
      <c r="Q329" s="24">
        <v>1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0" spans="2:20" x14ac:dyDescent="0.3">
      <c r="B330" s="24"/>
      <c r="C330" s="34" t="s">
        <v>1265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1529</v>
      </c>
      <c r="K330" s="24"/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4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1" spans="2:20" x14ac:dyDescent="0.3">
      <c r="B331" s="24" t="s">
        <v>759</v>
      </c>
      <c r="C331" s="34" t="s">
        <v>1265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1463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3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2" spans="2:20" x14ac:dyDescent="0.3">
      <c r="B332" s="24"/>
      <c r="C332" s="34" t="s">
        <v>1265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1525</v>
      </c>
      <c r="L332" s="24" t="s">
        <v>1529</v>
      </c>
      <c r="M332" s="24"/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1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333" spans="2:20" x14ac:dyDescent="0.3">
      <c r="B333" s="24" t="s">
        <v>760</v>
      </c>
      <c r="C333" s="34" t="s">
        <v>1265</v>
      </c>
      <c r="D333" s="24">
        <v>1</v>
      </c>
      <c r="E333" s="24"/>
      <c r="F333" s="24">
        <v>0</v>
      </c>
      <c r="G333" s="24" t="s">
        <v>151</v>
      </c>
      <c r="H333" s="24" t="s">
        <v>1150</v>
      </c>
      <c r="I333" s="24"/>
      <c r="J333" s="24"/>
      <c r="K333" s="24"/>
      <c r="L333" s="24"/>
      <c r="M333" s="55" t="s">
        <v>1660</v>
      </c>
      <c r="N333" s="55" t="s">
        <v>1666</v>
      </c>
      <c r="O333" s="24"/>
      <c r="P333" s="26">
        <f>GET_OK_GROUPS_COUNT(tbStoryEnemy[[#This Row],[Camp]],tbStoryEnemy[[#This Row],[Difficulty]],tbStoryEnemy[[#This Row],[IsBoss]],tbStoryEnemy[[#This Row],[Hero1]:[Soldier3]])</f>
        <v>1</v>
      </c>
      <c r="Q333" s="24">
        <v>1</v>
      </c>
      <c r="R333" s="25" t="s">
        <v>912</v>
      </c>
      <c r="S333" s="24"/>
      <c r="T33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4" spans="2:20" x14ac:dyDescent="0.3">
      <c r="B334" s="24"/>
      <c r="C334" s="34" t="s">
        <v>1265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1497</v>
      </c>
      <c r="K334" s="24"/>
      <c r="L334" s="24"/>
      <c r="M334" s="55" t="s">
        <v>1666</v>
      </c>
      <c r="N334" s="24"/>
      <c r="O334" s="24"/>
      <c r="P334" s="26">
        <f>GET_OK_GROUPS_COUNT(tbStoryEnemy[[#This Row],[Camp]],tbStoryEnemy[[#This Row],[Difficulty]],tbStoryEnemy[[#This Row],[IsBoss]],tbStoryEnemy[[#This Row],[Hero1]:[Soldier3]])</f>
        <v>1</v>
      </c>
      <c r="Q334" s="24">
        <v>1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35" spans="2:20" x14ac:dyDescent="0.3">
      <c r="B335" s="24" t="s">
        <v>761</v>
      </c>
      <c r="C335" s="34" t="s">
        <v>1265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55" t="s">
        <v>1660</v>
      </c>
      <c r="N335" s="55" t="s">
        <v>1659</v>
      </c>
      <c r="O335" s="24"/>
      <c r="P335" s="26">
        <f>GET_OK_GROUPS_COUNT(tbStoryEnemy[[#This Row],[Camp]],tbStoryEnemy[[#This Row],[Difficulty]],tbStoryEnemy[[#This Row],[IsBoss]],tbStoryEnemy[[#This Row],[Hero1]:[Soldier3]])</f>
        <v>5</v>
      </c>
      <c r="Q335" s="24">
        <v>1</v>
      </c>
      <c r="R335" s="25" t="s">
        <v>912</v>
      </c>
      <c r="S335" s="24"/>
      <c r="T3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36" spans="2:20" x14ac:dyDescent="0.3">
      <c r="B336" s="24"/>
      <c r="C336" s="34" t="s">
        <v>1265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1498</v>
      </c>
      <c r="K336" s="24"/>
      <c r="L336" s="24"/>
      <c r="M336" s="24" t="s">
        <v>448</v>
      </c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37" spans="2:20" x14ac:dyDescent="0.3">
      <c r="B337" s="24" t="s">
        <v>762</v>
      </c>
      <c r="C337" s="34" t="s">
        <v>1265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 t="s">
        <v>400</v>
      </c>
      <c r="K337" s="24"/>
      <c r="L337" s="24"/>
      <c r="M337" s="24"/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4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8" spans="2:20" x14ac:dyDescent="0.3">
      <c r="B338" s="24"/>
      <c r="C338" s="34" t="s">
        <v>1265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1497</v>
      </c>
      <c r="L338" s="24"/>
      <c r="M338" s="24"/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1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39" spans="2:20" x14ac:dyDescent="0.3">
      <c r="B339" s="24" t="s">
        <v>763</v>
      </c>
      <c r="C339" s="34" t="s">
        <v>1265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55" t="s">
        <v>1660</v>
      </c>
      <c r="N339" s="55" t="s">
        <v>1666</v>
      </c>
      <c r="O339" s="24"/>
      <c r="P339" s="26">
        <f>GET_OK_GROUPS_COUNT(tbStoryEnemy[[#This Row],[Camp]],tbStoryEnemy[[#This Row],[Difficulty]],tbStoryEnemy[[#This Row],[IsBoss]],tbStoryEnemy[[#This Row],[Hero1]:[Soldier3]])</f>
        <v>5</v>
      </c>
      <c r="Q339" s="24">
        <v>1</v>
      </c>
      <c r="R339" s="25" t="s">
        <v>912</v>
      </c>
      <c r="S339" s="24"/>
      <c r="T3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B340" s="24"/>
      <c r="C340" s="34" t="s">
        <v>1265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1452</v>
      </c>
      <c r="K340" s="24"/>
      <c r="L340" s="24"/>
      <c r="M340" s="24" t="s">
        <v>25</v>
      </c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1" spans="2:20" x14ac:dyDescent="0.3">
      <c r="B341" s="24" t="s">
        <v>764</v>
      </c>
      <c r="C341" s="34" t="s">
        <v>1265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 t="s">
        <v>1497</v>
      </c>
      <c r="K341" s="24" t="s">
        <v>1452</v>
      </c>
      <c r="L341" s="24"/>
      <c r="M341" s="24"/>
      <c r="N341" s="24"/>
      <c r="O341" s="24"/>
      <c r="P341" s="26">
        <f>GET_OK_GROUPS_COUNT(tbStoryEnemy[[#This Row],[Camp]],tbStoryEnemy[[#This Row],[Difficulty]],tbStoryEnemy[[#This Row],[IsBoss]],tbStoryEnemy[[#This Row],[Hero1]:[Soldier3]])</f>
        <v>1</v>
      </c>
      <c r="Q341" s="24">
        <v>1</v>
      </c>
      <c r="R341" s="25" t="s">
        <v>912</v>
      </c>
      <c r="S341" s="24"/>
      <c r="T341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42" spans="2:20" x14ac:dyDescent="0.3">
      <c r="B342" s="24"/>
      <c r="C342" s="34" t="s">
        <v>1265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1451</v>
      </c>
      <c r="K342" s="24" t="s">
        <v>1452</v>
      </c>
      <c r="L342" s="24" t="s">
        <v>1497</v>
      </c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1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343" spans="2:20" x14ac:dyDescent="0.3">
      <c r="B343" s="24" t="s">
        <v>765</v>
      </c>
      <c r="C343" s="34" t="s">
        <v>1265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393</v>
      </c>
      <c r="K343" s="24" t="s">
        <v>1451</v>
      </c>
      <c r="L343" s="24" t="s">
        <v>1497</v>
      </c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1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344" spans="2:20" x14ac:dyDescent="0.3">
      <c r="B344" s="24"/>
      <c r="C344" s="34" t="s">
        <v>1265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1452</v>
      </c>
      <c r="L344" s="24" t="s">
        <v>1497</v>
      </c>
      <c r="M344" s="24"/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1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345" spans="2:20" x14ac:dyDescent="0.3">
      <c r="B345" s="24" t="s">
        <v>766</v>
      </c>
      <c r="C345" s="34" t="s">
        <v>1265</v>
      </c>
      <c r="D345" s="24">
        <v>1</v>
      </c>
      <c r="E345" s="24"/>
      <c r="F345" s="24">
        <v>0</v>
      </c>
      <c r="G345" s="24" t="s">
        <v>151</v>
      </c>
      <c r="H345" s="24" t="s">
        <v>1150</v>
      </c>
      <c r="I345" s="24"/>
      <c r="J345" s="24"/>
      <c r="K345" s="24"/>
      <c r="L345" s="24"/>
      <c r="M345" s="55" t="s">
        <v>1660</v>
      </c>
      <c r="N345" s="55" t="s">
        <v>1666</v>
      </c>
      <c r="O345" s="24"/>
      <c r="P345" s="26">
        <f>GET_OK_GROUPS_COUNT(tbStoryEnemy[[#This Row],[Camp]],tbStoryEnemy[[#This Row],[Difficulty]],tbStoryEnemy[[#This Row],[IsBoss]],tbStoryEnemy[[#This Row],[Hero1]:[Soldier3]])</f>
        <v>1</v>
      </c>
      <c r="Q345" s="24">
        <v>1</v>
      </c>
      <c r="R345" s="25" t="s">
        <v>912</v>
      </c>
      <c r="S345" s="24"/>
      <c r="T34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6" spans="2:20" x14ac:dyDescent="0.3">
      <c r="B346" s="24"/>
      <c r="C346" s="34" t="s">
        <v>1265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1468</v>
      </c>
      <c r="K346" s="24"/>
      <c r="L346" s="24"/>
      <c r="M346" s="24" t="s">
        <v>25</v>
      </c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7" spans="2:20" x14ac:dyDescent="0.3">
      <c r="B347" s="24" t="s">
        <v>767</v>
      </c>
      <c r="C347" s="34" t="s">
        <v>1265</v>
      </c>
      <c r="D347" s="24">
        <v>1</v>
      </c>
      <c r="E347" s="24"/>
      <c r="F347" s="24">
        <v>0</v>
      </c>
      <c r="G347" s="24" t="s">
        <v>151</v>
      </c>
      <c r="H347" s="24" t="s">
        <v>1150</v>
      </c>
      <c r="I347" s="24"/>
      <c r="J347" s="24"/>
      <c r="K347" s="24"/>
      <c r="L347" s="24"/>
      <c r="M347" s="24" t="s">
        <v>34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8" spans="2:20" x14ac:dyDescent="0.3">
      <c r="B348" s="24"/>
      <c r="C348" s="34" t="s">
        <v>1265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1467</v>
      </c>
      <c r="K348" s="24"/>
      <c r="L348" s="24"/>
      <c r="M348" s="24" t="s">
        <v>34</v>
      </c>
      <c r="N348" s="24"/>
      <c r="O348" s="24"/>
      <c r="P348" s="26">
        <f>GET_OK_GROUPS_COUNT(tbStoryEnemy[[#This Row],[Camp]],tbStoryEnemy[[#This Row],[Difficulty]],tbStoryEnemy[[#This Row],[IsBoss]],tbStoryEnemy[[#This Row],[Hero1]:[Soldier3]])</f>
        <v>1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49" spans="2:20" x14ac:dyDescent="0.3">
      <c r="B349" s="24" t="s">
        <v>768</v>
      </c>
      <c r="C349" s="34" t="s">
        <v>1265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 t="s">
        <v>1431</v>
      </c>
      <c r="K349" s="24"/>
      <c r="L349" s="24"/>
      <c r="M349" s="24"/>
      <c r="N349" s="24"/>
      <c r="O349" s="24"/>
      <c r="P349" s="26">
        <f>GET_OK_GROUPS_COUNT(tbStoryEnemy[[#This Row],[Camp]],tbStoryEnemy[[#This Row],[Difficulty]],tbStoryEnemy[[#This Row],[IsBoss]],tbStoryEnemy[[#This Row],[Hero1]:[Soldier3]])</f>
        <v>4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0" spans="2:20" x14ac:dyDescent="0.3">
      <c r="B350" s="24"/>
      <c r="C350" s="34" t="s">
        <v>1265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1468</v>
      </c>
      <c r="L350" s="24"/>
      <c r="M350" s="24"/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1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>三国-困难-[B]法英+刺英</v>
      </c>
    </row>
    <row r="351" spans="2:20" x14ac:dyDescent="0.3">
      <c r="B351" s="24" t="s">
        <v>769</v>
      </c>
      <c r="C351" s="34" t="s">
        <v>1265</v>
      </c>
      <c r="D351" s="24">
        <v>1</v>
      </c>
      <c r="E351" s="24"/>
      <c r="F351" s="24">
        <v>0</v>
      </c>
      <c r="G351" s="24" t="s">
        <v>151</v>
      </c>
      <c r="H351" s="24" t="s">
        <v>1150</v>
      </c>
      <c r="I351" s="24"/>
      <c r="J351" s="24"/>
      <c r="K351" s="24"/>
      <c r="L351" s="24"/>
      <c r="M351" s="55" t="s">
        <v>1664</v>
      </c>
      <c r="N351" s="24"/>
      <c r="O351" s="24"/>
      <c r="P351" s="26">
        <f>GET_OK_GROUPS_COUNT(tbStoryEnemy[[#This Row],[Camp]],tbStoryEnemy[[#This Row],[Difficulty]],tbStoryEnemy[[#This Row],[IsBoss]],tbStoryEnemy[[#This Row],[Hero1]:[Soldier3]])</f>
        <v>1</v>
      </c>
      <c r="Q351" s="24">
        <v>1</v>
      </c>
      <c r="R351" s="25" t="s">
        <v>912</v>
      </c>
      <c r="S351" s="24"/>
      <c r="T3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2" spans="2:20" x14ac:dyDescent="0.3">
      <c r="B352" s="24"/>
      <c r="C352" s="34" t="s">
        <v>1265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1516</v>
      </c>
      <c r="K352" s="24"/>
      <c r="L352" s="24"/>
      <c r="M352" s="55" t="s">
        <v>1664</v>
      </c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1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3" spans="2:20" x14ac:dyDescent="0.3">
      <c r="B353" s="24" t="s">
        <v>770</v>
      </c>
      <c r="C353" s="34" t="s">
        <v>1265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/>
      <c r="K353" s="24"/>
      <c r="L353" s="24"/>
      <c r="M353" s="55" t="s">
        <v>1660</v>
      </c>
      <c r="N353" s="55" t="s">
        <v>1663</v>
      </c>
      <c r="O353" s="24"/>
      <c r="P353" s="26">
        <f>GET_OK_GROUPS_COUNT(tbStoryEnemy[[#This Row],[Camp]],tbStoryEnemy[[#This Row],[Difficulty]],tbStoryEnemy[[#This Row],[IsBoss]],tbStoryEnemy[[#This Row],[Hero1]:[Soldier3]])</f>
        <v>5</v>
      </c>
      <c r="Q353" s="24">
        <v>2</v>
      </c>
      <c r="R353" s="25" t="s">
        <v>912</v>
      </c>
      <c r="S353" s="24"/>
      <c r="T35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54" spans="2:20" x14ac:dyDescent="0.3">
      <c r="B354" s="24"/>
      <c r="C354" s="34" t="s">
        <v>1265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1517</v>
      </c>
      <c r="K354" s="24"/>
      <c r="L354" s="24"/>
      <c r="M354" s="55" t="s">
        <v>1663</v>
      </c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1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5" spans="2:20" x14ac:dyDescent="0.3">
      <c r="B355" s="24" t="s">
        <v>771</v>
      </c>
      <c r="C355" s="34" t="s">
        <v>1265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1640</v>
      </c>
      <c r="K355" s="24"/>
      <c r="L355" s="24"/>
      <c r="M355" s="24"/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3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56" spans="2:20" x14ac:dyDescent="0.3">
      <c r="B356" s="24"/>
      <c r="C356" s="34" t="s">
        <v>1265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1171</v>
      </c>
      <c r="K356" s="24" t="s">
        <v>1516</v>
      </c>
      <c r="L356" s="24" t="s">
        <v>1517</v>
      </c>
      <c r="M356" s="24"/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1</v>
      </c>
      <c r="Q356" s="24">
        <v>1</v>
      </c>
      <c r="R356" s="25" t="s">
        <v>1171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57" spans="2:20" x14ac:dyDescent="0.3">
      <c r="B357" s="24" t="s">
        <v>1200</v>
      </c>
      <c r="C357" s="34" t="s">
        <v>1265</v>
      </c>
      <c r="D357" s="24">
        <v>1</v>
      </c>
      <c r="E357" s="24"/>
      <c r="F357" s="24">
        <v>0</v>
      </c>
      <c r="G357" s="24" t="s">
        <v>597</v>
      </c>
      <c r="H357" s="24" t="s">
        <v>1150</v>
      </c>
      <c r="I357" s="24"/>
      <c r="J357" s="24"/>
      <c r="K357" s="24"/>
      <c r="L357" s="24"/>
      <c r="M357" s="55" t="s">
        <v>1660</v>
      </c>
      <c r="N357" s="55" t="s">
        <v>1661</v>
      </c>
      <c r="O357" s="24"/>
      <c r="P357" s="26">
        <f>GET_OK_GROUPS_COUNT(tbStoryEnemy[[#This Row],[Camp]],tbStoryEnemy[[#This Row],[Difficulty]],tbStoryEnemy[[#This Row],[IsBoss]],tbStoryEnemy[[#This Row],[Hero1]:[Soldier3]])</f>
        <v>1</v>
      </c>
      <c r="Q357" s="24">
        <v>1</v>
      </c>
      <c r="R357" s="25" t="s">
        <v>912</v>
      </c>
      <c r="S357" s="24"/>
      <c r="T357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58" spans="2:20" x14ac:dyDescent="0.3">
      <c r="B358" s="24"/>
      <c r="C358" s="34" t="s">
        <v>1265</v>
      </c>
      <c r="D358" s="24">
        <v>2</v>
      </c>
      <c r="E358" s="24"/>
      <c r="F358" s="24">
        <v>0</v>
      </c>
      <c r="G358" s="24" t="s">
        <v>597</v>
      </c>
      <c r="H358" s="24" t="s">
        <v>1125</v>
      </c>
      <c r="I358" s="24"/>
      <c r="J358" s="24" t="s">
        <v>1582</v>
      </c>
      <c r="K358" s="24"/>
      <c r="L358" s="24"/>
      <c r="M358" s="55"/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黄巾-困难-强英+教徒</v>
      </c>
    </row>
    <row r="359" spans="2:20" x14ac:dyDescent="0.3">
      <c r="B359" s="24" t="s">
        <v>1201</v>
      </c>
      <c r="C359" s="34" t="s">
        <v>1265</v>
      </c>
      <c r="D359" s="24">
        <v>1</v>
      </c>
      <c r="E359" s="24"/>
      <c r="F359" s="24">
        <v>0</v>
      </c>
      <c r="G359" s="24" t="s">
        <v>597</v>
      </c>
      <c r="H359" s="24" t="s">
        <v>1150</v>
      </c>
      <c r="I359" s="24"/>
      <c r="J359" s="24"/>
      <c r="K359" s="24"/>
      <c r="L359" s="24"/>
      <c r="M359" s="55" t="s">
        <v>1660</v>
      </c>
      <c r="N359" s="55" t="s">
        <v>1661</v>
      </c>
      <c r="O359" s="24"/>
      <c r="P359" s="26">
        <f>GET_OK_GROUPS_COUNT(tbStoryEnemy[[#This Row],[Camp]],tbStoryEnemy[[#This Row],[Difficulty]],tbStoryEnemy[[#This Row],[IsBoss]],tbStoryEnemy[[#This Row],[Hero1]:[Soldier3]])</f>
        <v>1</v>
      </c>
      <c r="Q359" s="24">
        <v>1</v>
      </c>
      <c r="R359" s="25" t="s">
        <v>912</v>
      </c>
      <c r="S359" s="24"/>
      <c r="T359" s="26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0" spans="2:20" x14ac:dyDescent="0.3">
      <c r="B360" s="24"/>
      <c r="C360" s="34" t="s">
        <v>1265</v>
      </c>
      <c r="D360" s="24">
        <v>2</v>
      </c>
      <c r="E360" s="24"/>
      <c r="F360" s="24">
        <v>0</v>
      </c>
      <c r="G360" s="24" t="s">
        <v>597</v>
      </c>
      <c r="H360" s="24" t="s">
        <v>1125</v>
      </c>
      <c r="I360" s="24"/>
      <c r="J360" s="24" t="s">
        <v>1581</v>
      </c>
      <c r="K360" s="24"/>
      <c r="L360" s="24"/>
      <c r="M360" s="24"/>
      <c r="N360" s="24"/>
      <c r="O360" s="24"/>
      <c r="P360" s="26">
        <f>GET_OK_GROUPS_COUNT(tbStoryEnemy[[#This Row],[Camp]],tbStoryEnemy[[#This Row],[Difficulty]],tbStoryEnemy[[#This Row],[IsBoss]],tbStoryEnemy[[#This Row],[Hero1]:[Soldier3]])</f>
        <v>1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361" spans="2:20" x14ac:dyDescent="0.3">
      <c r="B361" s="24" t="s">
        <v>1202</v>
      </c>
      <c r="C361" s="34" t="s">
        <v>1265</v>
      </c>
      <c r="D361" s="24">
        <v>1</v>
      </c>
      <c r="E361" s="24"/>
      <c r="F361" s="24">
        <v>0</v>
      </c>
      <c r="G361" s="24" t="s">
        <v>597</v>
      </c>
      <c r="H361" s="24" t="s">
        <v>1125</v>
      </c>
      <c r="I361" s="24"/>
      <c r="J361" s="24" t="s">
        <v>1576</v>
      </c>
      <c r="K361" s="24"/>
      <c r="L361" s="24"/>
      <c r="M361" s="24"/>
      <c r="N361" s="24"/>
      <c r="O361" s="24"/>
      <c r="P361" s="26">
        <f>GET_OK_GROUPS_COUNT(tbStoryEnemy[[#This Row],[Camp]],tbStoryEnemy[[#This Row],[Difficulty]],tbStoryEnemy[[#This Row],[IsBoss]],tbStoryEnemy[[#This Row],[Hero1]:[Soldier3]])</f>
        <v>1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2" spans="2:20" x14ac:dyDescent="0.3">
      <c r="B362" s="24"/>
      <c r="C362" s="34" t="s">
        <v>1265</v>
      </c>
      <c r="D362" s="24">
        <v>2</v>
      </c>
      <c r="E362" s="24"/>
      <c r="F362" s="24">
        <v>0</v>
      </c>
      <c r="G362" s="24" t="s">
        <v>597</v>
      </c>
      <c r="H362" s="24" t="s">
        <v>1125</v>
      </c>
      <c r="I362" s="24" t="b">
        <v>1</v>
      </c>
      <c r="J362" s="24" t="s">
        <v>37</v>
      </c>
      <c r="K362" s="24"/>
      <c r="L362" s="24"/>
      <c r="M362" s="24"/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3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363" spans="2:20" x14ac:dyDescent="0.3">
      <c r="B363" s="24" t="s">
        <v>1203</v>
      </c>
      <c r="C363" s="34" t="s">
        <v>1265</v>
      </c>
      <c r="D363" s="24">
        <v>1</v>
      </c>
      <c r="E363" s="24"/>
      <c r="F363" s="24">
        <v>0</v>
      </c>
      <c r="G363" s="24" t="s">
        <v>597</v>
      </c>
      <c r="H363" s="24" t="s">
        <v>1150</v>
      </c>
      <c r="I363" s="24"/>
      <c r="J363" s="24"/>
      <c r="K363" s="24"/>
      <c r="L363" s="24"/>
      <c r="M363" s="55" t="s">
        <v>1660</v>
      </c>
      <c r="N363" s="55" t="s">
        <v>1666</v>
      </c>
      <c r="O363" s="24"/>
      <c r="P363" s="26">
        <f>GET_OK_GROUPS_COUNT(tbStoryEnemy[[#This Row],[Camp]],tbStoryEnemy[[#This Row],[Difficulty]],tbStoryEnemy[[#This Row],[IsBoss]],tbStoryEnemy[[#This Row],[Hero1]:[Soldier3]])</f>
        <v>1</v>
      </c>
      <c r="Q363" s="24">
        <v>1</v>
      </c>
      <c r="R363" s="25" t="s">
        <v>912</v>
      </c>
      <c r="S363" s="24"/>
      <c r="T363" s="26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364" spans="2:20" x14ac:dyDescent="0.3">
      <c r="B364" s="24"/>
      <c r="C364" s="34" t="s">
        <v>1265</v>
      </c>
      <c r="D364" s="24">
        <v>2</v>
      </c>
      <c r="E364" s="24"/>
      <c r="F364" s="24">
        <v>0</v>
      </c>
      <c r="G364" s="24" t="s">
        <v>597</v>
      </c>
      <c r="H364" s="24" t="s">
        <v>1125</v>
      </c>
      <c r="I364" s="24"/>
      <c r="J364" s="24" t="s">
        <v>1468</v>
      </c>
      <c r="K364" s="24"/>
      <c r="L364" s="24"/>
      <c r="M364" s="55"/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4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365" spans="2:20" x14ac:dyDescent="0.3">
      <c r="B365" s="24" t="s">
        <v>1204</v>
      </c>
      <c r="C365" s="34" t="s">
        <v>1265</v>
      </c>
      <c r="D365" s="24">
        <v>1</v>
      </c>
      <c r="E365" s="24"/>
      <c r="F365" s="24">
        <v>0</v>
      </c>
      <c r="G365" s="24" t="s">
        <v>597</v>
      </c>
      <c r="H365" s="24" t="s">
        <v>1125</v>
      </c>
      <c r="I365" s="24"/>
      <c r="J365" s="24"/>
      <c r="K365" s="24"/>
      <c r="L365" s="24"/>
      <c r="M365" s="55" t="s">
        <v>1664</v>
      </c>
      <c r="N365" s="55"/>
      <c r="O365" s="24"/>
      <c r="P365" s="26">
        <f>GET_OK_GROUPS_COUNT(tbStoryEnemy[[#This Row],[Camp]],tbStoryEnemy[[#This Row],[Difficulty]],tbStoryEnemy[[#This Row],[IsBoss]],tbStoryEnemy[[#This Row],[Hero1]:[Soldier3]])</f>
        <v>1</v>
      </c>
      <c r="Q365" s="24">
        <v>1</v>
      </c>
      <c r="R365" s="25" t="s">
        <v>912</v>
      </c>
      <c r="S365" s="24"/>
      <c r="T365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</row>
    <row r="366" spans="2:20" x14ac:dyDescent="0.3">
      <c r="B366" s="24"/>
      <c r="C366" s="34" t="s">
        <v>1265</v>
      </c>
      <c r="D366" s="24">
        <v>2</v>
      </c>
      <c r="E366" s="24"/>
      <c r="F366" s="24">
        <v>0</v>
      </c>
      <c r="G366" s="24" t="s">
        <v>597</v>
      </c>
      <c r="H366" s="24" t="s">
        <v>1125</v>
      </c>
      <c r="I366" s="24"/>
      <c r="J366" s="24" t="s">
        <v>1467</v>
      </c>
      <c r="K366" s="24"/>
      <c r="L366" s="24"/>
      <c r="M366" s="55" t="s">
        <v>1664</v>
      </c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2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367" spans="2:20" x14ac:dyDescent="0.3">
      <c r="B367" s="24" t="s">
        <v>1205</v>
      </c>
      <c r="C367" s="34" t="s">
        <v>1265</v>
      </c>
      <c r="D367" s="24">
        <v>1</v>
      </c>
      <c r="E367" s="24"/>
      <c r="F367" s="24">
        <v>0</v>
      </c>
      <c r="G367" s="24" t="s">
        <v>597</v>
      </c>
      <c r="H367" s="24" t="s">
        <v>1125</v>
      </c>
      <c r="I367" s="24"/>
      <c r="J367" s="24" t="s">
        <v>1431</v>
      </c>
      <c r="K367" s="24"/>
      <c r="L367" s="24"/>
      <c r="M367" s="24"/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1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8" spans="2:20" x14ac:dyDescent="0.3">
      <c r="B368" s="24"/>
      <c r="C368" s="34" t="s">
        <v>1265</v>
      </c>
      <c r="D368" s="24">
        <v>2</v>
      </c>
      <c r="E368" s="24"/>
      <c r="F368" s="24">
        <v>0</v>
      </c>
      <c r="G368" s="24" t="s">
        <v>597</v>
      </c>
      <c r="H368" s="24" t="s">
        <v>180</v>
      </c>
      <c r="I368" s="24" t="b">
        <v>1</v>
      </c>
      <c r="J368" s="24" t="s">
        <v>432</v>
      </c>
      <c r="K368" s="24" t="s">
        <v>1468</v>
      </c>
      <c r="L368" s="24" t="s">
        <v>1431</v>
      </c>
      <c r="M368" s="24"/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1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>黄巾-超难-[B]盾英+法英+刺英</v>
      </c>
    </row>
    <row r="369" spans="2:20" x14ac:dyDescent="0.3">
      <c r="B369" s="24" t="s">
        <v>772</v>
      </c>
      <c r="C369" s="34" t="s">
        <v>1265</v>
      </c>
      <c r="D369" s="24">
        <v>1</v>
      </c>
      <c r="E369" s="24"/>
      <c r="F369" s="24">
        <v>0</v>
      </c>
      <c r="G369" s="24" t="s">
        <v>151</v>
      </c>
      <c r="H369" s="24" t="s">
        <v>1150</v>
      </c>
      <c r="I369" s="24"/>
      <c r="J369" s="24"/>
      <c r="K369" s="24"/>
      <c r="L369" s="24"/>
      <c r="M369" s="24" t="s">
        <v>49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1</v>
      </c>
      <c r="Q369" s="24">
        <v>1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70" spans="2:20" x14ac:dyDescent="0.3">
      <c r="B370" s="24"/>
      <c r="C370" s="34" t="s">
        <v>1265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1549</v>
      </c>
      <c r="K370" s="24"/>
      <c r="L370" s="24"/>
      <c r="M370" s="55" t="s">
        <v>1659</v>
      </c>
      <c r="N370" s="24"/>
      <c r="O370" s="24"/>
      <c r="P370" s="26">
        <f>GET_OK_GROUPS_COUNT(tbStoryEnemy[[#This Row],[Camp]],tbStoryEnemy[[#This Row],[Difficulty]],tbStoryEnemy[[#This Row],[IsBoss]],tbStoryEnemy[[#This Row],[Hero1]:[Soldier3]])</f>
        <v>1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71" spans="2:20" x14ac:dyDescent="0.3">
      <c r="B371" s="24" t="s">
        <v>773</v>
      </c>
      <c r="C371" s="34" t="s">
        <v>1265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55" t="s">
        <v>1659</v>
      </c>
      <c r="N371" s="55" t="s">
        <v>1660</v>
      </c>
      <c r="O371" s="24"/>
      <c r="P371" s="26">
        <f>GET_OK_GROUPS_COUNT(tbStoryEnemy[[#This Row],[Camp]],tbStoryEnemy[[#This Row],[Difficulty]],tbStoryEnemy[[#This Row],[IsBoss]],tbStoryEnemy[[#This Row],[Hero1]:[Soldier3]])</f>
        <v>5</v>
      </c>
      <c r="Q371" s="24">
        <v>1</v>
      </c>
      <c r="R371" s="25" t="s">
        <v>912</v>
      </c>
      <c r="S371" s="24"/>
      <c r="T37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72" spans="2:20" x14ac:dyDescent="0.3">
      <c r="B372" s="24"/>
      <c r="C372" s="34" t="s">
        <v>1265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1554</v>
      </c>
      <c r="K372" s="24"/>
      <c r="L372" s="24"/>
      <c r="M372" s="55" t="s">
        <v>1659</v>
      </c>
      <c r="N372" s="24"/>
      <c r="O372" s="24"/>
      <c r="P372" s="26">
        <f>GET_OK_GROUPS_COUNT(tbStoryEnemy[[#This Row],[Camp]],tbStoryEnemy[[#This Row],[Difficulty]],tbStoryEnemy[[#This Row],[IsBoss]],tbStoryEnemy[[#This Row],[Hero1]:[Soldier3]])</f>
        <v>1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73" spans="2:20" x14ac:dyDescent="0.3">
      <c r="B373" s="24" t="s">
        <v>774</v>
      </c>
      <c r="C373" s="34" t="s">
        <v>1265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 t="s">
        <v>1527</v>
      </c>
      <c r="K373" s="24"/>
      <c r="L373" s="24"/>
      <c r="M373" s="24"/>
      <c r="N373" s="24"/>
      <c r="O373" s="24"/>
      <c r="P373" s="26">
        <f>GET_OK_GROUPS_COUNT(tbStoryEnemy[[#This Row],[Camp]],tbStoryEnemy[[#This Row],[Difficulty]],tbStoryEnemy[[#This Row],[IsBoss]],tbStoryEnemy[[#This Row],[Hero1]:[Soldier3]])</f>
        <v>3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4" spans="2:20" x14ac:dyDescent="0.3">
      <c r="B374" s="24"/>
      <c r="C374" s="34" t="s">
        <v>1265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1549</v>
      </c>
      <c r="L374" s="24" t="s">
        <v>1554</v>
      </c>
      <c r="M374" s="24"/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1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75" spans="2:20" x14ac:dyDescent="0.3">
      <c r="B375" s="24" t="s">
        <v>775</v>
      </c>
      <c r="C375" s="34" t="s">
        <v>1265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/>
      <c r="K375" s="24"/>
      <c r="L375" s="24"/>
      <c r="M375" s="55" t="s">
        <v>1665</v>
      </c>
      <c r="N375" s="55" t="s">
        <v>1663</v>
      </c>
      <c r="O375" s="24"/>
      <c r="P375" s="26">
        <f>GET_OK_GROUPS_COUNT(tbStoryEnemy[[#This Row],[Camp]],tbStoryEnemy[[#This Row],[Difficulty]],tbStoryEnemy[[#This Row],[IsBoss]],tbStoryEnemy[[#This Row],[Hero1]:[Soldier3]])</f>
        <v>5</v>
      </c>
      <c r="Q375" s="24">
        <v>1</v>
      </c>
      <c r="R375" s="25" t="s">
        <v>912</v>
      </c>
      <c r="S375" s="24"/>
      <c r="T37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76" spans="2:20" x14ac:dyDescent="0.3">
      <c r="B376" s="24"/>
      <c r="C376" s="34" t="s">
        <v>1265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1428</v>
      </c>
      <c r="K376" s="24"/>
      <c r="L376" s="24"/>
      <c r="M376" s="24" t="s">
        <v>447</v>
      </c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7" spans="2:20" x14ac:dyDescent="0.3">
      <c r="B377" s="24" t="s">
        <v>776</v>
      </c>
      <c r="C377" s="34" t="s">
        <v>1265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/>
      <c r="K377" s="24"/>
      <c r="L377" s="24"/>
      <c r="M377" s="55" t="s">
        <v>1665</v>
      </c>
      <c r="N377" s="55" t="s">
        <v>1666</v>
      </c>
      <c r="O377" s="24"/>
      <c r="P377" s="26">
        <f>GET_OK_GROUPS_COUNT(tbStoryEnemy[[#This Row],[Camp]],tbStoryEnemy[[#This Row],[Difficulty]],tbStoryEnemy[[#This Row],[IsBoss]],tbStoryEnemy[[#This Row],[Hero1]:[Soldier3]])</f>
        <v>5</v>
      </c>
      <c r="Q377" s="24">
        <v>1</v>
      </c>
      <c r="R377" s="25" t="s">
        <v>912</v>
      </c>
      <c r="S377" s="24"/>
      <c r="T37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78" spans="2:20" x14ac:dyDescent="0.3">
      <c r="B378" s="24"/>
      <c r="C378" s="34" t="s">
        <v>1265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1429</v>
      </c>
      <c r="K378" s="24" t="s">
        <v>1428</v>
      </c>
      <c r="L378" s="34" t="s">
        <v>1519</v>
      </c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1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79" spans="2:20" x14ac:dyDescent="0.3">
      <c r="B379" s="24" t="s">
        <v>777</v>
      </c>
      <c r="C379" s="34" t="s">
        <v>1265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1519</v>
      </c>
      <c r="K379" s="24" t="s">
        <v>1429</v>
      </c>
      <c r="L379" s="24" t="s">
        <v>1428</v>
      </c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1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0" spans="2:20" x14ac:dyDescent="0.3">
      <c r="B380" s="24"/>
      <c r="C380" s="34" t="s">
        <v>1265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1428</v>
      </c>
      <c r="L380" s="24" t="s">
        <v>1429</v>
      </c>
      <c r="M380" s="24"/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1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381" spans="2:20" x14ac:dyDescent="0.3">
      <c r="B381" s="24" t="s">
        <v>778</v>
      </c>
      <c r="C381" s="34" t="s">
        <v>1265</v>
      </c>
      <c r="D381" s="24">
        <v>1</v>
      </c>
      <c r="E381" s="24"/>
      <c r="F381" s="24">
        <v>0</v>
      </c>
      <c r="G381" s="24" t="s">
        <v>151</v>
      </c>
      <c r="H381" s="24" t="s">
        <v>1150</v>
      </c>
      <c r="I381" s="24"/>
      <c r="J381" s="24"/>
      <c r="K381" s="24"/>
      <c r="L381" s="24"/>
      <c r="M381" s="55" t="s">
        <v>1665</v>
      </c>
      <c r="N381" s="55" t="s">
        <v>1661</v>
      </c>
      <c r="O381" s="24"/>
      <c r="P381" s="26">
        <f>GET_OK_GROUPS_COUNT(tbStoryEnemy[[#This Row],[Camp]],tbStoryEnemy[[#This Row],[Difficulty]],tbStoryEnemy[[#This Row],[IsBoss]],tbStoryEnemy[[#This Row],[Hero1]:[Soldier3]])</f>
        <v>1</v>
      </c>
      <c r="Q381" s="24">
        <v>1</v>
      </c>
      <c r="R381" s="25" t="s">
        <v>912</v>
      </c>
      <c r="S381" s="24"/>
      <c r="T38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2" spans="2:20" x14ac:dyDescent="0.3">
      <c r="B382" s="24"/>
      <c r="C382" s="34" t="s">
        <v>1265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1549</v>
      </c>
      <c r="K382" s="24"/>
      <c r="L382" s="24"/>
      <c r="M382" s="55" t="s">
        <v>1661</v>
      </c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1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83" spans="2:20" x14ac:dyDescent="0.3">
      <c r="B383" s="24" t="s">
        <v>779</v>
      </c>
      <c r="C383" s="34" t="s">
        <v>1265</v>
      </c>
      <c r="D383" s="24">
        <v>1</v>
      </c>
      <c r="E383" s="24"/>
      <c r="F383" s="24">
        <v>0</v>
      </c>
      <c r="G383" s="24" t="s">
        <v>151</v>
      </c>
      <c r="H383" s="24" t="s">
        <v>1150</v>
      </c>
      <c r="I383" s="24"/>
      <c r="J383" s="24"/>
      <c r="K383" s="24"/>
      <c r="L383" s="24"/>
      <c r="M383" s="55" t="s">
        <v>1660</v>
      </c>
      <c r="N383" s="55" t="s">
        <v>1661</v>
      </c>
      <c r="O383" s="24"/>
      <c r="P383" s="26">
        <f>GET_OK_GROUPS_COUNT(tbStoryEnemy[[#This Row],[Camp]],tbStoryEnemy[[#This Row],[Difficulty]],tbStoryEnemy[[#This Row],[IsBoss]],tbStoryEnemy[[#This Row],[Hero1]:[Soldier3]])</f>
        <v>1</v>
      </c>
      <c r="Q383" s="24">
        <v>1</v>
      </c>
      <c r="R383" s="25" t="s">
        <v>912</v>
      </c>
      <c r="S383" s="24"/>
      <c r="T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20" x14ac:dyDescent="0.3">
      <c r="B384" s="24"/>
      <c r="C384" s="34" t="s">
        <v>1265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1554</v>
      </c>
      <c r="K384" s="24"/>
      <c r="L384" s="24"/>
      <c r="M384" s="24"/>
      <c r="N384" s="24" t="s">
        <v>26</v>
      </c>
      <c r="O384" s="24"/>
      <c r="P384" s="26">
        <f>GET_OK_GROUPS_COUNT(tbStoryEnemy[[#This Row],[Camp]],tbStoryEnemy[[#This Row],[Difficulty]],tbStoryEnemy[[#This Row],[IsBoss]],tbStoryEnemy[[#This Row],[Hero1]:[Soldier3]])</f>
        <v>1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85" spans="2:20" x14ac:dyDescent="0.3">
      <c r="B385" s="24" t="s">
        <v>780</v>
      </c>
      <c r="C385" s="34" t="s">
        <v>1265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 t="s">
        <v>1493</v>
      </c>
      <c r="K385" s="24"/>
      <c r="L385" s="24"/>
      <c r="M385" s="55" t="s">
        <v>1660</v>
      </c>
      <c r="N385" s="24"/>
      <c r="O385" s="24"/>
      <c r="P385" s="26">
        <f>GET_OK_GROUPS_COUNT(tbStoryEnemy[[#This Row],[Camp]],tbStoryEnemy[[#This Row],[Difficulty]],tbStoryEnemy[[#This Row],[IsBoss]],tbStoryEnemy[[#This Row],[Hero1]:[Soldier3]])</f>
        <v>1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86" spans="2:20" x14ac:dyDescent="0.3">
      <c r="B386" s="24"/>
      <c r="C386" s="34" t="s">
        <v>1265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1549</v>
      </c>
      <c r="L386" s="24"/>
      <c r="M386" s="24"/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1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87" spans="2:20" x14ac:dyDescent="0.3">
      <c r="B387" s="24" t="s">
        <v>781</v>
      </c>
      <c r="C387" s="34" t="s">
        <v>1265</v>
      </c>
      <c r="D387" s="24">
        <v>1</v>
      </c>
      <c r="E387" s="24"/>
      <c r="F387" s="24">
        <v>0</v>
      </c>
      <c r="G387" s="24" t="s">
        <v>151</v>
      </c>
      <c r="H387" s="24" t="s">
        <v>1150</v>
      </c>
      <c r="I387" s="24"/>
      <c r="J387" s="24"/>
      <c r="K387" s="24"/>
      <c r="L387" s="24"/>
      <c r="M387" s="24" t="s">
        <v>25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 x14ac:dyDescent="0.3">
      <c r="B388" s="24"/>
      <c r="C388" s="34" t="s">
        <v>1265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1553</v>
      </c>
      <c r="K388" s="24"/>
      <c r="L388" s="24"/>
      <c r="M388" s="24" t="s">
        <v>448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89" spans="2:20" x14ac:dyDescent="0.3">
      <c r="B389" s="24" t="s">
        <v>782</v>
      </c>
      <c r="C389" s="34" t="s">
        <v>1265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25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14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0" spans="2:20" x14ac:dyDescent="0.3">
      <c r="B390" s="24"/>
      <c r="C390" s="34" t="s">
        <v>1265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1551</v>
      </c>
      <c r="K390" s="24"/>
      <c r="L390" s="24"/>
      <c r="M390" s="24"/>
      <c r="N390" s="24" t="s">
        <v>28</v>
      </c>
      <c r="O390" s="24"/>
      <c r="P390" s="26">
        <f>GET_OK_GROUPS_COUNT(tbStoryEnemy[[#This Row],[Camp]],tbStoryEnemy[[#This Row],[Difficulty]],tbStoryEnemy[[#This Row],[IsBoss]],tbStoryEnemy[[#This Row],[Hero1]:[Soldier3]])</f>
        <v>1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1" spans="2:20" x14ac:dyDescent="0.3">
      <c r="B391" s="24" t="s">
        <v>783</v>
      </c>
      <c r="C391" s="34" t="s">
        <v>1265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 t="s">
        <v>1580</v>
      </c>
      <c r="K391" s="24"/>
      <c r="L391" s="24"/>
      <c r="M391" s="24"/>
      <c r="N391" s="24"/>
      <c r="O391" s="24"/>
      <c r="P391" s="26">
        <f>GET_OK_GROUPS_COUNT(tbStoryEnemy[[#This Row],[Camp]],tbStoryEnemy[[#This Row],[Difficulty]],tbStoryEnemy[[#This Row],[IsBoss]],tbStoryEnemy[[#This Row],[Hero1]:[Soldier3]])</f>
        <v>3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2" spans="2:20" x14ac:dyDescent="0.3">
      <c r="B392" s="24"/>
      <c r="C392" s="34" t="s">
        <v>1265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1553</v>
      </c>
      <c r="L392" s="24"/>
      <c r="M392" s="24"/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1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93" spans="2:20" x14ac:dyDescent="0.3">
      <c r="B393" s="24" t="s">
        <v>784</v>
      </c>
      <c r="C393" s="34" t="s">
        <v>1265</v>
      </c>
      <c r="D393" s="24">
        <v>1</v>
      </c>
      <c r="E393" s="24"/>
      <c r="F393" s="24">
        <v>0</v>
      </c>
      <c r="G393" s="24" t="s">
        <v>151</v>
      </c>
      <c r="H393" s="24" t="s">
        <v>1150</v>
      </c>
      <c r="I393" s="24"/>
      <c r="J393" s="24"/>
      <c r="K393" s="24"/>
      <c r="L393" s="24"/>
      <c r="M393" s="55" t="s">
        <v>1660</v>
      </c>
      <c r="N393" s="55" t="s">
        <v>1661</v>
      </c>
      <c r="O393" s="24"/>
      <c r="P393" s="26">
        <f>GET_OK_GROUPS_COUNT(tbStoryEnemy[[#This Row],[Camp]],tbStoryEnemy[[#This Row],[Difficulty]],tbStoryEnemy[[#This Row],[IsBoss]],tbStoryEnemy[[#This Row],[Hero1]:[Soldier3]])</f>
        <v>1</v>
      </c>
      <c r="Q393" s="24">
        <v>1</v>
      </c>
      <c r="R393" s="25" t="s">
        <v>912</v>
      </c>
      <c r="S393" s="24"/>
      <c r="T39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4" spans="2:20" x14ac:dyDescent="0.3">
      <c r="B394" s="24"/>
      <c r="C394" s="34" t="s">
        <v>1265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1550</v>
      </c>
      <c r="K394" s="24"/>
      <c r="L394" s="24"/>
      <c r="M394" s="24" t="s">
        <v>26</v>
      </c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1</v>
      </c>
      <c r="Q394" s="24">
        <v>1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95" spans="2:20" x14ac:dyDescent="0.3">
      <c r="B395" s="24" t="s">
        <v>785</v>
      </c>
      <c r="C395" s="34" t="s">
        <v>1265</v>
      </c>
      <c r="D395" s="24">
        <v>1</v>
      </c>
      <c r="E395" s="24"/>
      <c r="F395" s="24">
        <v>0</v>
      </c>
      <c r="G395" s="24" t="s">
        <v>151</v>
      </c>
      <c r="H395" s="24" t="s">
        <v>1150</v>
      </c>
      <c r="I395" s="24"/>
      <c r="J395" s="24"/>
      <c r="K395" s="24"/>
      <c r="L395" s="24"/>
      <c r="M395" s="55" t="s">
        <v>1660</v>
      </c>
      <c r="N395" s="55" t="s">
        <v>1661</v>
      </c>
      <c r="O395" s="24"/>
      <c r="P395" s="26">
        <f>GET_OK_GROUPS_COUNT(tbStoryEnemy[[#This Row],[Camp]],tbStoryEnemy[[#This Row],[Difficulty]],tbStoryEnemy[[#This Row],[IsBoss]],tbStoryEnemy[[#This Row],[Hero1]:[Soldier3]])</f>
        <v>1</v>
      </c>
      <c r="Q395" s="24">
        <v>1</v>
      </c>
      <c r="R395" s="25" t="s">
        <v>912</v>
      </c>
      <c r="S395" s="24"/>
      <c r="T39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B396" s="24"/>
      <c r="C396" s="34" t="s">
        <v>1265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1552</v>
      </c>
      <c r="K396" s="24"/>
      <c r="L396" s="24"/>
      <c r="M396" s="55" t="s">
        <v>1660</v>
      </c>
      <c r="N396" s="24"/>
      <c r="O396" s="24"/>
      <c r="P396" s="26">
        <f>GET_OK_GROUPS_COUNT(tbStoryEnemy[[#This Row],[Camp]],tbStoryEnemy[[#This Row],[Difficulty]],tbStoryEnemy[[#This Row],[IsBoss]],tbStoryEnemy[[#This Row],[Hero1]:[Soldier3]])</f>
        <v>1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7" spans="2:20" x14ac:dyDescent="0.3">
      <c r="B397" s="24" t="s">
        <v>786</v>
      </c>
      <c r="C397" s="34" t="s">
        <v>1265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 t="s">
        <v>1571</v>
      </c>
      <c r="K397" s="24"/>
      <c r="L397" s="24"/>
      <c r="M397" s="24"/>
      <c r="N397" s="24"/>
      <c r="O397" s="24"/>
      <c r="P397" s="26">
        <f>GET_OK_GROUPS_COUNT(tbStoryEnemy[[#This Row],[Camp]],tbStoryEnemy[[#This Row],[Difficulty]],tbStoryEnemy[[#This Row],[IsBoss]],tbStoryEnemy[[#This Row],[Hero1]:[Soldier3]])</f>
        <v>3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8" spans="2:20" x14ac:dyDescent="0.3">
      <c r="B398" s="24"/>
      <c r="C398" s="34" t="s">
        <v>1265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1167</v>
      </c>
      <c r="K398" s="24" t="s">
        <v>1549</v>
      </c>
      <c r="L398" s="24"/>
      <c r="M398" s="24"/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1</v>
      </c>
      <c r="Q398" s="24">
        <v>1</v>
      </c>
      <c r="R398" s="25" t="s">
        <v>1167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399" spans="2:20" x14ac:dyDescent="0.3">
      <c r="B399" s="24" t="s">
        <v>787</v>
      </c>
      <c r="C399" s="34" t="s">
        <v>1265</v>
      </c>
      <c r="D399" s="24">
        <v>1</v>
      </c>
      <c r="E399" s="24"/>
      <c r="F399" s="24">
        <v>0</v>
      </c>
      <c r="G399" s="24" t="s">
        <v>151</v>
      </c>
      <c r="H399" s="24" t="s">
        <v>1150</v>
      </c>
      <c r="I399" s="24"/>
      <c r="J399" s="24"/>
      <c r="K399" s="24"/>
      <c r="L399" s="24"/>
      <c r="M399" s="55" t="s">
        <v>1665</v>
      </c>
      <c r="N399" s="55" t="s">
        <v>1663</v>
      </c>
      <c r="O399" s="24"/>
      <c r="P399" s="26">
        <f>GET_OK_GROUPS_COUNT(tbStoryEnemy[[#This Row],[Camp]],tbStoryEnemy[[#This Row],[Difficulty]],tbStoryEnemy[[#This Row],[IsBoss]],tbStoryEnemy[[#This Row],[Hero1]:[Soldier3]])</f>
        <v>1</v>
      </c>
      <c r="Q399" s="24">
        <v>1</v>
      </c>
      <c r="R399" s="25" t="s">
        <v>912</v>
      </c>
      <c r="S399" s="24"/>
      <c r="T39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00" spans="2:20" x14ac:dyDescent="0.3">
      <c r="B400" s="24"/>
      <c r="C400" s="34" t="s">
        <v>1265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1553</v>
      </c>
      <c r="K400" s="24"/>
      <c r="L400" s="24"/>
      <c r="M400" s="55" t="s">
        <v>1663</v>
      </c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1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1" spans="2:20" x14ac:dyDescent="0.3">
      <c r="B401" s="24" t="s">
        <v>788</v>
      </c>
      <c r="C401" s="34" t="s">
        <v>1265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55" t="s">
        <v>1665</v>
      </c>
      <c r="N401" s="55" t="s">
        <v>1663</v>
      </c>
      <c r="O401" s="24"/>
      <c r="P401" s="26">
        <f>GET_OK_GROUPS_COUNT(tbStoryEnemy[[#This Row],[Camp]],tbStoryEnemy[[#This Row],[Difficulty]],tbStoryEnemy[[#This Row],[IsBoss]],tbStoryEnemy[[#This Row],[Hero1]:[Soldier3]])</f>
        <v>5</v>
      </c>
      <c r="Q401" s="24">
        <v>1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02" spans="2:20" x14ac:dyDescent="0.3">
      <c r="B402" s="24"/>
      <c r="C402" s="34" t="s">
        <v>1265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1551</v>
      </c>
      <c r="K402" s="24"/>
      <c r="L402" s="24"/>
      <c r="M402" s="55" t="s">
        <v>1663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1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3" spans="2:20" x14ac:dyDescent="0.3">
      <c r="B403" s="24" t="s">
        <v>789</v>
      </c>
      <c r="C403" s="34" t="s">
        <v>1265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 t="s">
        <v>1168</v>
      </c>
      <c r="K403" s="24"/>
      <c r="L403" s="24"/>
      <c r="M403" s="55" t="s">
        <v>1665</v>
      </c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1</v>
      </c>
      <c r="Q403" s="24">
        <v>1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4" spans="2:20" x14ac:dyDescent="0.3">
      <c r="B404" s="24"/>
      <c r="C404" s="34" t="s">
        <v>1265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1550</v>
      </c>
      <c r="L404" s="24" t="s">
        <v>1552</v>
      </c>
      <c r="M404" s="24"/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1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05" spans="2:20" x14ac:dyDescent="0.3">
      <c r="B405" s="24" t="s">
        <v>790</v>
      </c>
      <c r="C405" s="34" t="s">
        <v>1265</v>
      </c>
      <c r="D405" s="24">
        <v>1</v>
      </c>
      <c r="E405" s="24"/>
      <c r="F405" s="24">
        <v>0</v>
      </c>
      <c r="G405" s="24" t="s">
        <v>151</v>
      </c>
      <c r="H405" s="24" t="s">
        <v>1150</v>
      </c>
      <c r="I405" s="24"/>
      <c r="J405" s="24"/>
      <c r="K405" s="24"/>
      <c r="L405" s="24"/>
      <c r="M405" s="55" t="s">
        <v>1665</v>
      </c>
      <c r="N405" s="55" t="s">
        <v>1666</v>
      </c>
      <c r="O405" s="24"/>
      <c r="P405" s="26">
        <f>GET_OK_GROUPS_COUNT(tbStoryEnemy[[#This Row],[Camp]],tbStoryEnemy[[#This Row],[Difficulty]],tbStoryEnemy[[#This Row],[IsBoss]],tbStoryEnemy[[#This Row],[Hero1]:[Soldier3]])</f>
        <v>1</v>
      </c>
      <c r="Q405" s="24">
        <v>1</v>
      </c>
      <c r="R405" s="25" t="s">
        <v>912</v>
      </c>
      <c r="S405" s="24"/>
      <c r="T40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6" spans="2:20" x14ac:dyDescent="0.3">
      <c r="B406" s="24"/>
      <c r="C406" s="34" t="s">
        <v>1265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1553</v>
      </c>
      <c r="K406" s="24"/>
      <c r="L406" s="24"/>
      <c r="M406" s="24" t="s">
        <v>28</v>
      </c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7" spans="2:20" x14ac:dyDescent="0.3">
      <c r="B407" s="24" t="s">
        <v>791</v>
      </c>
      <c r="C407" s="34" t="s">
        <v>1265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/>
      <c r="K407" s="24"/>
      <c r="L407" s="24"/>
      <c r="M407" s="55" t="s">
        <v>1665</v>
      </c>
      <c r="N407" s="55" t="s">
        <v>1663</v>
      </c>
      <c r="O407" s="24"/>
      <c r="P407" s="26">
        <f>GET_OK_GROUPS_COUNT(tbStoryEnemy[[#This Row],[Camp]],tbStoryEnemy[[#This Row],[Difficulty]],tbStoryEnemy[[#This Row],[IsBoss]],tbStoryEnemy[[#This Row],[Hero1]:[Soldier3]])</f>
        <v>5</v>
      </c>
      <c r="Q407" s="24">
        <v>3</v>
      </c>
      <c r="R407" s="25" t="s">
        <v>912</v>
      </c>
      <c r="S407" s="24"/>
      <c r="T407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08" spans="2:20" x14ac:dyDescent="0.3">
      <c r="B408" s="24"/>
      <c r="C408" s="34" t="s">
        <v>1265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1551</v>
      </c>
      <c r="K408" s="24"/>
      <c r="L408" s="24"/>
      <c r="M408" s="24" t="s">
        <v>447</v>
      </c>
      <c r="N408" s="24"/>
      <c r="O408" s="24"/>
      <c r="P408" s="26">
        <f>GET_OK_GROUPS_COUNT(tbStoryEnemy[[#This Row],[Camp]],tbStoryEnemy[[#This Row],[Difficulty]],tbStoryEnemy[[#This Row],[IsBoss]],tbStoryEnemy[[#This Row],[Hero1]:[Soldier3]])</f>
        <v>1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20" x14ac:dyDescent="0.3">
      <c r="B409" s="24" t="s">
        <v>792</v>
      </c>
      <c r="C409" s="34" t="s">
        <v>1265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 t="s">
        <v>357</v>
      </c>
      <c r="K409" s="24"/>
      <c r="L409" s="24"/>
      <c r="M409" s="24"/>
      <c r="N409" s="24"/>
      <c r="O409" s="24"/>
      <c r="P409" s="26">
        <f>GET_OK_GROUPS_COUNT(tbStoryEnemy[[#This Row],[Camp]],tbStoryEnemy[[#This Row],[Difficulty]],tbStoryEnemy[[#This Row],[IsBoss]],tbStoryEnemy[[#This Row],[Hero1]:[Soldier3]])</f>
        <v>3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0" spans="2:20" x14ac:dyDescent="0.3">
      <c r="B410" s="24"/>
      <c r="C410" s="34" t="s">
        <v>1265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1550</v>
      </c>
      <c r="L410" s="24" t="s">
        <v>1552</v>
      </c>
      <c r="M410" s="24"/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1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11" spans="2:20" x14ac:dyDescent="0.3">
      <c r="B411" s="24" t="s">
        <v>793</v>
      </c>
      <c r="C411" s="34" t="s">
        <v>1265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55" t="s">
        <v>1665</v>
      </c>
      <c r="N411" s="55" t="s">
        <v>1666</v>
      </c>
      <c r="O411" s="24"/>
      <c r="P411" s="26">
        <f>GET_OK_GROUPS_COUNT(tbStoryEnemy[[#This Row],[Camp]],tbStoryEnemy[[#This Row],[Difficulty]],tbStoryEnemy[[#This Row],[IsBoss]],tbStoryEnemy[[#This Row],[Hero1]:[Soldier3]])</f>
        <v>5</v>
      </c>
      <c r="Q411" s="24">
        <v>2</v>
      </c>
      <c r="R411" s="25" t="s">
        <v>912</v>
      </c>
      <c r="S411" s="24"/>
      <c r="T411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12" spans="2:20" x14ac:dyDescent="0.3">
      <c r="B412" s="24"/>
      <c r="C412" s="34" t="s">
        <v>1265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1468</v>
      </c>
      <c r="K412" s="24"/>
      <c r="L412" s="24"/>
      <c r="M412" s="55" t="s">
        <v>1665</v>
      </c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1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3" spans="2:20" x14ac:dyDescent="0.3">
      <c r="B413" s="24" t="s">
        <v>794</v>
      </c>
      <c r="C413" s="34" t="s">
        <v>1265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/>
      <c r="K413" s="24"/>
      <c r="L413" s="24"/>
      <c r="M413" s="55" t="s">
        <v>1659</v>
      </c>
      <c r="N413" s="24"/>
      <c r="O413" s="24"/>
      <c r="P413" s="26">
        <f>GET_OK_GROUPS_COUNT(tbStoryEnemy[[#This Row],[Camp]],tbStoryEnemy[[#This Row],[Difficulty]],tbStoryEnemy[[#This Row],[IsBoss]],tbStoryEnemy[[#This Row],[Hero1]:[Soldier3]])</f>
        <v>10</v>
      </c>
      <c r="Q413" s="24">
        <v>1</v>
      </c>
      <c r="R413" s="25" t="s">
        <v>912</v>
      </c>
      <c r="S413" s="24"/>
      <c r="T41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14" spans="2:20" x14ac:dyDescent="0.3">
      <c r="B414" s="24"/>
      <c r="C414" s="34" t="s">
        <v>1265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1467</v>
      </c>
      <c r="K414" s="24" t="s">
        <v>1468</v>
      </c>
      <c r="L414" s="24"/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1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>三国-超难-法英+法英</v>
      </c>
    </row>
    <row r="415" spans="2:20" x14ac:dyDescent="0.3">
      <c r="B415" s="24" t="s">
        <v>795</v>
      </c>
      <c r="C415" s="34" t="s">
        <v>1265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393</v>
      </c>
      <c r="K415" s="24" t="s">
        <v>1468</v>
      </c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1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>三国-超难-法英+刺英</v>
      </c>
    </row>
    <row r="416" spans="2:20" x14ac:dyDescent="0.3">
      <c r="B416" s="24"/>
      <c r="C416" s="34" t="s">
        <v>1265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1468</v>
      </c>
      <c r="L416" s="24"/>
      <c r="M416" s="24"/>
      <c r="N416" s="24"/>
      <c r="O416" s="24"/>
      <c r="P416" s="26">
        <f>GET_OK_GROUPS_COUNT(tbStoryEnemy[[#This Row],[Camp]],tbStoryEnemy[[#This Row],[Difficulty]],tbStoryEnemy[[#This Row],[IsBoss]],tbStoryEnemy[[#This Row],[Hero1]:[Soldier3]])</f>
        <v>1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17" spans="2:20" x14ac:dyDescent="0.3">
      <c r="B417" s="24" t="s">
        <v>796</v>
      </c>
      <c r="C417" s="34" t="s">
        <v>1265</v>
      </c>
      <c r="D417" s="24">
        <v>1</v>
      </c>
      <c r="E417" s="24"/>
      <c r="F417" s="24">
        <v>0</v>
      </c>
      <c r="G417" s="24" t="s">
        <v>151</v>
      </c>
      <c r="H417" s="24" t="s">
        <v>1150</v>
      </c>
      <c r="I417" s="24"/>
      <c r="J417" s="24"/>
      <c r="K417" s="24"/>
      <c r="L417" s="24"/>
      <c r="M417" s="55" t="s">
        <v>1665</v>
      </c>
      <c r="N417" s="55" t="s">
        <v>1661</v>
      </c>
      <c r="O417" s="24"/>
      <c r="P417" s="26">
        <f>GET_OK_GROUPS_COUNT(tbStoryEnemy[[#This Row],[Camp]],tbStoryEnemy[[#This Row],[Difficulty]],tbStoryEnemy[[#This Row],[IsBoss]],tbStoryEnemy[[#This Row],[Hero1]:[Soldier3]])</f>
        <v>1</v>
      </c>
      <c r="Q417" s="24">
        <v>1</v>
      </c>
      <c r="R417" s="25" t="s">
        <v>912</v>
      </c>
      <c r="S417" s="24"/>
      <c r="T41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18" spans="2:20" x14ac:dyDescent="0.3">
      <c r="B418" s="24"/>
      <c r="C418" s="34" t="s">
        <v>1265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1482</v>
      </c>
      <c r="K418" s="24"/>
      <c r="L418" s="24"/>
      <c r="M418" s="24" t="s">
        <v>34</v>
      </c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19" spans="2:20" x14ac:dyDescent="0.3">
      <c r="B419" s="24" t="s">
        <v>797</v>
      </c>
      <c r="C419" s="34" t="s">
        <v>1265</v>
      </c>
      <c r="D419" s="24">
        <v>1</v>
      </c>
      <c r="E419" s="24"/>
      <c r="F419" s="24">
        <v>0</v>
      </c>
      <c r="G419" s="24" t="s">
        <v>151</v>
      </c>
      <c r="H419" s="24" t="s">
        <v>1150</v>
      </c>
      <c r="I419" s="24"/>
      <c r="J419" s="24"/>
      <c r="K419" s="24"/>
      <c r="L419" s="24"/>
      <c r="M419" s="24" t="s">
        <v>447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3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0" spans="2:20" x14ac:dyDescent="0.3">
      <c r="B420" s="24"/>
      <c r="C420" s="34" t="s">
        <v>1265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1454</v>
      </c>
      <c r="K420" s="24"/>
      <c r="L420" s="24"/>
      <c r="M420" s="55" t="s">
        <v>1660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1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21" spans="2:20" x14ac:dyDescent="0.3">
      <c r="B421" s="24" t="s">
        <v>798</v>
      </c>
      <c r="C421" s="34" t="s">
        <v>1265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 t="s">
        <v>1555</v>
      </c>
      <c r="K421" s="24"/>
      <c r="L421" s="24"/>
      <c r="M421" s="24"/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4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2" spans="2:20" x14ac:dyDescent="0.3">
      <c r="B422" s="24"/>
      <c r="C422" s="34" t="s">
        <v>1265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1168</v>
      </c>
      <c r="K422" s="24" t="s">
        <v>1482</v>
      </c>
      <c r="L422" s="24"/>
      <c r="M422" s="24"/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1</v>
      </c>
      <c r="Q422" s="24">
        <v>1</v>
      </c>
      <c r="R422" s="25" t="s">
        <v>1168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423" spans="2:20" x14ac:dyDescent="0.3">
      <c r="B423" s="24" t="s">
        <v>799</v>
      </c>
      <c r="C423" s="34" t="s">
        <v>1265</v>
      </c>
      <c r="D423" s="24">
        <v>1</v>
      </c>
      <c r="E423" s="24"/>
      <c r="F423" s="24">
        <v>0</v>
      </c>
      <c r="G423" s="24" t="s">
        <v>151</v>
      </c>
      <c r="H423" s="24" t="s">
        <v>1150</v>
      </c>
      <c r="I423" s="24"/>
      <c r="J423" s="24"/>
      <c r="K423" s="24"/>
      <c r="L423" s="24"/>
      <c r="M423" s="55" t="s">
        <v>1665</v>
      </c>
      <c r="N423" s="55" t="s">
        <v>1663</v>
      </c>
      <c r="O423" s="24"/>
      <c r="P423" s="26">
        <f>GET_OK_GROUPS_COUNT(tbStoryEnemy[[#This Row],[Camp]],tbStoryEnemy[[#This Row],[Difficulty]],tbStoryEnemy[[#This Row],[IsBoss]],tbStoryEnemy[[#This Row],[Hero1]:[Soldier3]])</f>
        <v>1</v>
      </c>
      <c r="Q423" s="24">
        <v>1</v>
      </c>
      <c r="R423" s="25" t="s">
        <v>912</v>
      </c>
      <c r="S423" s="24"/>
      <c r="T42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4" spans="2:20" x14ac:dyDescent="0.3">
      <c r="B424" s="24"/>
      <c r="C424" s="34" t="s">
        <v>1265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1485</v>
      </c>
      <c r="K424" s="24"/>
      <c r="L424" s="24"/>
      <c r="M424" s="24" t="s">
        <v>447</v>
      </c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5" spans="2:20" x14ac:dyDescent="0.3">
      <c r="B425" s="24" t="s">
        <v>800</v>
      </c>
      <c r="C425" s="34" t="s">
        <v>1265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/>
      <c r="K425" s="24"/>
      <c r="L425" s="24"/>
      <c r="M425" s="24" t="s">
        <v>34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14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6" spans="2:20" x14ac:dyDescent="0.3">
      <c r="B426" s="24"/>
      <c r="C426" s="34" t="s">
        <v>1265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1456</v>
      </c>
      <c r="K426" s="24"/>
      <c r="L426" s="24"/>
      <c r="M426" s="24" t="s">
        <v>25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27" spans="2:20" x14ac:dyDescent="0.3">
      <c r="B427" s="24" t="s">
        <v>801</v>
      </c>
      <c r="C427" s="34" t="s">
        <v>1265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1547</v>
      </c>
      <c r="K427" s="24"/>
      <c r="L427" s="24"/>
      <c r="M427" s="24"/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3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28" spans="2:20" x14ac:dyDescent="0.3">
      <c r="B428" s="24"/>
      <c r="C428" s="34" t="s">
        <v>1265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1485</v>
      </c>
      <c r="L428" s="24" t="s">
        <v>1456</v>
      </c>
      <c r="M428" s="24"/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1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29" spans="2:20" x14ac:dyDescent="0.3">
      <c r="B429" s="24" t="s">
        <v>802</v>
      </c>
      <c r="C429" s="34" t="s">
        <v>1265</v>
      </c>
      <c r="D429" s="24">
        <v>1</v>
      </c>
      <c r="E429" s="24"/>
      <c r="F429" s="24">
        <v>0</v>
      </c>
      <c r="G429" s="24" t="s">
        <v>151</v>
      </c>
      <c r="H429" s="24" t="s">
        <v>1150</v>
      </c>
      <c r="I429" s="24"/>
      <c r="J429" s="24"/>
      <c r="K429" s="24"/>
      <c r="L429" s="24"/>
      <c r="M429" s="55" t="s">
        <v>1665</v>
      </c>
      <c r="N429" s="55" t="s">
        <v>1663</v>
      </c>
      <c r="O429" s="24"/>
      <c r="P429" s="26">
        <f>GET_OK_GROUPS_COUNT(tbStoryEnemy[[#This Row],[Camp]],tbStoryEnemy[[#This Row],[Difficulty]],tbStoryEnemy[[#This Row],[IsBoss]],tbStoryEnemy[[#This Row],[Hero1]:[Soldier3]])</f>
        <v>1</v>
      </c>
      <c r="Q429" s="24">
        <v>1</v>
      </c>
      <c r="R429" s="25" t="s">
        <v>912</v>
      </c>
      <c r="S429" s="24"/>
      <c r="T42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30" spans="2:20" x14ac:dyDescent="0.3">
      <c r="B430" s="24"/>
      <c r="C430" s="34" t="s">
        <v>1265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1539</v>
      </c>
      <c r="K430" s="24"/>
      <c r="L430" s="24"/>
      <c r="M430" s="55" t="s">
        <v>1663</v>
      </c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1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1" spans="2:20" x14ac:dyDescent="0.3">
      <c r="B431" s="24" t="s">
        <v>803</v>
      </c>
      <c r="C431" s="34" t="s">
        <v>1265</v>
      </c>
      <c r="D431" s="24">
        <v>1</v>
      </c>
      <c r="E431" s="24"/>
      <c r="F431" s="24">
        <v>0</v>
      </c>
      <c r="G431" s="24" t="s">
        <v>151</v>
      </c>
      <c r="H431" s="24" t="s">
        <v>1150</v>
      </c>
      <c r="I431" s="24"/>
      <c r="J431" s="24"/>
      <c r="K431" s="24"/>
      <c r="L431" s="24"/>
      <c r="M431" s="55" t="s">
        <v>1660</v>
      </c>
      <c r="N431" s="55" t="s">
        <v>1661</v>
      </c>
      <c r="O431" s="24"/>
      <c r="P431" s="26">
        <f>GET_OK_GROUPS_COUNT(tbStoryEnemy[[#This Row],[Camp]],tbStoryEnemy[[#This Row],[Difficulty]],tbStoryEnemy[[#This Row],[IsBoss]],tbStoryEnemy[[#This Row],[Hero1]:[Soldier3]])</f>
        <v>1</v>
      </c>
      <c r="Q431" s="24">
        <v>1</v>
      </c>
      <c r="R431" s="25" t="s">
        <v>912</v>
      </c>
      <c r="S431" s="24"/>
      <c r="T43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20" x14ac:dyDescent="0.3">
      <c r="B432" s="24"/>
      <c r="C432" s="34" t="s">
        <v>1265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1541</v>
      </c>
      <c r="K432" s="24"/>
      <c r="L432" s="24"/>
      <c r="M432" s="24" t="s">
        <v>26</v>
      </c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3" spans="2:20" x14ac:dyDescent="0.3">
      <c r="B433" s="24" t="s">
        <v>804</v>
      </c>
      <c r="C433" s="34" t="s">
        <v>1265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 t="s">
        <v>1488</v>
      </c>
      <c r="K433" s="24"/>
      <c r="L433" s="24"/>
      <c r="M433" s="24"/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3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4" spans="2:20" x14ac:dyDescent="0.3">
      <c r="B434" s="24"/>
      <c r="C434" s="34" t="s">
        <v>1265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1169</v>
      </c>
      <c r="K434" s="24" t="s">
        <v>1539</v>
      </c>
      <c r="L434" s="24"/>
      <c r="M434" s="24"/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1</v>
      </c>
      <c r="Q434" s="24">
        <v>1</v>
      </c>
      <c r="R434" s="25" t="s">
        <v>1169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35" spans="2:20" x14ac:dyDescent="0.3">
      <c r="B435" s="24" t="s">
        <v>805</v>
      </c>
      <c r="C435" s="34" t="s">
        <v>1265</v>
      </c>
      <c r="D435" s="24">
        <v>1</v>
      </c>
      <c r="E435" s="24"/>
      <c r="F435" s="24">
        <v>0</v>
      </c>
      <c r="G435" s="24" t="s">
        <v>151</v>
      </c>
      <c r="H435" s="24" t="s">
        <v>1150</v>
      </c>
      <c r="I435" s="24"/>
      <c r="J435" s="24"/>
      <c r="K435" s="24"/>
      <c r="L435" s="24"/>
      <c r="M435" s="55" t="s">
        <v>1660</v>
      </c>
      <c r="N435" s="55" t="s">
        <v>1661</v>
      </c>
      <c r="O435" s="24"/>
      <c r="P435" s="26">
        <f>GET_OK_GROUPS_COUNT(tbStoryEnemy[[#This Row],[Camp]],tbStoryEnemy[[#This Row],[Difficulty]],tbStoryEnemy[[#This Row],[IsBoss]],tbStoryEnemy[[#This Row],[Hero1]:[Soldier3]])</f>
        <v>1</v>
      </c>
      <c r="Q435" s="24">
        <v>1</v>
      </c>
      <c r="R435" s="25" t="s">
        <v>912</v>
      </c>
      <c r="S435" s="24"/>
      <c r="T4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6" spans="2:20" x14ac:dyDescent="0.3">
      <c r="B436" s="24"/>
      <c r="C436" s="34" t="s">
        <v>1265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1540</v>
      </c>
      <c r="K436" s="24"/>
      <c r="L436" s="24"/>
      <c r="M436" s="55" t="s">
        <v>1660</v>
      </c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1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37" spans="2:20" x14ac:dyDescent="0.3">
      <c r="B437" s="24" t="s">
        <v>806</v>
      </c>
      <c r="C437" s="34" t="s">
        <v>1265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/>
      <c r="K437" s="24"/>
      <c r="L437" s="24"/>
      <c r="M437" s="24" t="s">
        <v>34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14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8" spans="2:20" x14ac:dyDescent="0.3">
      <c r="B438" s="24"/>
      <c r="C438" s="34" t="s">
        <v>1265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1538</v>
      </c>
      <c r="K438" s="24"/>
      <c r="L438" s="24"/>
      <c r="M438" s="24" t="s">
        <v>28</v>
      </c>
      <c r="N438" s="24"/>
      <c r="O438" s="24"/>
      <c r="P438" s="26">
        <f>GET_OK_GROUPS_COUNT(tbStoryEnemy[[#This Row],[Camp]],tbStoryEnemy[[#This Row],[Difficulty]],tbStoryEnemy[[#This Row],[IsBoss]],tbStoryEnemy[[#This Row],[Hero1]:[Soldier3]])</f>
        <v>1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9" spans="2:20" x14ac:dyDescent="0.3">
      <c r="B439" s="24" t="s">
        <v>807</v>
      </c>
      <c r="C439" s="34" t="s">
        <v>1265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 t="s">
        <v>1544</v>
      </c>
      <c r="K439" s="24"/>
      <c r="L439" s="24"/>
      <c r="M439" s="24"/>
      <c r="N439" s="24"/>
      <c r="O439" s="24"/>
      <c r="P439" s="26">
        <f>GET_OK_GROUPS_COUNT(tbStoryEnemy[[#This Row],[Camp]],tbStoryEnemy[[#This Row],[Difficulty]],tbStoryEnemy[[#This Row],[IsBoss]],tbStoryEnemy[[#This Row],[Hero1]:[Soldier3]])</f>
        <v>4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0" spans="2:20" x14ac:dyDescent="0.3">
      <c r="B440" s="24"/>
      <c r="C440" s="34" t="s">
        <v>1265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1540</v>
      </c>
      <c r="L440" s="24" t="s">
        <v>1538</v>
      </c>
      <c r="M440" s="24"/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1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41" spans="2:20" x14ac:dyDescent="0.3">
      <c r="B441" s="24" t="s">
        <v>808</v>
      </c>
      <c r="C441" s="34" t="s">
        <v>1265</v>
      </c>
      <c r="D441" s="24">
        <v>1</v>
      </c>
      <c r="E441" s="24"/>
      <c r="F441" s="24">
        <v>0</v>
      </c>
      <c r="G441" s="24" t="s">
        <v>151</v>
      </c>
      <c r="H441" s="24" t="s">
        <v>1150</v>
      </c>
      <c r="I441" s="24"/>
      <c r="J441" s="24"/>
      <c r="K441" s="24"/>
      <c r="L441" s="24"/>
      <c r="M441" s="55" t="s">
        <v>1665</v>
      </c>
      <c r="N441" s="55" t="s">
        <v>1661</v>
      </c>
      <c r="O441" s="24"/>
      <c r="P441" s="26">
        <f>GET_OK_GROUPS_COUNT(tbStoryEnemy[[#This Row],[Camp]],tbStoryEnemy[[#This Row],[Difficulty]],tbStoryEnemy[[#This Row],[IsBoss]],tbStoryEnemy[[#This Row],[Hero1]:[Soldier3]])</f>
        <v>1</v>
      </c>
      <c r="Q441" s="24">
        <v>1</v>
      </c>
      <c r="R441" s="25" t="s">
        <v>912</v>
      </c>
      <c r="S441" s="24"/>
      <c r="T4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2" spans="2:20" x14ac:dyDescent="0.3">
      <c r="B442" s="24"/>
      <c r="C442" s="34" t="s">
        <v>1265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1461</v>
      </c>
      <c r="K442" s="24"/>
      <c r="L442" s="24"/>
      <c r="M442" s="55" t="s">
        <v>1661</v>
      </c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1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3" spans="2:20" x14ac:dyDescent="0.3">
      <c r="B443" s="24" t="s">
        <v>809</v>
      </c>
      <c r="C443" s="34" t="s">
        <v>1265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/>
      <c r="K443" s="24"/>
      <c r="L443" s="24"/>
      <c r="M443" s="55" t="s">
        <v>1660</v>
      </c>
      <c r="N443" s="55" t="s">
        <v>1666</v>
      </c>
      <c r="O443" s="24"/>
      <c r="P443" s="26">
        <f>GET_OK_GROUPS_COUNT(tbStoryEnemy[[#This Row],[Camp]],tbStoryEnemy[[#This Row],[Difficulty]],tbStoryEnemy[[#This Row],[IsBoss]],tbStoryEnemy[[#This Row],[Hero1]:[Soldier3]])</f>
        <v>5</v>
      </c>
      <c r="Q443" s="24">
        <v>1</v>
      </c>
      <c r="R443" s="25" t="s">
        <v>912</v>
      </c>
      <c r="S443" s="24"/>
      <c r="T44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4" spans="2:20" x14ac:dyDescent="0.3">
      <c r="B444" s="24"/>
      <c r="C444" s="34" t="s">
        <v>1265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1462</v>
      </c>
      <c r="K444" s="24"/>
      <c r="L444" s="24"/>
      <c r="M444" s="24" t="s">
        <v>28</v>
      </c>
      <c r="N444" s="24"/>
      <c r="O444" s="24"/>
      <c r="P444" s="26">
        <f>GET_OK_GROUPS_COUNT(tbStoryEnemy[[#This Row],[Camp]],tbStoryEnemy[[#This Row],[Difficulty]],tbStoryEnemy[[#This Row],[IsBoss]],tbStoryEnemy[[#This Row],[Hero1]:[Soldier3]])</f>
        <v>1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45" spans="2:20" x14ac:dyDescent="0.3">
      <c r="B445" s="24" t="s">
        <v>810</v>
      </c>
      <c r="C445" s="34" t="s">
        <v>1265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 t="s">
        <v>1464</v>
      </c>
      <c r="K445" s="24"/>
      <c r="L445" s="24"/>
      <c r="M445" s="24"/>
      <c r="N445" s="24"/>
      <c r="O445" s="24"/>
      <c r="P445" s="26">
        <f>GET_OK_GROUPS_COUNT(tbStoryEnemy[[#This Row],[Camp]],tbStoryEnemy[[#This Row],[Difficulty]],tbStoryEnemy[[#This Row],[IsBoss]],tbStoryEnemy[[#This Row],[Hero1]:[Soldier3]])</f>
        <v>3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46" spans="2:20" x14ac:dyDescent="0.3">
      <c r="B446" s="24"/>
      <c r="C446" s="34" t="s">
        <v>1265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1461</v>
      </c>
      <c r="L446" s="24" t="s">
        <v>1462</v>
      </c>
      <c r="M446" s="24"/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1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47" spans="2:20" x14ac:dyDescent="0.3">
      <c r="B447" s="24" t="s">
        <v>811</v>
      </c>
      <c r="C447" s="34" t="s">
        <v>1265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55" t="s">
        <v>1665</v>
      </c>
      <c r="N447" s="55" t="s">
        <v>1659</v>
      </c>
      <c r="O447" s="24"/>
      <c r="P447" s="26">
        <f>GET_OK_GROUPS_COUNT(tbStoryEnemy[[#This Row],[Camp]],tbStoryEnemy[[#This Row],[Difficulty]],tbStoryEnemy[[#This Row],[IsBoss]],tbStoryEnemy[[#This Row],[Hero1]:[Soldier3]])</f>
        <v>5</v>
      </c>
      <c r="Q447" s="24">
        <v>4</v>
      </c>
      <c r="R447" s="25" t="s">
        <v>912</v>
      </c>
      <c r="S447" s="24"/>
      <c r="T447" s="26" t="str">
        <f>GET_OK_GROUP(tbStoryEnemy[[#This Row],[Camp]],tbStoryEnemy[[#This Row],[Difficulty]],tbStoryEnemy[[#This Row],[IsBoss]],tbStoryEnemy[[#This Row],[Hero1]:[Soldier3]],tbStoryEnemy[[#This Row],[GroupID]])</f>
        <v>三国-困难-盾兵+炼兵+刺兵</v>
      </c>
    </row>
    <row r="448" spans="2:20" x14ac:dyDescent="0.3">
      <c r="B448" s="24"/>
      <c r="C448" s="34" t="s">
        <v>1265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1505</v>
      </c>
      <c r="K448" s="24"/>
      <c r="L448" s="24"/>
      <c r="M448" s="55" t="s">
        <v>1659</v>
      </c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49" spans="2:20" x14ac:dyDescent="0.3">
      <c r="B449" s="24" t="s">
        <v>812</v>
      </c>
      <c r="C449" s="34" t="s">
        <v>1265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 t="s">
        <v>1504</v>
      </c>
      <c r="K449" s="24"/>
      <c r="L449" s="24"/>
      <c r="M449" s="24"/>
      <c r="N449" s="24"/>
      <c r="O449" s="24"/>
      <c r="P449" s="26">
        <f>GET_OK_GROUPS_COUNT(tbStoryEnemy[[#This Row],[Camp]],tbStoryEnemy[[#This Row],[Difficulty]],tbStoryEnemy[[#This Row],[IsBoss]],tbStoryEnemy[[#This Row],[Hero1]:[Soldier3]])</f>
        <v>3</v>
      </c>
      <c r="Q449" s="24">
        <v>1</v>
      </c>
      <c r="R449" s="25" t="s">
        <v>912</v>
      </c>
      <c r="S449" s="24"/>
      <c r="T44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50" spans="2:20" x14ac:dyDescent="0.3">
      <c r="B450" s="24"/>
      <c r="C450" s="34" t="s">
        <v>1265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1504</v>
      </c>
      <c r="K450" s="24" t="s">
        <v>1505</v>
      </c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1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51" spans="2:20" x14ac:dyDescent="0.3">
      <c r="B451" s="24" t="s">
        <v>813</v>
      </c>
      <c r="C451" s="34" t="s">
        <v>1265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1502</v>
      </c>
      <c r="K451" s="24" t="s">
        <v>1505</v>
      </c>
      <c r="L451" s="24" t="s">
        <v>1504</v>
      </c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1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52" spans="2:20" x14ac:dyDescent="0.3">
      <c r="B452" s="24"/>
      <c r="C452" s="34" t="s">
        <v>1265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1505</v>
      </c>
      <c r="L452" s="24" t="s">
        <v>1504</v>
      </c>
      <c r="M452" s="24"/>
      <c r="N452" s="24"/>
      <c r="O452" s="24"/>
      <c r="P452" s="26">
        <f>GET_OK_GROUPS_COUNT(tbStoryEnemy[[#This Row],[Camp]],tbStoryEnemy[[#This Row],[Difficulty]],tbStoryEnemy[[#This Row],[IsBoss]],tbStoryEnemy[[#This Row],[Hero1]:[Soldier3]])</f>
        <v>1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53" spans="2:20" x14ac:dyDescent="0.3">
      <c r="B453" s="24" t="s">
        <v>814</v>
      </c>
      <c r="C453" s="34" t="s">
        <v>1265</v>
      </c>
      <c r="D453" s="24">
        <v>1</v>
      </c>
      <c r="E453" s="24"/>
      <c r="F453" s="24">
        <v>0</v>
      </c>
      <c r="G453" s="24" t="s">
        <v>597</v>
      </c>
      <c r="H453" s="24" t="s">
        <v>1150</v>
      </c>
      <c r="I453" s="24"/>
      <c r="J453" s="24"/>
      <c r="K453" s="24"/>
      <c r="L453" s="24"/>
      <c r="M453" s="24" t="s">
        <v>28</v>
      </c>
      <c r="N453" s="24"/>
      <c r="O453" s="24"/>
      <c r="P453" s="26">
        <f>GET_OK_GROUPS_COUNT(tbStoryEnemy[[#This Row],[Camp]],tbStoryEnemy[[#This Row],[Difficulty]],tbStoryEnemy[[#This Row],[IsBoss]],tbStoryEnemy[[#This Row],[Hero1]:[Soldier3]])</f>
        <v>3</v>
      </c>
      <c r="Q453" s="24">
        <v>2</v>
      </c>
      <c r="R453" s="25" t="s">
        <v>912</v>
      </c>
      <c r="S453" s="24"/>
      <c r="T453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4" spans="2:20" x14ac:dyDescent="0.3">
      <c r="B454" s="24"/>
      <c r="C454" s="34" t="s">
        <v>1265</v>
      </c>
      <c r="D454" s="24">
        <v>2</v>
      </c>
      <c r="E454" s="24"/>
      <c r="F454" s="24">
        <v>0</v>
      </c>
      <c r="G454" s="24" t="s">
        <v>597</v>
      </c>
      <c r="H454" s="24" t="s">
        <v>1125</v>
      </c>
      <c r="I454" s="24"/>
      <c r="J454" s="24" t="s">
        <v>1479</v>
      </c>
      <c r="K454" s="24"/>
      <c r="L454" s="24"/>
      <c r="M454" s="24"/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4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455" spans="2:20" x14ac:dyDescent="0.3">
      <c r="B455" s="24" t="s">
        <v>815</v>
      </c>
      <c r="C455" s="34" t="s">
        <v>1265</v>
      </c>
      <c r="D455" s="24">
        <v>1</v>
      </c>
      <c r="E455" s="24"/>
      <c r="F455" s="24">
        <v>0</v>
      </c>
      <c r="G455" s="24" t="s">
        <v>597</v>
      </c>
      <c r="H455" s="24" t="s">
        <v>1150</v>
      </c>
      <c r="I455" s="24"/>
      <c r="J455" s="24"/>
      <c r="K455" s="24"/>
      <c r="L455" s="24"/>
      <c r="M455" s="24" t="s">
        <v>49</v>
      </c>
      <c r="N455" s="24"/>
      <c r="O455" s="24"/>
      <c r="P455" s="26">
        <f>GET_OK_GROUPS_COUNT(tbStoryEnemy[[#This Row],[Camp]],tbStoryEnemy[[#This Row],[Difficulty]],tbStoryEnemy[[#This Row],[IsBoss]],tbStoryEnemy[[#This Row],[Hero1]:[Soldier3]])</f>
        <v>3</v>
      </c>
      <c r="Q455" s="24">
        <v>3</v>
      </c>
      <c r="R455" s="25" t="s">
        <v>912</v>
      </c>
      <c r="S455" s="24"/>
      <c r="T455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6" spans="2:20" x14ac:dyDescent="0.3">
      <c r="B456" s="24"/>
      <c r="C456" s="34" t="s">
        <v>1265</v>
      </c>
      <c r="D456" s="24">
        <v>2</v>
      </c>
      <c r="E456" s="24"/>
      <c r="F456" s="24">
        <v>0</v>
      </c>
      <c r="G456" s="24" t="s">
        <v>597</v>
      </c>
      <c r="H456" s="24" t="s">
        <v>1125</v>
      </c>
      <c r="I456" s="24"/>
      <c r="J456" s="24" t="s">
        <v>1465</v>
      </c>
      <c r="K456" s="24"/>
      <c r="L456" s="24"/>
      <c r="M456" s="24"/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457" spans="2:20" x14ac:dyDescent="0.3">
      <c r="B457" s="24" t="s">
        <v>816</v>
      </c>
      <c r="C457" s="34" t="s">
        <v>1265</v>
      </c>
      <c r="D457" s="24">
        <v>1</v>
      </c>
      <c r="E457" s="24"/>
      <c r="F457" s="24">
        <v>0</v>
      </c>
      <c r="G457" s="24" t="s">
        <v>597</v>
      </c>
      <c r="H457" s="24" t="s">
        <v>1125</v>
      </c>
      <c r="I457" s="24"/>
      <c r="J457" s="24" t="s">
        <v>1489</v>
      </c>
      <c r="K457" s="24"/>
      <c r="L457" s="24"/>
      <c r="M457" s="24"/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1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458" spans="2:20" x14ac:dyDescent="0.3">
      <c r="B458" s="24"/>
      <c r="C458" s="34" t="s">
        <v>1265</v>
      </c>
      <c r="D458" s="24">
        <v>2</v>
      </c>
      <c r="E458" s="24"/>
      <c r="F458" s="24">
        <v>0</v>
      </c>
      <c r="G458" s="24" t="s">
        <v>597</v>
      </c>
      <c r="H458" s="24" t="s">
        <v>1125</v>
      </c>
      <c r="I458" s="24" t="b">
        <v>1</v>
      </c>
      <c r="J458" s="24" t="s">
        <v>325</v>
      </c>
      <c r="K458" s="24" t="s">
        <v>1479</v>
      </c>
      <c r="L458" s="24"/>
      <c r="M458" s="24"/>
      <c r="N458" s="24"/>
      <c r="O458" s="24"/>
      <c r="P458" s="26">
        <f>GET_OK_GROUPS_COUNT(tbStoryEnemy[[#This Row],[Camp]],tbStoryEnemy[[#This Row],[Difficulty]],tbStoryEnemy[[#This Row],[IsBoss]],tbStoryEnemy[[#This Row],[Hero1]:[Soldier3]])</f>
        <v>1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459" spans="2:20" x14ac:dyDescent="0.3">
      <c r="B459" s="24" t="s">
        <v>817</v>
      </c>
      <c r="C459" s="34" t="s">
        <v>1265</v>
      </c>
      <c r="D459" s="24">
        <v>1</v>
      </c>
      <c r="E459" s="24"/>
      <c r="F459" s="24">
        <v>0</v>
      </c>
      <c r="G459" s="24" t="s">
        <v>151</v>
      </c>
      <c r="H459" s="24" t="s">
        <v>1150</v>
      </c>
      <c r="I459" s="24"/>
      <c r="J459" s="24"/>
      <c r="K459" s="24"/>
      <c r="L459" s="24"/>
      <c r="M459" s="24" t="s">
        <v>25</v>
      </c>
      <c r="N459" s="24"/>
      <c r="O459" s="24"/>
      <c r="P459" s="26">
        <f>GET_OK_GROUPS_COUNT(tbStoryEnemy[[#This Row],[Camp]],tbStoryEnemy[[#This Row],[Difficulty]],tbStoryEnemy[[#This Row],[IsBoss]],tbStoryEnemy[[#This Row],[Hero1]:[Soldier3]])</f>
        <v>5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0" spans="2:20" x14ac:dyDescent="0.3">
      <c r="B460" s="24"/>
      <c r="C460" s="34" t="s">
        <v>1265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1562</v>
      </c>
      <c r="K460" s="24"/>
      <c r="L460" s="24"/>
      <c r="M460" s="24" t="s">
        <v>447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1" spans="2:20" x14ac:dyDescent="0.3">
      <c r="B461" s="24" t="s">
        <v>818</v>
      </c>
      <c r="C461" s="34" t="s">
        <v>1265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25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14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2" spans="2:20" x14ac:dyDescent="0.3">
      <c r="B462" s="24"/>
      <c r="C462" s="34" t="s">
        <v>1265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1563</v>
      </c>
      <c r="K462" s="24"/>
      <c r="L462" s="24"/>
      <c r="M462" s="24"/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4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3" spans="2:20" x14ac:dyDescent="0.3">
      <c r="B463" s="24" t="s">
        <v>819</v>
      </c>
      <c r="C463" s="34" t="s">
        <v>1265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 t="s">
        <v>1514</v>
      </c>
      <c r="K463" s="24"/>
      <c r="L463" s="24"/>
      <c r="M463" s="24"/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3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4" spans="2:20" x14ac:dyDescent="0.3">
      <c r="B464" s="24"/>
      <c r="C464" s="34" t="s">
        <v>1265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1172</v>
      </c>
      <c r="K464" s="24" t="s">
        <v>1562</v>
      </c>
      <c r="L464" s="24" t="s">
        <v>1563</v>
      </c>
      <c r="M464" s="24"/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1</v>
      </c>
      <c r="Q464" s="24">
        <v>1</v>
      </c>
      <c r="R464" s="25" t="s">
        <v>1172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465" spans="2:20" x14ac:dyDescent="0.3">
      <c r="B465" s="24" t="s">
        <v>820</v>
      </c>
      <c r="C465" s="34" t="s">
        <v>1265</v>
      </c>
      <c r="D465" s="24">
        <v>1</v>
      </c>
      <c r="E465" s="24"/>
      <c r="F465" s="24">
        <v>0</v>
      </c>
      <c r="G465" s="24" t="s">
        <v>151</v>
      </c>
      <c r="H465" s="24" t="s">
        <v>1150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/>
      <c r="C466" s="34" t="s">
        <v>1265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1562</v>
      </c>
      <c r="K466" s="24"/>
      <c r="L466" s="24"/>
      <c r="M466" s="24"/>
      <c r="N466" s="24"/>
      <c r="O466" s="24"/>
      <c r="P466" s="26">
        <f>GET_OK_GROUPS_COUNT(tbStoryEnemy[[#This Row],[Camp]],tbStoryEnemy[[#This Row],[Difficulty]],tbStoryEnemy[[#This Row],[IsBoss]],tbStoryEnemy[[#This Row],[Hero1]:[Soldier3]])</f>
        <v>4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7" spans="2:20" x14ac:dyDescent="0.3">
      <c r="B467" s="24" t="s">
        <v>821</v>
      </c>
      <c r="C467" s="34" t="s">
        <v>1265</v>
      </c>
      <c r="D467" s="24">
        <v>1</v>
      </c>
      <c r="E467" s="24"/>
      <c r="F467" s="24">
        <v>0</v>
      </c>
      <c r="G467" s="24" t="s">
        <v>151</v>
      </c>
      <c r="H467" s="24" t="s">
        <v>1150</v>
      </c>
      <c r="I467" s="24"/>
      <c r="J467" s="24"/>
      <c r="K467" s="24"/>
      <c r="L467" s="24"/>
      <c r="M467" s="24" t="s">
        <v>34</v>
      </c>
      <c r="N467" s="24"/>
      <c r="O467" s="24"/>
      <c r="P467" s="26">
        <f>GET_OK_GROUPS_COUNT(tbStoryEnemy[[#This Row],[Camp]],tbStoryEnemy[[#This Row],[Difficulty]],tbStoryEnemy[[#This Row],[IsBoss]],tbStoryEnemy[[#This Row],[Hero1]:[Soldier3]])</f>
        <v>5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8" spans="2:20" x14ac:dyDescent="0.3">
      <c r="B468" s="24"/>
      <c r="C468" s="34" t="s">
        <v>1265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1563</v>
      </c>
      <c r="K468" s="24"/>
      <c r="L468" s="24"/>
      <c r="M468" s="24"/>
      <c r="N468" s="24"/>
      <c r="O468" s="24"/>
      <c r="P468" s="26">
        <f>GET_OK_GROUPS_COUNT(tbStoryEnemy[[#This Row],[Camp]],tbStoryEnemy[[#This Row],[Difficulty]],tbStoryEnemy[[#This Row],[IsBoss]],tbStoryEnemy[[#This Row],[Hero1]:[Soldier3]])</f>
        <v>4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9" spans="2:20" x14ac:dyDescent="0.3">
      <c r="B469" s="24" t="s">
        <v>822</v>
      </c>
      <c r="C469" s="34" t="s">
        <v>1265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 t="s">
        <v>1495</v>
      </c>
      <c r="K469" s="24"/>
      <c r="L469" s="24"/>
      <c r="M469" s="24"/>
      <c r="N469" s="24"/>
      <c r="O469" s="24"/>
      <c r="P469" s="26">
        <f>GET_OK_GROUPS_COUNT(tbStoryEnemy[[#This Row],[Camp]],tbStoryEnemy[[#This Row],[Difficulty]],tbStoryEnemy[[#This Row],[IsBoss]],tbStoryEnemy[[#This Row],[Hero1]:[Soldier3]])</f>
        <v>3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0" spans="2:20" x14ac:dyDescent="0.3">
      <c r="B470" s="24"/>
      <c r="C470" s="34" t="s">
        <v>1265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1562</v>
      </c>
      <c r="L470" s="24"/>
      <c r="M470" s="24"/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1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471" spans="2:20" x14ac:dyDescent="0.3">
      <c r="B471" s="24" t="s">
        <v>823</v>
      </c>
      <c r="C471" s="34" t="s">
        <v>1265</v>
      </c>
      <c r="D471" s="24">
        <v>1</v>
      </c>
      <c r="E471" s="24"/>
      <c r="F471" s="24">
        <v>0</v>
      </c>
      <c r="G471" s="24" t="s">
        <v>151</v>
      </c>
      <c r="H471" s="24" t="s">
        <v>1150</v>
      </c>
      <c r="I471" s="24"/>
      <c r="J471" s="24"/>
      <c r="K471" s="24"/>
      <c r="L471" s="24"/>
      <c r="M471" s="24" t="s">
        <v>25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2" spans="2:20" x14ac:dyDescent="0.3">
      <c r="B472" s="24"/>
      <c r="C472" s="34" t="s">
        <v>1265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1562</v>
      </c>
      <c r="K472" s="24"/>
      <c r="L472" s="24"/>
      <c r="M472" s="24"/>
      <c r="N472" s="24"/>
      <c r="O472" s="24"/>
      <c r="P472" s="26">
        <f>GET_OK_GROUPS_COUNT(tbStoryEnemy[[#This Row],[Camp]],tbStoryEnemy[[#This Row],[Difficulty]],tbStoryEnemy[[#This Row],[IsBoss]],tbStoryEnemy[[#This Row],[Hero1]:[Soldier3]])</f>
        <v>4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3" spans="2:20" x14ac:dyDescent="0.3">
      <c r="B473" s="24" t="s">
        <v>824</v>
      </c>
      <c r="C473" s="34" t="s">
        <v>1265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/>
      <c r="O473" s="24"/>
      <c r="P473" s="26">
        <f>GET_OK_GROUPS_COUNT(tbStoryEnemy[[#This Row],[Camp]],tbStoryEnemy[[#This Row],[Difficulty]],tbStoryEnemy[[#This Row],[IsBoss]],tbStoryEnemy[[#This Row],[Hero1]:[Soldier3]])</f>
        <v>14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/>
      <c r="C474" s="34" t="s">
        <v>1265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1563</v>
      </c>
      <c r="K474" s="24"/>
      <c r="L474" s="24"/>
      <c r="M474" s="24"/>
      <c r="N474" s="24"/>
      <c r="O474" s="24"/>
      <c r="P474" s="26">
        <f>GET_OK_GROUPS_COUNT(tbStoryEnemy[[#This Row],[Camp]],tbStoryEnemy[[#This Row],[Difficulty]],tbStoryEnemy[[#This Row],[IsBoss]],tbStoryEnemy[[#This Row],[Hero1]:[Soldier3]])</f>
        <v>4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5" spans="2:20" x14ac:dyDescent="0.3">
      <c r="B475" s="24" t="s">
        <v>825</v>
      </c>
      <c r="C475" s="34" t="s">
        <v>1265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 t="s">
        <v>1561</v>
      </c>
      <c r="K475" s="24"/>
      <c r="L475" s="24"/>
      <c r="M475" s="24"/>
      <c r="N475" s="24"/>
      <c r="O475" s="24"/>
      <c r="P475" s="26">
        <f>GET_OK_GROUPS_COUNT(tbStoryEnemy[[#This Row],[Camp]],tbStoryEnemy[[#This Row],[Difficulty]],tbStoryEnemy[[#This Row],[IsBoss]],tbStoryEnemy[[#This Row],[Hero1]:[Soldier3]])</f>
        <v>3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6" spans="2:20" x14ac:dyDescent="0.3">
      <c r="B476" s="24"/>
      <c r="C476" s="34" t="s">
        <v>1265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395</v>
      </c>
      <c r="K476" s="24" t="s">
        <v>1562</v>
      </c>
      <c r="L476" s="24" t="s">
        <v>1563</v>
      </c>
      <c r="M476" s="24"/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1</v>
      </c>
      <c r="Q476" s="24">
        <v>1</v>
      </c>
      <c r="R476" s="25" t="s">
        <v>395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77" spans="2:20" x14ac:dyDescent="0.3">
      <c r="B477" s="24" t="s">
        <v>1237</v>
      </c>
      <c r="C477" s="34" t="s">
        <v>1265</v>
      </c>
      <c r="D477" s="24">
        <v>1</v>
      </c>
      <c r="E477" s="24"/>
      <c r="F477" s="24">
        <v>0</v>
      </c>
      <c r="G477" s="24" t="s">
        <v>151</v>
      </c>
      <c r="H477" s="24" t="s">
        <v>1150</v>
      </c>
      <c r="I477" s="24"/>
      <c r="J477" s="24"/>
      <c r="K477" s="24"/>
      <c r="L477" s="24"/>
      <c r="M477" s="55" t="s">
        <v>1665</v>
      </c>
      <c r="N477" s="55" t="s">
        <v>1663</v>
      </c>
      <c r="O477" s="24"/>
      <c r="P477" s="26">
        <f>GET_OK_GROUPS_COUNT(tbStoryEnemy[[#This Row],[Camp]],tbStoryEnemy[[#This Row],[Difficulty]],tbStoryEnemy[[#This Row],[IsBoss]],tbStoryEnemy[[#This Row],[Hero1]:[Soldier3]])</f>
        <v>1</v>
      </c>
      <c r="Q477" s="24">
        <v>1</v>
      </c>
      <c r="R477" s="25" t="s">
        <v>912</v>
      </c>
      <c r="S477" s="24"/>
      <c r="T4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B478" s="24"/>
      <c r="C478" s="34" t="s">
        <v>1265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1584</v>
      </c>
      <c r="K478" s="24"/>
      <c r="L478" s="24"/>
      <c r="M478" s="24"/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4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79" spans="2:20" x14ac:dyDescent="0.3">
      <c r="B479" s="24" t="s">
        <v>1189</v>
      </c>
      <c r="C479" s="34" t="s">
        <v>1265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55" t="s">
        <v>1665</v>
      </c>
      <c r="N479" s="55" t="s">
        <v>1666</v>
      </c>
      <c r="O479" s="24"/>
      <c r="P479" s="26">
        <f>GET_OK_GROUPS_COUNT(tbStoryEnemy[[#This Row],[Camp]],tbStoryEnemy[[#This Row],[Difficulty]],tbStoryEnemy[[#This Row],[IsBoss]],tbStoryEnemy[[#This Row],[Hero1]:[Soldier3]])</f>
        <v>5</v>
      </c>
      <c r="Q479" s="24">
        <v>1</v>
      </c>
      <c r="R479" s="25" t="s">
        <v>912</v>
      </c>
      <c r="S479" s="24"/>
      <c r="T47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0" spans="2:20" x14ac:dyDescent="0.3">
      <c r="B480" s="24"/>
      <c r="C480" s="34" t="s">
        <v>1265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1585</v>
      </c>
      <c r="K480" s="24"/>
      <c r="L480" s="24"/>
      <c r="M480" s="24" t="s">
        <v>28</v>
      </c>
      <c r="N480" s="24"/>
      <c r="O480" s="24"/>
      <c r="P480" s="26">
        <f>GET_OK_GROUPS_COUNT(tbStoryEnemy[[#This Row],[Camp]],tbStoryEnemy[[#This Row],[Difficulty]],tbStoryEnemy[[#This Row],[IsBoss]],tbStoryEnemy[[#This Row],[Hero1]:[Soldier3]])</f>
        <v>1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1" spans="2:20" x14ac:dyDescent="0.3">
      <c r="B481" s="24" t="s">
        <v>1190</v>
      </c>
      <c r="C481" s="34" t="s">
        <v>1265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 t="s">
        <v>1526</v>
      </c>
      <c r="K481" s="24"/>
      <c r="L481" s="24"/>
      <c r="M481" s="24"/>
      <c r="N481" s="24"/>
      <c r="O481" s="24"/>
      <c r="P481" s="26">
        <f>GET_OK_GROUPS_COUNT(tbStoryEnemy[[#This Row],[Camp]],tbStoryEnemy[[#This Row],[Difficulty]],tbStoryEnemy[[#This Row],[IsBoss]],tbStoryEnemy[[#This Row],[Hero1]:[Soldier3]])</f>
        <v>4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2" spans="2:20" x14ac:dyDescent="0.3">
      <c r="B482" s="24"/>
      <c r="C482" s="34" t="s">
        <v>1265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1584</v>
      </c>
      <c r="L482" s="24"/>
      <c r="M482" s="24"/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1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483" spans="2:20" x14ac:dyDescent="0.3">
      <c r="B483" s="24" t="s">
        <v>1191</v>
      </c>
      <c r="C483" s="34" t="s">
        <v>1265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/>
      <c r="K483" s="24"/>
      <c r="L483" s="24"/>
      <c r="M483" s="24" t="s">
        <v>49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4" spans="2:20" x14ac:dyDescent="0.3">
      <c r="B484" s="24"/>
      <c r="C484" s="34" t="s">
        <v>1265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1584</v>
      </c>
      <c r="K484" s="24"/>
      <c r="L484" s="24"/>
      <c r="M484" s="24" t="s">
        <v>28</v>
      </c>
      <c r="N484" s="24"/>
      <c r="O484" s="24"/>
      <c r="P484" s="26">
        <f>GET_OK_GROUPS_COUNT(tbStoryEnemy[[#This Row],[Camp]],tbStoryEnemy[[#This Row],[Difficulty]],tbStoryEnemy[[#This Row],[IsBoss]],tbStoryEnemy[[#This Row],[Hero1]:[Soldier3]])</f>
        <v>1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5" spans="2:20" x14ac:dyDescent="0.3">
      <c r="B485" s="24" t="s">
        <v>1192</v>
      </c>
      <c r="C485" s="34" t="s">
        <v>1265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55" t="s">
        <v>1665</v>
      </c>
      <c r="N485" s="55" t="s">
        <v>1666</v>
      </c>
      <c r="O485" s="24"/>
      <c r="P485" s="26">
        <f>GET_OK_GROUPS_COUNT(tbStoryEnemy[[#This Row],[Camp]],tbStoryEnemy[[#This Row],[Difficulty]],tbStoryEnemy[[#This Row],[IsBoss]],tbStoryEnemy[[#This Row],[Hero1]:[Soldier3]])</f>
        <v>5</v>
      </c>
      <c r="Q485" s="24">
        <v>1</v>
      </c>
      <c r="R485" s="25" t="s">
        <v>912</v>
      </c>
      <c r="S485" s="24"/>
      <c r="T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B486" s="24"/>
      <c r="C486" s="34" t="s">
        <v>1265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1585</v>
      </c>
      <c r="K486" s="34" t="s">
        <v>1583</v>
      </c>
      <c r="L486" s="24"/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1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87" spans="2:20" x14ac:dyDescent="0.3">
      <c r="B487" s="24" t="s">
        <v>1193</v>
      </c>
      <c r="C487" s="34" t="s">
        <v>1265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1583</v>
      </c>
      <c r="K487" s="24" t="s">
        <v>1585</v>
      </c>
      <c r="L487" s="24" t="s">
        <v>1584</v>
      </c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1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88" spans="2:20" x14ac:dyDescent="0.3">
      <c r="B488" s="24"/>
      <c r="C488" s="34" t="s">
        <v>1265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1173</v>
      </c>
      <c r="K488" s="24" t="s">
        <v>1584</v>
      </c>
      <c r="L488" s="34" t="s">
        <v>1583</v>
      </c>
      <c r="M488" s="24"/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1</v>
      </c>
      <c r="Q488" s="24">
        <v>1</v>
      </c>
      <c r="R488" s="25" t="s">
        <v>1173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89" spans="2:20" x14ac:dyDescent="0.3">
      <c r="B489" s="24" t="s">
        <v>826</v>
      </c>
      <c r="C489" s="34" t="s">
        <v>1265</v>
      </c>
      <c r="D489" s="24">
        <v>1</v>
      </c>
      <c r="E489" s="24"/>
      <c r="F489" s="24">
        <v>0</v>
      </c>
      <c r="G489" s="24" t="s">
        <v>151</v>
      </c>
      <c r="H489" s="24" t="s">
        <v>1150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/>
      <c r="C490" s="34" t="s">
        <v>1265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1505</v>
      </c>
      <c r="K490" s="24"/>
      <c r="L490" s="24"/>
      <c r="M490" s="24"/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4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91" spans="2:20" x14ac:dyDescent="0.3">
      <c r="B491" s="24" t="s">
        <v>827</v>
      </c>
      <c r="C491" s="34" t="s">
        <v>1265</v>
      </c>
      <c r="D491" s="24">
        <v>1</v>
      </c>
      <c r="E491" s="24"/>
      <c r="F491" s="24">
        <v>0</v>
      </c>
      <c r="G491" s="24" t="s">
        <v>151</v>
      </c>
      <c r="H491" s="24" t="s">
        <v>1150</v>
      </c>
      <c r="I491" s="24"/>
      <c r="J491" s="24"/>
      <c r="K491" s="24"/>
      <c r="L491" s="24"/>
      <c r="M491" s="55" t="s">
        <v>1660</v>
      </c>
      <c r="N491" s="55" t="s">
        <v>1661</v>
      </c>
      <c r="O491" s="24"/>
      <c r="P491" s="26">
        <f>GET_OK_GROUPS_COUNT(tbStoryEnemy[[#This Row],[Camp]],tbStoryEnemy[[#This Row],[Difficulty]],tbStoryEnemy[[#This Row],[IsBoss]],tbStoryEnemy[[#This Row],[Hero1]:[Soldier3]])</f>
        <v>1</v>
      </c>
      <c r="Q491" s="24">
        <v>1</v>
      </c>
      <c r="R491" s="25" t="s">
        <v>912</v>
      </c>
      <c r="S491" s="24"/>
      <c r="T49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92" spans="2:20" x14ac:dyDescent="0.3">
      <c r="B492" s="24"/>
      <c r="C492" s="34" t="s">
        <v>1265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1504</v>
      </c>
      <c r="K492" s="24"/>
      <c r="L492" s="24"/>
      <c r="M492" s="24" t="s">
        <v>25</v>
      </c>
      <c r="N492" s="24"/>
      <c r="O492" s="24"/>
      <c r="P492" s="26">
        <f>GET_OK_GROUPS_COUNT(tbStoryEnemy[[#This Row],[Camp]],tbStoryEnemy[[#This Row],[Difficulty]],tbStoryEnemy[[#This Row],[IsBoss]],tbStoryEnemy[[#This Row],[Hero1]:[Soldier3]])</f>
        <v>1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3" spans="2:20" x14ac:dyDescent="0.3">
      <c r="B493" s="24" t="s">
        <v>828</v>
      </c>
      <c r="C493" s="34" t="s">
        <v>1265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 t="s">
        <v>1432</v>
      </c>
      <c r="K493" s="24"/>
      <c r="L493" s="24"/>
      <c r="M493" s="24"/>
      <c r="N493" s="24"/>
      <c r="O493" s="24"/>
      <c r="P493" s="26">
        <f>GET_OK_GROUPS_COUNT(tbStoryEnemy[[#This Row],[Camp]],tbStoryEnemy[[#This Row],[Difficulty]],tbStoryEnemy[[#This Row],[IsBoss]],tbStoryEnemy[[#This Row],[Hero1]:[Soldier3]])</f>
        <v>3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4" spans="2:20" x14ac:dyDescent="0.3">
      <c r="B494" s="24"/>
      <c r="C494" s="34" t="s">
        <v>1265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 t="s">
        <v>1432</v>
      </c>
      <c r="L494" s="24"/>
      <c r="M494" s="24"/>
      <c r="N494" s="24"/>
      <c r="O494" s="24"/>
      <c r="P494" s="26">
        <f>GET_OK_GROUPS_COUNT(tbStoryEnemy[[#This Row],[Camp]],tbStoryEnemy[[#This Row],[Difficulty]],tbStoryEnemy[[#This Row],[IsBoss]],tbStoryEnemy[[#This Row],[Hero1]:[Soldier3]])</f>
        <v>1</v>
      </c>
      <c r="Q494" s="24">
        <v>1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95" spans="2:20" x14ac:dyDescent="0.3">
      <c r="B495" s="24" t="s">
        <v>829</v>
      </c>
      <c r="C495" s="34" t="s">
        <v>1265</v>
      </c>
      <c r="D495" s="24">
        <v>1</v>
      </c>
      <c r="E495" s="24"/>
      <c r="F495" s="24">
        <v>0</v>
      </c>
      <c r="G495" s="24" t="s">
        <v>151</v>
      </c>
      <c r="H495" s="24" t="s">
        <v>1150</v>
      </c>
      <c r="I495" s="24"/>
      <c r="J495" s="24"/>
      <c r="K495" s="24"/>
      <c r="L495" s="24"/>
      <c r="M495" s="55" t="s">
        <v>1665</v>
      </c>
      <c r="N495" s="55" t="s">
        <v>1666</v>
      </c>
      <c r="O495" s="24"/>
      <c r="P495" s="26">
        <f>GET_OK_GROUPS_COUNT(tbStoryEnemy[[#This Row],[Camp]],tbStoryEnemy[[#This Row],[Difficulty]],tbStoryEnemy[[#This Row],[IsBoss]],tbStoryEnemy[[#This Row],[Hero1]:[Soldier3]])</f>
        <v>1</v>
      </c>
      <c r="Q495" s="24">
        <v>1</v>
      </c>
      <c r="R495" s="25" t="s">
        <v>912</v>
      </c>
      <c r="S495" s="24"/>
      <c r="T49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6" spans="2:20" x14ac:dyDescent="0.3">
      <c r="B496" s="24"/>
      <c r="C496" s="34" t="s">
        <v>1265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1461</v>
      </c>
      <c r="K496" s="24"/>
      <c r="L496" s="24"/>
      <c r="M496" s="24" t="s">
        <v>28</v>
      </c>
      <c r="N496" s="24"/>
      <c r="O496" s="24"/>
      <c r="P496" s="26">
        <f>GET_OK_GROUPS_COUNT(tbStoryEnemy[[#This Row],[Camp]],tbStoryEnemy[[#This Row],[Difficulty]],tbStoryEnemy[[#This Row],[IsBoss]],tbStoryEnemy[[#This Row],[Hero1]:[Soldier3]])</f>
        <v>1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7" spans="2:20" x14ac:dyDescent="0.3">
      <c r="B497" s="24" t="s">
        <v>830</v>
      </c>
      <c r="C497" s="34" t="s">
        <v>1265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55" t="s">
        <v>1660</v>
      </c>
      <c r="N497" s="55" t="s">
        <v>1661</v>
      </c>
      <c r="O497" s="24"/>
      <c r="P497" s="26">
        <f>GET_OK_GROUPS_COUNT(tbStoryEnemy[[#This Row],[Camp]],tbStoryEnemy[[#This Row],[Difficulty]],tbStoryEnemy[[#This Row],[IsBoss]],tbStoryEnemy[[#This Row],[Hero1]:[Soldier3]])</f>
        <v>5</v>
      </c>
      <c r="Q497" s="24">
        <v>1</v>
      </c>
      <c r="R497" s="25" t="s">
        <v>912</v>
      </c>
      <c r="S497" s="24"/>
      <c r="T49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8" spans="2:20" x14ac:dyDescent="0.3">
      <c r="B498" s="24"/>
      <c r="C498" s="34" t="s">
        <v>1265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1462</v>
      </c>
      <c r="K498" s="24"/>
      <c r="L498" s="24"/>
      <c r="M498" s="24"/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4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99" spans="2:20" x14ac:dyDescent="0.3">
      <c r="B499" s="24" t="s">
        <v>831</v>
      </c>
      <c r="C499" s="34" t="s">
        <v>1265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 t="s">
        <v>1463</v>
      </c>
      <c r="K499" s="24"/>
      <c r="L499" s="24"/>
      <c r="M499" s="24"/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3</v>
      </c>
      <c r="Q499" s="24">
        <v>2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00" spans="2:20" x14ac:dyDescent="0.3">
      <c r="B500" s="24"/>
      <c r="C500" s="34" t="s">
        <v>1265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1461</v>
      </c>
      <c r="L500" s="24" t="s">
        <v>1463</v>
      </c>
      <c r="M500" s="24"/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1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01" spans="2:20" x14ac:dyDescent="0.3">
      <c r="B501" s="24" t="s">
        <v>832</v>
      </c>
      <c r="C501" s="34" t="s">
        <v>1265</v>
      </c>
      <c r="D501" s="24">
        <v>1</v>
      </c>
      <c r="E501" s="24"/>
      <c r="F501" s="24">
        <v>0</v>
      </c>
      <c r="G501" s="24" t="s">
        <v>151</v>
      </c>
      <c r="H501" s="24" t="s">
        <v>1150</v>
      </c>
      <c r="I501" s="24"/>
      <c r="J501" s="24"/>
      <c r="K501" s="24"/>
      <c r="L501" s="24"/>
      <c r="M501" s="55" t="s">
        <v>1660</v>
      </c>
      <c r="N501" s="55" t="s">
        <v>1661</v>
      </c>
      <c r="O501" s="24"/>
      <c r="P501" s="26">
        <f>GET_OK_GROUPS_COUNT(tbStoryEnemy[[#This Row],[Camp]],tbStoryEnemy[[#This Row],[Difficulty]],tbStoryEnemy[[#This Row],[IsBoss]],tbStoryEnemy[[#This Row],[Hero1]:[Soldier3]])</f>
        <v>1</v>
      </c>
      <c r="Q501" s="24">
        <v>1</v>
      </c>
      <c r="R501" s="25" t="s">
        <v>912</v>
      </c>
      <c r="S501" s="24"/>
      <c r="T50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02" spans="2:20" x14ac:dyDescent="0.3">
      <c r="B502" s="24"/>
      <c r="C502" s="34" t="s">
        <v>1265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1540</v>
      </c>
      <c r="K502" s="24"/>
      <c r="L502" s="24"/>
      <c r="M502" s="24" t="s">
        <v>25</v>
      </c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3" spans="2:20" x14ac:dyDescent="0.3">
      <c r="B503" s="24" t="s">
        <v>833</v>
      </c>
      <c r="C503" s="34" t="s">
        <v>1265</v>
      </c>
      <c r="D503" s="24">
        <v>1</v>
      </c>
      <c r="E503" s="24"/>
      <c r="F503" s="24">
        <v>0</v>
      </c>
      <c r="G503" s="24" t="s">
        <v>151</v>
      </c>
      <c r="H503" s="24" t="s">
        <v>1150</v>
      </c>
      <c r="I503" s="24"/>
      <c r="J503" s="24"/>
      <c r="K503" s="24"/>
      <c r="L503" s="24"/>
      <c r="M503" s="55" t="s">
        <v>1665</v>
      </c>
      <c r="N503" s="55" t="s">
        <v>1661</v>
      </c>
      <c r="O503" s="24"/>
      <c r="P503" s="26">
        <f>GET_OK_GROUPS_COUNT(tbStoryEnemy[[#This Row],[Camp]],tbStoryEnemy[[#This Row],[Difficulty]],tbStoryEnemy[[#This Row],[IsBoss]],tbStoryEnemy[[#This Row],[Hero1]:[Soldier3]])</f>
        <v>1</v>
      </c>
      <c r="Q503" s="24">
        <v>1</v>
      </c>
      <c r="R503" s="25" t="s">
        <v>912</v>
      </c>
      <c r="S503" s="24"/>
      <c r="T50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4" spans="2:20" x14ac:dyDescent="0.3">
      <c r="B504" s="24"/>
      <c r="C504" s="34" t="s">
        <v>1265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1538</v>
      </c>
      <c r="K504" s="24"/>
      <c r="L504" s="24"/>
      <c r="M504" s="24" t="s">
        <v>26</v>
      </c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5" spans="2:20" x14ac:dyDescent="0.3">
      <c r="B505" s="24" t="s">
        <v>834</v>
      </c>
      <c r="C505" s="34" t="s">
        <v>1265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 t="s">
        <v>1544</v>
      </c>
      <c r="K505" s="24"/>
      <c r="L505" s="24"/>
      <c r="M505" s="24"/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4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6" spans="2:20" x14ac:dyDescent="0.3">
      <c r="B506" s="24"/>
      <c r="C506" s="34" t="s">
        <v>1265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1538</v>
      </c>
      <c r="L506" s="24"/>
      <c r="M506" s="24"/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1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07" spans="2:20" x14ac:dyDescent="0.3">
      <c r="B507" s="24" t="s">
        <v>835</v>
      </c>
      <c r="C507" s="34" t="s">
        <v>1265</v>
      </c>
      <c r="D507" s="24">
        <v>1</v>
      </c>
      <c r="E507" s="24"/>
      <c r="F507" s="24">
        <v>0</v>
      </c>
      <c r="G507" s="24" t="s">
        <v>151</v>
      </c>
      <c r="H507" s="24" t="s">
        <v>1150</v>
      </c>
      <c r="I507" s="24"/>
      <c r="J507" s="24"/>
      <c r="K507" s="24"/>
      <c r="L507" s="24"/>
      <c r="M507" s="55" t="s">
        <v>1665</v>
      </c>
      <c r="N507" s="55" t="s">
        <v>1661</v>
      </c>
      <c r="O507" s="24"/>
      <c r="P507" s="26">
        <f>GET_OK_GROUPS_COUNT(tbStoryEnemy[[#This Row],[Camp]],tbStoryEnemy[[#This Row],[Difficulty]],tbStoryEnemy[[#This Row],[IsBoss]],tbStoryEnemy[[#This Row],[Hero1]:[Soldier3]])</f>
        <v>1</v>
      </c>
      <c r="Q507" s="24">
        <v>1</v>
      </c>
      <c r="R507" s="25" t="s">
        <v>912</v>
      </c>
      <c r="S507" s="24"/>
      <c r="T5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8" spans="2:20" x14ac:dyDescent="0.3">
      <c r="B508" s="24"/>
      <c r="C508" s="34" t="s">
        <v>1265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1539</v>
      </c>
      <c r="K508" s="24"/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4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 x14ac:dyDescent="0.3">
      <c r="B509" s="24" t="s">
        <v>836</v>
      </c>
      <c r="C509" s="34" t="s">
        <v>1265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/>
      <c r="K509" s="24"/>
      <c r="L509" s="24"/>
      <c r="M509" s="55" t="s">
        <v>1660</v>
      </c>
      <c r="N509" s="55" t="s">
        <v>1661</v>
      </c>
      <c r="O509" s="24"/>
      <c r="P509" s="26">
        <f>GET_OK_GROUPS_COUNT(tbStoryEnemy[[#This Row],[Camp]],tbStoryEnemy[[#This Row],[Difficulty]],tbStoryEnemy[[#This Row],[IsBoss]],tbStoryEnemy[[#This Row],[Hero1]:[Soldier3]])</f>
        <v>5</v>
      </c>
      <c r="Q509" s="24">
        <v>1</v>
      </c>
      <c r="R509" s="25" t="s">
        <v>912</v>
      </c>
      <c r="S509" s="24"/>
      <c r="T5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0" spans="2:20" x14ac:dyDescent="0.3">
      <c r="B510" s="24"/>
      <c r="C510" s="34" t="s">
        <v>1265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1541</v>
      </c>
      <c r="K510" s="24"/>
      <c r="L510" s="24"/>
      <c r="M510" s="24" t="s">
        <v>26</v>
      </c>
      <c r="N510" s="24"/>
      <c r="O510" s="24"/>
      <c r="P510" s="26">
        <f>GET_OK_GROUPS_COUNT(tbStoryEnemy[[#This Row],[Camp]],tbStoryEnemy[[#This Row],[Difficulty]],tbStoryEnemy[[#This Row],[IsBoss]],tbStoryEnemy[[#This Row],[Hero1]:[Soldier3]])</f>
        <v>1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1" spans="2:20" x14ac:dyDescent="0.3">
      <c r="B511" s="24" t="s">
        <v>837</v>
      </c>
      <c r="C511" s="34" t="s">
        <v>1265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 t="s">
        <v>1488</v>
      </c>
      <c r="K511" s="24"/>
      <c r="L511" s="24"/>
      <c r="M511" s="24"/>
      <c r="N511" s="24"/>
      <c r="O511" s="24"/>
      <c r="P511" s="26">
        <f>GET_OK_GROUPS_COUNT(tbStoryEnemy[[#This Row],[Camp]],tbStoryEnemy[[#This Row],[Difficulty]],tbStoryEnemy[[#This Row],[IsBoss]],tbStoryEnemy[[#This Row],[Hero1]:[Soldier3]])</f>
        <v>3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2" spans="2:20" x14ac:dyDescent="0.3">
      <c r="B512" s="24"/>
      <c r="C512" s="34" t="s">
        <v>1265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1169</v>
      </c>
      <c r="K512" s="24" t="s">
        <v>1539</v>
      </c>
      <c r="L512" s="24" t="s">
        <v>1488</v>
      </c>
      <c r="M512" s="24"/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1</v>
      </c>
      <c r="Q512" s="24">
        <v>1</v>
      </c>
      <c r="R512" s="25" t="s">
        <v>1169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13" spans="2:20" x14ac:dyDescent="0.3">
      <c r="B513" s="24" t="s">
        <v>838</v>
      </c>
      <c r="C513" s="34" t="s">
        <v>1265</v>
      </c>
      <c r="D513" s="24">
        <v>1</v>
      </c>
      <c r="E513" s="24"/>
      <c r="F513" s="24">
        <v>0</v>
      </c>
      <c r="G513" s="24" t="s">
        <v>151</v>
      </c>
      <c r="H513" s="24" t="s">
        <v>1150</v>
      </c>
      <c r="I513" s="24"/>
      <c r="J513" s="24"/>
      <c r="K513" s="24"/>
      <c r="L513" s="24"/>
      <c r="M513" s="55" t="s">
        <v>1665</v>
      </c>
      <c r="N513" s="55" t="s">
        <v>1666</v>
      </c>
      <c r="O513" s="24"/>
      <c r="P513" s="26">
        <f>GET_OK_GROUPS_COUNT(tbStoryEnemy[[#This Row],[Camp]],tbStoryEnemy[[#This Row],[Difficulty]],tbStoryEnemy[[#This Row],[IsBoss]],tbStoryEnemy[[#This Row],[Hero1]:[Soldier3]])</f>
        <v>1</v>
      </c>
      <c r="Q513" s="24">
        <v>1</v>
      </c>
      <c r="R513" s="25" t="s">
        <v>912</v>
      </c>
      <c r="S513" s="24"/>
      <c r="T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20" x14ac:dyDescent="0.3">
      <c r="B514" s="24"/>
      <c r="C514" s="34" t="s">
        <v>1265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1505</v>
      </c>
      <c r="K514" s="24"/>
      <c r="L514" s="24"/>
      <c r="M514" s="24" t="s">
        <v>28</v>
      </c>
      <c r="N514" s="24"/>
      <c r="O514" s="24"/>
      <c r="P514" s="26">
        <f>GET_OK_GROUPS_COUNT(tbStoryEnemy[[#This Row],[Camp]],tbStoryEnemy[[#This Row],[Difficulty]],tbStoryEnemy[[#This Row],[IsBoss]],tbStoryEnemy[[#This Row],[Hero1]:[Soldier3]])</f>
        <v>1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5" spans="2:20" x14ac:dyDescent="0.3">
      <c r="B515" s="24" t="s">
        <v>839</v>
      </c>
      <c r="C515" s="34" t="s">
        <v>1265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55" t="s">
        <v>1660</v>
      </c>
      <c r="N515" s="55" t="s">
        <v>1661</v>
      </c>
      <c r="O515" s="24"/>
      <c r="P515" s="26">
        <f>GET_OK_GROUPS_COUNT(tbStoryEnemy[[#This Row],[Camp]],tbStoryEnemy[[#This Row],[Difficulty]],tbStoryEnemy[[#This Row],[IsBoss]],tbStoryEnemy[[#This Row],[Hero1]:[Soldier3]])</f>
        <v>5</v>
      </c>
      <c r="Q515" s="24">
        <v>1</v>
      </c>
      <c r="R515" s="25" t="s">
        <v>912</v>
      </c>
      <c r="S515" s="24"/>
      <c r="T51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6" spans="2:20" x14ac:dyDescent="0.3">
      <c r="B516" s="24"/>
      <c r="C516" s="34" t="s">
        <v>1265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1504</v>
      </c>
      <c r="K516" s="24"/>
      <c r="L516" s="24"/>
      <c r="M516" s="24" t="s">
        <v>25</v>
      </c>
      <c r="N516" s="24"/>
      <c r="O516" s="24"/>
      <c r="P516" s="26">
        <f>GET_OK_GROUPS_COUNT(tbStoryEnemy[[#This Row],[Camp]],tbStoryEnemy[[#This Row],[Difficulty]],tbStoryEnemy[[#This Row],[IsBoss]],tbStoryEnemy[[#This Row],[Hero1]:[Soldier3]])</f>
        <v>1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7" spans="2:20" x14ac:dyDescent="0.3">
      <c r="B517" s="24" t="s">
        <v>840</v>
      </c>
      <c r="C517" s="34" t="s">
        <v>1265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 t="s">
        <v>1502</v>
      </c>
      <c r="K517" s="24"/>
      <c r="L517" s="24"/>
      <c r="M517" s="24"/>
      <c r="N517" s="24"/>
      <c r="O517" s="24"/>
      <c r="P517" s="26">
        <f>GET_OK_GROUPS_COUNT(tbStoryEnemy[[#This Row],[Camp]],tbStoryEnemy[[#This Row],[Difficulty]],tbStoryEnemy[[#This Row],[IsBoss]],tbStoryEnemy[[#This Row],[Hero1]:[Soldier3]])</f>
        <v>4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8" spans="2:20" x14ac:dyDescent="0.3">
      <c r="B518" s="24"/>
      <c r="C518" s="34" t="s">
        <v>1265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1505</v>
      </c>
      <c r="L518" s="24" t="s">
        <v>1504</v>
      </c>
      <c r="M518" s="24"/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1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19" spans="2:20" x14ac:dyDescent="0.3">
      <c r="B519" s="24" t="s">
        <v>841</v>
      </c>
      <c r="C519" s="34" t="s">
        <v>1265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/>
      <c r="K519" s="24"/>
      <c r="L519" s="24"/>
      <c r="M519" s="55" t="s">
        <v>1665</v>
      </c>
      <c r="N519" s="55" t="s">
        <v>1661</v>
      </c>
      <c r="O519" s="24"/>
      <c r="P519" s="26">
        <f>GET_OK_GROUPS_COUNT(tbStoryEnemy[[#This Row],[Camp]],tbStoryEnemy[[#This Row],[Difficulty]],tbStoryEnemy[[#This Row],[IsBoss]],tbStoryEnemy[[#This Row],[Hero1]:[Soldier3]])</f>
        <v>5</v>
      </c>
      <c r="Q519" s="24">
        <v>1</v>
      </c>
      <c r="R519" s="25" t="s">
        <v>912</v>
      </c>
      <c r="S519" s="24"/>
      <c r="T51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20" spans="2:20" x14ac:dyDescent="0.3">
      <c r="B520" s="24"/>
      <c r="C520" s="34" t="s">
        <v>1265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1505</v>
      </c>
      <c r="K520" s="24"/>
      <c r="L520" s="24"/>
      <c r="M520" s="24" t="s">
        <v>26</v>
      </c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1" spans="2:20" x14ac:dyDescent="0.3">
      <c r="B521" s="24" t="s">
        <v>842</v>
      </c>
      <c r="C521" s="34" t="s">
        <v>1265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 t="s">
        <v>1505</v>
      </c>
      <c r="K521" s="24" t="s">
        <v>1504</v>
      </c>
      <c r="L521" s="24"/>
      <c r="M521" s="24"/>
      <c r="N521" s="24"/>
      <c r="O521" s="24"/>
      <c r="P521" s="26">
        <f>GET_OK_GROUPS_COUNT(tbStoryEnemy[[#This Row],[Camp]],tbStoryEnemy[[#This Row],[Difficulty]],tbStoryEnemy[[#This Row],[IsBoss]],tbStoryEnemy[[#This Row],[Hero1]:[Soldier3]])</f>
        <v>1</v>
      </c>
      <c r="Q521" s="24">
        <v>1</v>
      </c>
      <c r="R521" s="25" t="s">
        <v>912</v>
      </c>
      <c r="S521" s="24"/>
      <c r="T521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22" spans="2:20" x14ac:dyDescent="0.3">
      <c r="B522" s="24"/>
      <c r="C522" s="34" t="s">
        <v>1265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1486</v>
      </c>
      <c r="K522" s="24" t="s">
        <v>1505</v>
      </c>
      <c r="L522" s="24" t="s">
        <v>1504</v>
      </c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1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523" spans="2:20" x14ac:dyDescent="0.3">
      <c r="B523" s="24" t="s">
        <v>843</v>
      </c>
      <c r="C523" s="34" t="s">
        <v>1265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1506</v>
      </c>
      <c r="K523" s="24" t="s">
        <v>1505</v>
      </c>
      <c r="L523" s="24" t="s">
        <v>1504</v>
      </c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1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24" spans="2:20" x14ac:dyDescent="0.3">
      <c r="B524" s="24"/>
      <c r="C524" s="34" t="s">
        <v>1265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1505</v>
      </c>
      <c r="L524" s="24" t="s">
        <v>1504</v>
      </c>
      <c r="M524" s="24"/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1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5" spans="2:20" x14ac:dyDescent="0.3">
      <c r="B525" s="24" t="s">
        <v>844</v>
      </c>
      <c r="C525" s="34" t="s">
        <v>1265</v>
      </c>
      <c r="D525" s="24">
        <v>1</v>
      </c>
      <c r="E525" s="24"/>
      <c r="F525" s="24">
        <v>0</v>
      </c>
      <c r="G525" s="24" t="s">
        <v>151</v>
      </c>
      <c r="H525" s="24" t="s">
        <v>1150</v>
      </c>
      <c r="I525" s="24"/>
      <c r="J525" s="24"/>
      <c r="K525" s="24"/>
      <c r="L525" s="24"/>
      <c r="M525" s="55" t="s">
        <v>1665</v>
      </c>
      <c r="N525" s="55" t="s">
        <v>1659</v>
      </c>
      <c r="O525" s="24"/>
      <c r="P525" s="26">
        <f>GET_OK_GROUPS_COUNT(tbStoryEnemy[[#This Row],[Camp]],tbStoryEnemy[[#This Row],[Difficulty]],tbStoryEnemy[[#This Row],[IsBoss]],tbStoryEnemy[[#This Row],[Hero1]:[Soldier3]])</f>
        <v>1</v>
      </c>
      <c r="Q525" s="24">
        <v>1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526" spans="2:20" x14ac:dyDescent="0.3">
      <c r="B526" s="24"/>
      <c r="C526" s="34" t="s">
        <v>1265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1505</v>
      </c>
      <c r="K526" s="24"/>
      <c r="L526" s="24"/>
      <c r="M526" s="55" t="s">
        <v>1659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1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27" spans="2:20" x14ac:dyDescent="0.3">
      <c r="B527" s="24" t="s">
        <v>845</v>
      </c>
      <c r="C527" s="34" t="s">
        <v>1265</v>
      </c>
      <c r="D527" s="24">
        <v>1</v>
      </c>
      <c r="E527" s="24"/>
      <c r="F527" s="24">
        <v>0</v>
      </c>
      <c r="G527" s="24" t="s">
        <v>151</v>
      </c>
      <c r="H527" s="24" t="s">
        <v>1150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/>
      <c r="C528" s="34" t="s">
        <v>1265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1486</v>
      </c>
      <c r="K528" s="24"/>
      <c r="L528" s="24"/>
      <c r="M528" s="24"/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4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9" spans="2:20" x14ac:dyDescent="0.3">
      <c r="B529" s="24" t="s">
        <v>846</v>
      </c>
      <c r="C529" s="34" t="s">
        <v>1265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1493</v>
      </c>
      <c r="K529" s="24"/>
      <c r="L529" s="24"/>
      <c r="M529" s="24"/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3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0" spans="2:20" x14ac:dyDescent="0.3">
      <c r="B530" s="24"/>
      <c r="C530" s="34" t="s">
        <v>1265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1504</v>
      </c>
      <c r="L530" s="24"/>
      <c r="M530" s="24"/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1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20" x14ac:dyDescent="0.3">
      <c r="B531" s="24" t="s">
        <v>847</v>
      </c>
      <c r="C531" s="34" t="s">
        <v>1265</v>
      </c>
      <c r="D531" s="24">
        <v>1</v>
      </c>
      <c r="E531" s="24"/>
      <c r="F531" s="24">
        <v>0</v>
      </c>
      <c r="G531" s="24" t="s">
        <v>151</v>
      </c>
      <c r="H531" s="24" t="s">
        <v>1150</v>
      </c>
      <c r="I531" s="24"/>
      <c r="J531" s="24"/>
      <c r="K531" s="24"/>
      <c r="L531" s="24"/>
      <c r="M531" s="55" t="s">
        <v>1665</v>
      </c>
      <c r="N531" s="55" t="s">
        <v>1663</v>
      </c>
      <c r="O531" s="24"/>
      <c r="P531" s="26">
        <f>GET_OK_GROUPS_COUNT(tbStoryEnemy[[#This Row],[Camp]],tbStoryEnemy[[#This Row],[Difficulty]],tbStoryEnemy[[#This Row],[IsBoss]],tbStoryEnemy[[#This Row],[Hero1]:[Soldier3]])</f>
        <v>1</v>
      </c>
      <c r="Q531" s="24">
        <v>1</v>
      </c>
      <c r="R531" s="25" t="s">
        <v>912</v>
      </c>
      <c r="S531" s="24"/>
      <c r="T5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2" spans="2:20" x14ac:dyDescent="0.3">
      <c r="B532" s="24"/>
      <c r="C532" s="34" t="s">
        <v>1265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1461</v>
      </c>
      <c r="K532" s="24"/>
      <c r="L532" s="24"/>
      <c r="M532" s="55" t="s">
        <v>1663</v>
      </c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1</v>
      </c>
      <c r="Q532" s="24">
        <v>1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3" spans="2:20" x14ac:dyDescent="0.3">
      <c r="B533" s="24" t="s">
        <v>848</v>
      </c>
      <c r="C533" s="34" t="s">
        <v>1265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55" t="s">
        <v>1660</v>
      </c>
      <c r="N533" s="55" t="s">
        <v>1661</v>
      </c>
      <c r="O533" s="24"/>
      <c r="P533" s="26">
        <f>GET_OK_GROUPS_COUNT(tbStoryEnemy[[#This Row],[Camp]],tbStoryEnemy[[#This Row],[Difficulty]],tbStoryEnemy[[#This Row],[IsBoss]],tbStoryEnemy[[#This Row],[Hero1]:[Soldier3]])</f>
        <v>5</v>
      </c>
      <c r="Q533" s="24">
        <v>3</v>
      </c>
      <c r="R533" s="25" t="s">
        <v>912</v>
      </c>
      <c r="S533" s="24"/>
      <c r="T533" s="26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34" spans="2:20" x14ac:dyDescent="0.3">
      <c r="B534" s="24"/>
      <c r="C534" s="34" t="s">
        <v>1265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1462</v>
      </c>
      <c r="K534" s="24"/>
      <c r="L534" s="24"/>
      <c r="M534" s="24" t="s">
        <v>26</v>
      </c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5" spans="2:20" x14ac:dyDescent="0.3">
      <c r="B535" s="24" t="s">
        <v>849</v>
      </c>
      <c r="C535" s="34" t="s">
        <v>1265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1464</v>
      </c>
      <c r="K535" s="24"/>
      <c r="L535" s="24"/>
      <c r="M535" s="24"/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3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36" spans="2:20" x14ac:dyDescent="0.3">
      <c r="B536" s="24"/>
      <c r="C536" s="34" t="s">
        <v>1265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1461</v>
      </c>
      <c r="L536" s="24" t="s">
        <v>1462</v>
      </c>
      <c r="M536" s="24"/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1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37" spans="2:20" x14ac:dyDescent="0.3">
      <c r="B537" s="24" t="s">
        <v>850</v>
      </c>
      <c r="C537" s="34" t="s">
        <v>1265</v>
      </c>
      <c r="D537" s="24">
        <v>1</v>
      </c>
      <c r="E537" s="24"/>
      <c r="F537" s="24">
        <v>0</v>
      </c>
      <c r="G537" s="24" t="s">
        <v>151</v>
      </c>
      <c r="H537" s="24" t="s">
        <v>1150</v>
      </c>
      <c r="I537" s="24"/>
      <c r="J537" s="24"/>
      <c r="K537" s="24"/>
      <c r="L537" s="24"/>
      <c r="M537" s="24" t="s">
        <v>34</v>
      </c>
      <c r="N537" s="55" t="s">
        <v>1661</v>
      </c>
      <c r="O537" s="24"/>
      <c r="P537" s="26">
        <f>GET_OK_GROUPS_COUNT(tbStoryEnemy[[#This Row],[Camp]],tbStoryEnemy[[#This Row],[Difficulty]],tbStoryEnemy[[#This Row],[IsBoss]],tbStoryEnemy[[#This Row],[Hero1]:[Soldier3]])</f>
        <v>1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38" spans="2:20" x14ac:dyDescent="0.3">
      <c r="B538" s="24"/>
      <c r="C538" s="34" t="s">
        <v>1265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1516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39" spans="2:20" x14ac:dyDescent="0.3">
      <c r="B539" s="24" t="s">
        <v>851</v>
      </c>
      <c r="C539" s="34" t="s">
        <v>1265</v>
      </c>
      <c r="D539" s="24">
        <v>1</v>
      </c>
      <c r="E539" s="24"/>
      <c r="F539" s="24">
        <v>0</v>
      </c>
      <c r="G539" s="24" t="s">
        <v>151</v>
      </c>
      <c r="H539" s="24" t="s">
        <v>1150</v>
      </c>
      <c r="I539" s="24"/>
      <c r="J539" s="24"/>
      <c r="K539" s="24"/>
      <c r="L539" s="24"/>
      <c r="M539" s="55" t="s">
        <v>1660</v>
      </c>
      <c r="N539" s="55" t="s">
        <v>1663</v>
      </c>
      <c r="O539" s="24"/>
      <c r="P539" s="26">
        <f>GET_OK_GROUPS_COUNT(tbStoryEnemy[[#This Row],[Camp]],tbStoryEnemy[[#This Row],[Difficulty]],tbStoryEnemy[[#This Row],[IsBoss]],tbStoryEnemy[[#This Row],[Hero1]:[Soldier3]])</f>
        <v>1</v>
      </c>
      <c r="Q539" s="24">
        <v>1</v>
      </c>
      <c r="R539" s="25" t="s">
        <v>912</v>
      </c>
      <c r="S539" s="24"/>
      <c r="T53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40" spans="2:20" x14ac:dyDescent="0.3">
      <c r="B540" s="24"/>
      <c r="C540" s="34" t="s">
        <v>1265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1517</v>
      </c>
      <c r="K540" s="24"/>
      <c r="L540" s="24"/>
      <c r="M540" s="24" t="s">
        <v>447</v>
      </c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1</v>
      </c>
      <c r="Q540" s="24">
        <v>1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1" spans="2:20" x14ac:dyDescent="0.3">
      <c r="B541" s="24" t="s">
        <v>852</v>
      </c>
      <c r="C541" s="34" t="s">
        <v>1265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 t="s">
        <v>1526</v>
      </c>
      <c r="K541" s="24"/>
      <c r="L541" s="24"/>
      <c r="M541" s="24"/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4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2" spans="2:20" x14ac:dyDescent="0.3">
      <c r="B542" s="24"/>
      <c r="C542" s="34" t="s">
        <v>1265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1516</v>
      </c>
      <c r="L542" s="24"/>
      <c r="M542" s="24"/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1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24" t="s">
        <v>853</v>
      </c>
      <c r="C543" s="34" t="s">
        <v>1265</v>
      </c>
      <c r="D543" s="24">
        <v>1</v>
      </c>
      <c r="E543" s="24"/>
      <c r="F543" s="24">
        <v>0</v>
      </c>
      <c r="G543" s="24" t="s">
        <v>151</v>
      </c>
      <c r="H543" s="24" t="s">
        <v>1150</v>
      </c>
      <c r="I543" s="24"/>
      <c r="J543" s="24"/>
      <c r="K543" s="24"/>
      <c r="L543" s="24"/>
      <c r="M543" s="24" t="s">
        <v>26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3</v>
      </c>
      <c r="Q543" s="24">
        <v>2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4" spans="2:20" x14ac:dyDescent="0.3">
      <c r="B544" s="24"/>
      <c r="C544" s="34" t="s">
        <v>1265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1500</v>
      </c>
      <c r="K544" s="24"/>
      <c r="L544" s="24"/>
      <c r="M544" s="24"/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4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5" spans="2:20" x14ac:dyDescent="0.3">
      <c r="B545" s="24" t="s">
        <v>854</v>
      </c>
      <c r="C545" s="34" t="s">
        <v>1265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/>
      <c r="K545" s="24"/>
      <c r="L545" s="24"/>
      <c r="M545" s="55" t="s">
        <v>1665</v>
      </c>
      <c r="N545" s="55" t="s">
        <v>1663</v>
      </c>
      <c r="O545" s="24"/>
      <c r="P545" s="26">
        <f>GET_OK_GROUPS_COUNT(tbStoryEnemy[[#This Row],[Camp]],tbStoryEnemy[[#This Row],[Difficulty]],tbStoryEnemy[[#This Row],[IsBoss]],tbStoryEnemy[[#This Row],[Hero1]:[Soldier3]])</f>
        <v>5</v>
      </c>
      <c r="Q545" s="24">
        <v>1</v>
      </c>
      <c r="R545" s="25" t="s">
        <v>912</v>
      </c>
      <c r="S545" s="24"/>
      <c r="T54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46" spans="2:20" x14ac:dyDescent="0.3">
      <c r="B546" s="24"/>
      <c r="C546" s="34" t="s">
        <v>1265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1501</v>
      </c>
      <c r="K546" s="24"/>
      <c r="L546" s="24"/>
      <c r="M546" s="55" t="s">
        <v>1663</v>
      </c>
      <c r="N546" s="24"/>
      <c r="O546" s="24"/>
      <c r="P546" s="26">
        <f>GET_OK_GROUPS_COUNT(tbStoryEnemy[[#This Row],[Camp]],tbStoryEnemy[[#This Row],[Difficulty]],tbStoryEnemy[[#This Row],[IsBoss]],tbStoryEnemy[[#This Row],[Hero1]:[Soldier3]])</f>
        <v>1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47" spans="2:20" x14ac:dyDescent="0.3">
      <c r="B547" s="24" t="s">
        <v>855</v>
      </c>
      <c r="C547" s="34" t="s">
        <v>1265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 t="s">
        <v>438</v>
      </c>
      <c r="K547" s="24"/>
      <c r="L547" s="24"/>
      <c r="M547" s="24"/>
      <c r="N547" s="24"/>
      <c r="O547" s="24"/>
      <c r="P547" s="26">
        <f>GET_OK_GROUPS_COUNT(tbStoryEnemy[[#This Row],[Camp]],tbStoryEnemy[[#This Row],[Difficulty]],tbStoryEnemy[[#This Row],[IsBoss]],tbStoryEnemy[[#This Row],[Hero1]:[Soldier3]])</f>
        <v>3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48" spans="2:20" x14ac:dyDescent="0.3">
      <c r="B548" s="24"/>
      <c r="C548" s="34" t="s">
        <v>1265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1500</v>
      </c>
      <c r="L548" s="24" t="s">
        <v>1501</v>
      </c>
      <c r="M548" s="24"/>
      <c r="N548" s="24"/>
      <c r="O548" s="24"/>
      <c r="P548" s="26">
        <f>GET_OK_GROUPS_COUNT(tbStoryEnemy[[#This Row],[Camp]],tbStoryEnemy[[#This Row],[Difficulty]],tbStoryEnemy[[#This Row],[IsBoss]],tbStoryEnemy[[#This Row],[Hero1]:[Soldier3]])</f>
        <v>1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49" spans="2:20" x14ac:dyDescent="0.3">
      <c r="B549" s="24" t="s">
        <v>856</v>
      </c>
      <c r="C549" s="34" t="s">
        <v>1265</v>
      </c>
      <c r="D549" s="24">
        <v>1</v>
      </c>
      <c r="E549" s="24"/>
      <c r="F549" s="24">
        <v>0</v>
      </c>
      <c r="G549" s="24" t="s">
        <v>151</v>
      </c>
      <c r="H549" s="24" t="s">
        <v>1150</v>
      </c>
      <c r="I549" s="24"/>
      <c r="J549" s="24"/>
      <c r="K549" s="24"/>
      <c r="L549" s="24"/>
      <c r="M549" s="24" t="s">
        <v>447</v>
      </c>
      <c r="N549" s="24"/>
      <c r="O549" s="24"/>
      <c r="P549" s="26">
        <f>GET_OK_GROUPS_COUNT(tbStoryEnemy[[#This Row],[Camp]],tbStoryEnemy[[#This Row],[Difficulty]],tbStoryEnemy[[#This Row],[IsBoss]],tbStoryEnemy[[#This Row],[Hero1]:[Soldier3]])</f>
        <v>3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0" spans="2:20" x14ac:dyDescent="0.3">
      <c r="B550" s="24"/>
      <c r="C550" s="34" t="s">
        <v>1265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1505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1265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/>
      <c r="K551" s="24"/>
      <c r="L551" s="24"/>
      <c r="M551" s="55" t="s">
        <v>1665</v>
      </c>
      <c r="N551" s="55" t="s">
        <v>1666</v>
      </c>
      <c r="O551" s="24"/>
      <c r="P551" s="26">
        <f>GET_OK_GROUPS_COUNT(tbStoryEnemy[[#This Row],[Camp]],tbStoryEnemy[[#This Row],[Difficulty]],tbStoryEnemy[[#This Row],[IsBoss]],tbStoryEnemy[[#This Row],[Hero1]:[Soldier3]])</f>
        <v>5</v>
      </c>
      <c r="Q551" s="24">
        <v>1</v>
      </c>
      <c r="R551" s="25" t="s">
        <v>912</v>
      </c>
      <c r="S551" s="24"/>
      <c r="T5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2" spans="2:20" x14ac:dyDescent="0.3">
      <c r="B552" s="24"/>
      <c r="C552" s="34" t="s">
        <v>1265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1486</v>
      </c>
      <c r="K552" s="24"/>
      <c r="L552" s="24"/>
      <c r="M552" s="24" t="s">
        <v>28</v>
      </c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3" spans="2:20" x14ac:dyDescent="0.3">
      <c r="B553" s="24" t="s">
        <v>858</v>
      </c>
      <c r="C553" s="34" t="s">
        <v>1265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 t="s">
        <v>1560</v>
      </c>
      <c r="K553" s="24"/>
      <c r="L553" s="24"/>
      <c r="M553" s="24"/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4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4" spans="2:20" x14ac:dyDescent="0.3">
      <c r="B554" s="24"/>
      <c r="C554" s="34" t="s">
        <v>1265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354</v>
      </c>
      <c r="K554" s="24" t="s">
        <v>1505</v>
      </c>
      <c r="L554" s="24" t="s">
        <v>1504</v>
      </c>
      <c r="M554" s="24"/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1</v>
      </c>
      <c r="Q554" s="24">
        <v>1</v>
      </c>
      <c r="R554" s="25" t="s">
        <v>354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55" spans="2:20" x14ac:dyDescent="0.3">
      <c r="B555" s="24" t="s">
        <v>859</v>
      </c>
      <c r="C555" s="34" t="s">
        <v>1265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26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9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56" spans="2:20" x14ac:dyDescent="0.3">
      <c r="B556" s="24"/>
      <c r="C556" s="34" t="s">
        <v>1265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1516</v>
      </c>
      <c r="K556" s="24"/>
      <c r="L556" s="24"/>
      <c r="M556" s="24" t="s">
        <v>34</v>
      </c>
      <c r="N556" s="24"/>
      <c r="O556" s="24"/>
      <c r="P556" s="26">
        <f>GET_OK_GROUPS_COUNT(tbStoryEnemy[[#This Row],[Camp]],tbStoryEnemy[[#This Row],[Difficulty]],tbStoryEnemy[[#This Row],[IsBoss]],tbStoryEnemy[[#This Row],[Hero1]:[Soldier3]])</f>
        <v>1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57" spans="2:20" x14ac:dyDescent="0.3">
      <c r="B557" s="24" t="s">
        <v>860</v>
      </c>
      <c r="C557" s="34" t="s">
        <v>1265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 t="s">
        <v>1517</v>
      </c>
      <c r="K557" s="24" t="s">
        <v>1516</v>
      </c>
      <c r="L557" s="24"/>
      <c r="M557" s="24"/>
      <c r="N557" s="24"/>
      <c r="O557" s="24"/>
      <c r="P557" s="26">
        <f>GET_OK_GROUPS_COUNT(tbStoryEnemy[[#This Row],[Camp]],tbStoryEnemy[[#This Row],[Difficulty]],tbStoryEnemy[[#This Row],[IsBoss]],tbStoryEnemy[[#This Row],[Hero1]:[Soldier3]])</f>
        <v>1</v>
      </c>
      <c r="Q557" s="24">
        <v>1</v>
      </c>
      <c r="R557" s="25" t="s">
        <v>912</v>
      </c>
      <c r="S557" s="24"/>
      <c r="T557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58" spans="2:20" x14ac:dyDescent="0.3">
      <c r="B558" s="24"/>
      <c r="C558" s="34" t="s">
        <v>1265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1517</v>
      </c>
      <c r="K558" s="24" t="s">
        <v>1516</v>
      </c>
      <c r="L558" s="24" t="s">
        <v>1466</v>
      </c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1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59" spans="2:20" x14ac:dyDescent="0.3">
      <c r="B559" s="24" t="s">
        <v>861</v>
      </c>
      <c r="C559" s="34" t="s">
        <v>1265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1517</v>
      </c>
      <c r="K559" s="24" t="s">
        <v>1516</v>
      </c>
      <c r="L559" s="24" t="s">
        <v>1466</v>
      </c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1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0" spans="2:20" x14ac:dyDescent="0.3">
      <c r="B560" s="24"/>
      <c r="C560" s="34" t="s">
        <v>1265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1516</v>
      </c>
      <c r="L560" s="24" t="s">
        <v>1517</v>
      </c>
      <c r="M560" s="24"/>
      <c r="N560" s="24"/>
      <c r="O560" s="24"/>
      <c r="P560" s="26">
        <f>GET_OK_GROUPS_COUNT(tbStoryEnemy[[#This Row],[Camp]],tbStoryEnemy[[#This Row],[Difficulty]],tbStoryEnemy[[#This Row],[IsBoss]],tbStoryEnemy[[#This Row],[Hero1]:[Soldier3]])</f>
        <v>1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561" spans="2:20" x14ac:dyDescent="0.3">
      <c r="B561" s="24" t="s">
        <v>862</v>
      </c>
      <c r="C561" s="34" t="s">
        <v>1265</v>
      </c>
      <c r="D561" s="24">
        <v>1</v>
      </c>
      <c r="E561" s="24"/>
      <c r="F561" s="24">
        <v>0</v>
      </c>
      <c r="G561" s="24" t="s">
        <v>151</v>
      </c>
      <c r="H561" s="24" t="s">
        <v>1150</v>
      </c>
      <c r="I561" s="24"/>
      <c r="J561" s="24"/>
      <c r="K561" s="24"/>
      <c r="L561" s="24"/>
      <c r="M561" s="55" t="s">
        <v>1660</v>
      </c>
      <c r="N561" s="55" t="s">
        <v>1661</v>
      </c>
      <c r="O561" s="24"/>
      <c r="P561" s="26">
        <f>GET_OK_GROUPS_COUNT(tbStoryEnemy[[#This Row],[Camp]],tbStoryEnemy[[#This Row],[Difficulty]],tbStoryEnemy[[#This Row],[IsBoss]],tbStoryEnemy[[#This Row],[Hero1]:[Soldier3]])</f>
        <v>1</v>
      </c>
      <c r="Q561" s="24">
        <v>1</v>
      </c>
      <c r="R561" s="25" t="s">
        <v>912</v>
      </c>
      <c r="S561" s="24"/>
      <c r="T56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2" spans="2:20" x14ac:dyDescent="0.3">
      <c r="B562" s="24"/>
      <c r="C562" s="34" t="s">
        <v>1265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1570</v>
      </c>
      <c r="K562" s="24"/>
      <c r="L562" s="24"/>
      <c r="M562" s="24"/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4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63" spans="2:20" x14ac:dyDescent="0.3">
      <c r="B563" s="24" t="s">
        <v>863</v>
      </c>
      <c r="C563" s="34" t="s">
        <v>1265</v>
      </c>
      <c r="D563" s="24">
        <v>1</v>
      </c>
      <c r="E563" s="24"/>
      <c r="F563" s="24">
        <v>0</v>
      </c>
      <c r="G563" s="24" t="s">
        <v>151</v>
      </c>
      <c r="H563" s="24" t="s">
        <v>1150</v>
      </c>
      <c r="I563" s="24"/>
      <c r="J563" s="24"/>
      <c r="K563" s="24"/>
      <c r="L563" s="24"/>
      <c r="M563" s="24" t="s">
        <v>25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5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4" spans="2:20" x14ac:dyDescent="0.3">
      <c r="B564" s="24"/>
      <c r="C564" s="34" t="s">
        <v>1265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1505</v>
      </c>
      <c r="K564" s="24"/>
      <c r="L564" s="24"/>
      <c r="M564" s="24" t="s">
        <v>448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5" spans="2:20" x14ac:dyDescent="0.3">
      <c r="B565" s="24" t="s">
        <v>864</v>
      </c>
      <c r="C565" s="34" t="s">
        <v>1265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 t="s">
        <v>1509</v>
      </c>
      <c r="K565" s="24"/>
      <c r="L565" s="24"/>
      <c r="M565" s="24"/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3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6" spans="2:20" x14ac:dyDescent="0.3">
      <c r="B566" s="24"/>
      <c r="C566" s="34" t="s">
        <v>1265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1570</v>
      </c>
      <c r="L566" s="24"/>
      <c r="M566" s="24"/>
      <c r="N566" s="24"/>
      <c r="O566" s="24"/>
      <c r="P566" s="26">
        <f>GET_OK_GROUPS_COUNT(tbStoryEnemy[[#This Row],[Camp]],tbStoryEnemy[[#This Row],[Difficulty]],tbStoryEnemy[[#This Row],[IsBoss]],tbStoryEnemy[[#This Row],[Hero1]:[Soldier3]])</f>
        <v>1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67" spans="2:20" x14ac:dyDescent="0.3">
      <c r="B567" s="24" t="s">
        <v>865</v>
      </c>
      <c r="C567" s="34" t="s">
        <v>1265</v>
      </c>
      <c r="D567" s="24">
        <v>1</v>
      </c>
      <c r="E567" s="24"/>
      <c r="F567" s="24">
        <v>0</v>
      </c>
      <c r="G567" s="24" t="s">
        <v>151</v>
      </c>
      <c r="H567" s="24" t="s">
        <v>1150</v>
      </c>
      <c r="I567" s="24"/>
      <c r="J567" s="24"/>
      <c r="K567" s="24"/>
      <c r="L567" s="24"/>
      <c r="M567" s="24" t="s">
        <v>26</v>
      </c>
      <c r="N567" s="24"/>
      <c r="O567" s="24"/>
      <c r="P567" s="26">
        <f>GET_OK_GROUPS_COUNT(tbStoryEnemy[[#This Row],[Camp]],tbStoryEnemy[[#This Row],[Difficulty]],tbStoryEnemy[[#This Row],[IsBoss]],tbStoryEnemy[[#This Row],[Hero1]:[Soldier3]])</f>
        <v>3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20" x14ac:dyDescent="0.3">
      <c r="B568" s="24"/>
      <c r="C568" s="34" t="s">
        <v>1265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1461</v>
      </c>
      <c r="K568" s="24"/>
      <c r="L568" s="24"/>
      <c r="M568" s="24" t="s">
        <v>28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69" spans="2:20" x14ac:dyDescent="0.3">
      <c r="B569" s="24" t="s">
        <v>866</v>
      </c>
      <c r="C569" s="34" t="s">
        <v>1265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55" t="s">
        <v>1660</v>
      </c>
      <c r="N569" s="55" t="s">
        <v>1666</v>
      </c>
      <c r="O569" s="24"/>
      <c r="P569" s="26">
        <f>GET_OK_GROUPS_COUNT(tbStoryEnemy[[#This Row],[Camp]],tbStoryEnemy[[#This Row],[Difficulty]],tbStoryEnemy[[#This Row],[IsBoss]],tbStoryEnemy[[#This Row],[Hero1]:[Soldier3]])</f>
        <v>5</v>
      </c>
      <c r="Q569" s="24">
        <v>3</v>
      </c>
      <c r="R569" s="25" t="s">
        <v>912</v>
      </c>
      <c r="S569" s="24"/>
      <c r="T569" s="26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70" spans="2:20" x14ac:dyDescent="0.3">
      <c r="B570" s="24"/>
      <c r="C570" s="34" t="s">
        <v>1265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1462</v>
      </c>
      <c r="K570" s="24"/>
      <c r="L570" s="24"/>
      <c r="M570" s="24" t="s">
        <v>28</v>
      </c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1" spans="2:20" x14ac:dyDescent="0.3">
      <c r="B571" s="24" t="s">
        <v>867</v>
      </c>
      <c r="C571" s="34" t="s">
        <v>1265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1463</v>
      </c>
      <c r="K571" s="24"/>
      <c r="L571" s="24"/>
      <c r="M571" s="24"/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3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2" spans="2:20" x14ac:dyDescent="0.3">
      <c r="B572" s="24"/>
      <c r="C572" s="34" t="s">
        <v>1265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1461</v>
      </c>
      <c r="L572" s="24" t="s">
        <v>1463</v>
      </c>
      <c r="M572" s="24"/>
      <c r="N572" s="24"/>
      <c r="O572" s="24"/>
      <c r="P572" s="26">
        <f>GET_OK_GROUPS_COUNT(tbStoryEnemy[[#This Row],[Camp]],tbStoryEnemy[[#This Row],[Difficulty]],tbStoryEnemy[[#This Row],[IsBoss]],tbStoryEnemy[[#This Row],[Hero1]:[Soldier3]])</f>
        <v>1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73" spans="2:20" x14ac:dyDescent="0.3">
      <c r="B573" s="24" t="s">
        <v>868</v>
      </c>
      <c r="C573" s="34" t="s">
        <v>1265</v>
      </c>
      <c r="D573" s="24">
        <v>1</v>
      </c>
      <c r="E573" s="24"/>
      <c r="F573" s="24">
        <v>0</v>
      </c>
      <c r="G573" s="24" t="s">
        <v>151</v>
      </c>
      <c r="H573" s="24" t="s">
        <v>1150</v>
      </c>
      <c r="I573" s="24"/>
      <c r="J573" s="24"/>
      <c r="K573" s="24"/>
      <c r="L573" s="24"/>
      <c r="M573" s="24" t="s">
        <v>25</v>
      </c>
      <c r="N573" s="24"/>
      <c r="O573" s="24"/>
      <c r="P573" s="26">
        <f>GET_OK_GROUPS_COUNT(tbStoryEnemy[[#This Row],[Camp]],tbStoryEnemy[[#This Row],[Difficulty]],tbStoryEnemy[[#This Row],[IsBoss]],tbStoryEnemy[[#This Row],[Hero1]:[Soldier3]])</f>
        <v>5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4" spans="2:20" x14ac:dyDescent="0.3">
      <c r="B574" s="24"/>
      <c r="C574" s="34" t="s">
        <v>1265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1500</v>
      </c>
      <c r="K574" s="24"/>
      <c r="L574" s="24"/>
      <c r="M574" s="24"/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4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75" spans="2:20" x14ac:dyDescent="0.3">
      <c r="B575" s="24" t="s">
        <v>869</v>
      </c>
      <c r="C575" s="34" t="s">
        <v>1265</v>
      </c>
      <c r="D575" s="24">
        <v>1</v>
      </c>
      <c r="E575" s="24"/>
      <c r="F575" s="24">
        <v>0</v>
      </c>
      <c r="G575" s="24" t="s">
        <v>151</v>
      </c>
      <c r="H575" s="24" t="s">
        <v>1150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/>
      <c r="C576" s="34" t="s">
        <v>1265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1501</v>
      </c>
      <c r="K576" s="24"/>
      <c r="L576" s="24"/>
      <c r="M576" s="24" t="s">
        <v>28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7" spans="2:20" x14ac:dyDescent="0.3">
      <c r="B577" s="24" t="s">
        <v>870</v>
      </c>
      <c r="C577" s="34" t="s">
        <v>1265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 t="s">
        <v>1424</v>
      </c>
      <c r="K577" s="24"/>
      <c r="L577" s="24"/>
      <c r="M577" s="24"/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4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8" spans="2:20" x14ac:dyDescent="0.3">
      <c r="B578" s="24"/>
      <c r="C578" s="34" t="s">
        <v>1265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1516</v>
      </c>
      <c r="L578" s="24"/>
      <c r="M578" s="24"/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1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79" spans="2:20" x14ac:dyDescent="0.3">
      <c r="B579" s="24" t="s">
        <v>871</v>
      </c>
      <c r="C579" s="34" t="s">
        <v>1265</v>
      </c>
      <c r="D579" s="24">
        <v>1</v>
      </c>
      <c r="E579" s="24"/>
      <c r="F579" s="24">
        <v>0</v>
      </c>
      <c r="G579" s="24" t="s">
        <v>151</v>
      </c>
      <c r="H579" s="24" t="s">
        <v>1150</v>
      </c>
      <c r="I579" s="24"/>
      <c r="J579" s="24"/>
      <c r="K579" s="24"/>
      <c r="L579" s="24"/>
      <c r="M579" s="55" t="s">
        <v>1660</v>
      </c>
      <c r="N579" s="55" t="s">
        <v>1661</v>
      </c>
      <c r="O579" s="24"/>
      <c r="P579" s="26">
        <f>GET_OK_GROUPS_COUNT(tbStoryEnemy[[#This Row],[Camp]],tbStoryEnemy[[#This Row],[Difficulty]],tbStoryEnemy[[#This Row],[IsBoss]],tbStoryEnemy[[#This Row],[Hero1]:[Soldier3]])</f>
        <v>1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80" spans="2:20" x14ac:dyDescent="0.3">
      <c r="B580" s="24"/>
      <c r="C580" s="34" t="s">
        <v>1265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1473</v>
      </c>
      <c r="K580" s="24"/>
      <c r="L580" s="24"/>
      <c r="M580" s="55" t="s">
        <v>1660</v>
      </c>
      <c r="N580" s="24"/>
      <c r="O580" s="24"/>
      <c r="P580" s="26">
        <f>GET_OK_GROUPS_COUNT(tbStoryEnemy[[#This Row],[Camp]],tbStoryEnemy[[#This Row],[Difficulty]],tbStoryEnemy[[#This Row],[IsBoss]],tbStoryEnemy[[#This Row],[Hero1]:[Soldier3]])</f>
        <v>1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1" spans="2:20" x14ac:dyDescent="0.3">
      <c r="B581" s="24" t="s">
        <v>872</v>
      </c>
      <c r="C581" s="34" t="s">
        <v>1265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55" t="s">
        <v>1660</v>
      </c>
      <c r="N581" s="55" t="s">
        <v>1663</v>
      </c>
      <c r="O581" s="24"/>
      <c r="P581" s="26">
        <f>GET_OK_GROUPS_COUNT(tbStoryEnemy[[#This Row],[Camp]],tbStoryEnemy[[#This Row],[Difficulty]],tbStoryEnemy[[#This Row],[IsBoss]],tbStoryEnemy[[#This Row],[Hero1]:[Soldier3]])</f>
        <v>5</v>
      </c>
      <c r="Q581" s="24">
        <v>1</v>
      </c>
      <c r="R581" s="25" t="s">
        <v>912</v>
      </c>
      <c r="S581" s="24"/>
      <c r="T58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2" spans="2:20" x14ac:dyDescent="0.3">
      <c r="B582" s="24"/>
      <c r="C582" s="34" t="s">
        <v>1265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1536</v>
      </c>
      <c r="K582" s="24"/>
      <c r="L582" s="24"/>
      <c r="M582" s="55" t="s">
        <v>1660</v>
      </c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1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3" spans="2:20" x14ac:dyDescent="0.3">
      <c r="B583" s="24" t="s">
        <v>873</v>
      </c>
      <c r="C583" s="34" t="s">
        <v>1265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1526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4" spans="2:20" x14ac:dyDescent="0.3">
      <c r="B584" s="24"/>
      <c r="C584" s="34" t="s">
        <v>1265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1473</v>
      </c>
      <c r="L584" s="24" t="s">
        <v>1536</v>
      </c>
      <c r="M584" s="24"/>
      <c r="N584" s="24"/>
      <c r="O584" s="24"/>
      <c r="P584" s="26">
        <f>GET_OK_GROUPS_COUNT(tbStoryEnemy[[#This Row],[Camp]],tbStoryEnemy[[#This Row],[Difficulty]],tbStoryEnemy[[#This Row],[IsBoss]],tbStoryEnemy[[#This Row],[Hero1]:[Soldier3]])</f>
        <v>1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585" spans="2:20" x14ac:dyDescent="0.3">
      <c r="B585" s="24" t="s">
        <v>874</v>
      </c>
      <c r="C585" s="34" t="s">
        <v>1265</v>
      </c>
      <c r="D585" s="24">
        <v>1</v>
      </c>
      <c r="E585" s="24"/>
      <c r="F585" s="24">
        <v>0</v>
      </c>
      <c r="G585" s="24" t="s">
        <v>151</v>
      </c>
      <c r="H585" s="24" t="s">
        <v>1150</v>
      </c>
      <c r="I585" s="24"/>
      <c r="J585" s="24"/>
      <c r="K585" s="24"/>
      <c r="L585" s="24"/>
      <c r="M585" s="55" t="s">
        <v>1660</v>
      </c>
      <c r="N585" s="55" t="s">
        <v>1663</v>
      </c>
      <c r="O585" s="24"/>
      <c r="P585" s="26">
        <f>GET_OK_GROUPS_COUNT(tbStoryEnemy[[#This Row],[Camp]],tbStoryEnemy[[#This Row],[Difficulty]],tbStoryEnemy[[#This Row],[IsBoss]],tbStoryEnemy[[#This Row],[Hero1]:[Soldier3]])</f>
        <v>1</v>
      </c>
      <c r="Q585" s="24">
        <v>1</v>
      </c>
      <c r="R585" s="25" t="s">
        <v>912</v>
      </c>
      <c r="S585" s="24"/>
      <c r="T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B586" s="24"/>
      <c r="C586" s="34" t="s">
        <v>1265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1570</v>
      </c>
      <c r="K586" s="24"/>
      <c r="L586" s="24"/>
      <c r="M586" s="55" t="s">
        <v>1663</v>
      </c>
      <c r="N586" s="24"/>
      <c r="O586" s="24"/>
      <c r="P586" s="26">
        <f>GET_OK_GROUPS_COUNT(tbStoryEnemy[[#This Row],[Camp]],tbStoryEnemy[[#This Row],[Difficulty]],tbStoryEnemy[[#This Row],[IsBoss]],tbStoryEnemy[[#This Row],[Hero1]:[Soldier3]])</f>
        <v>1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87" spans="2:20" x14ac:dyDescent="0.3">
      <c r="B587" s="24" t="s">
        <v>875</v>
      </c>
      <c r="C587" s="34" t="s">
        <v>1265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55" t="s">
        <v>1665</v>
      </c>
      <c r="N587" s="55" t="s">
        <v>1666</v>
      </c>
      <c r="O587" s="24"/>
      <c r="P587" s="26">
        <f>GET_OK_GROUPS_COUNT(tbStoryEnemy[[#This Row],[Camp]],tbStoryEnemy[[#This Row],[Difficulty]],tbStoryEnemy[[#This Row],[IsBoss]],tbStoryEnemy[[#This Row],[Hero1]:[Soldier3]])</f>
        <v>5</v>
      </c>
      <c r="Q587" s="24">
        <v>1</v>
      </c>
      <c r="R587" s="25" t="s">
        <v>912</v>
      </c>
      <c r="S587" s="24"/>
      <c r="T58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88" spans="2:20" x14ac:dyDescent="0.3">
      <c r="B588" s="24"/>
      <c r="C588" s="34" t="s">
        <v>1265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1505</v>
      </c>
      <c r="K588" s="24"/>
      <c r="L588" s="24"/>
      <c r="M588" s="24" t="s">
        <v>28</v>
      </c>
      <c r="N588" s="24"/>
      <c r="O588" s="24"/>
      <c r="P588" s="26">
        <f>GET_OK_GROUPS_COUNT(tbStoryEnemy[[#This Row],[Camp]],tbStoryEnemy[[#This Row],[Difficulty]],tbStoryEnemy[[#This Row],[IsBoss]],tbStoryEnemy[[#This Row],[Hero1]:[Soldier3]])</f>
        <v>1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9" spans="2:20" x14ac:dyDescent="0.3">
      <c r="B589" s="24" t="s">
        <v>876</v>
      </c>
      <c r="C589" s="34" t="s">
        <v>1265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 t="s">
        <v>1492</v>
      </c>
      <c r="K589" s="24"/>
      <c r="L589" s="24"/>
      <c r="M589" s="24"/>
      <c r="N589" s="24"/>
      <c r="O589" s="24"/>
      <c r="P589" s="26">
        <f>GET_OK_GROUPS_COUNT(tbStoryEnemy[[#This Row],[Camp]],tbStoryEnemy[[#This Row],[Difficulty]],tbStoryEnemy[[#This Row],[IsBoss]],tbStoryEnemy[[#This Row],[Hero1]:[Soldier3]])</f>
        <v>3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0" spans="2:20" x14ac:dyDescent="0.3">
      <c r="B590" s="24"/>
      <c r="C590" s="34" t="s">
        <v>1265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1570</v>
      </c>
      <c r="L590" s="24" t="s">
        <v>1492</v>
      </c>
      <c r="M590" s="24"/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1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591" spans="2:20" x14ac:dyDescent="0.3">
      <c r="B591" s="24" t="s">
        <v>877</v>
      </c>
      <c r="C591" s="34" t="s">
        <v>1265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/>
      <c r="C592" s="34" t="s">
        <v>1265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1570</v>
      </c>
      <c r="K592" s="24"/>
      <c r="L592" s="24"/>
      <c r="M592" s="24" t="s">
        <v>447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3" spans="2:20" x14ac:dyDescent="0.3">
      <c r="B593" s="24" t="s">
        <v>878</v>
      </c>
      <c r="C593" s="34" t="s">
        <v>1265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 t="s">
        <v>1570</v>
      </c>
      <c r="K593" s="24" t="s">
        <v>1504</v>
      </c>
      <c r="L593" s="24"/>
      <c r="M593" s="24"/>
      <c r="N593" s="24"/>
      <c r="O593" s="24"/>
      <c r="P593" s="26">
        <f>GET_OK_GROUPS_COUNT(tbStoryEnemy[[#This Row],[Camp]],tbStoryEnemy[[#This Row],[Difficulty]],tbStoryEnemy[[#This Row],[IsBoss]],tbStoryEnemy[[#This Row],[Hero1]:[Soldier3]])</f>
        <v>1</v>
      </c>
      <c r="Q593" s="24">
        <v>1</v>
      </c>
      <c r="R593" s="25" t="s">
        <v>912</v>
      </c>
      <c r="S593" s="24"/>
      <c r="T593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4" spans="2:20" x14ac:dyDescent="0.3">
      <c r="B594" s="24"/>
      <c r="C594" s="34" t="s">
        <v>1265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1505</v>
      </c>
      <c r="K594" s="24" t="s">
        <v>1570</v>
      </c>
      <c r="L594" s="24" t="s">
        <v>1504</v>
      </c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1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95" spans="2:20" x14ac:dyDescent="0.3">
      <c r="B595" s="24" t="s">
        <v>879</v>
      </c>
      <c r="C595" s="34" t="s">
        <v>1265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414</v>
      </c>
      <c r="K595" s="24" t="s">
        <v>1570</v>
      </c>
      <c r="L595" s="24" t="s">
        <v>1504</v>
      </c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1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>三国-超难-铁英+强英+炼英</v>
      </c>
    </row>
    <row r="596" spans="2:20" x14ac:dyDescent="0.3">
      <c r="B596" s="24"/>
      <c r="C596" s="34" t="s">
        <v>1265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1570</v>
      </c>
      <c r="L596" s="24" t="s">
        <v>1504</v>
      </c>
      <c r="M596" s="24"/>
      <c r="N596" s="24"/>
      <c r="O596" s="24"/>
      <c r="P596" s="26">
        <f>GET_OK_GROUPS_COUNT(tbStoryEnemy[[#This Row],[Camp]],tbStoryEnemy[[#This Row],[Difficulty]],tbStoryEnemy[[#This Row],[IsBoss]],tbStoryEnemy[[#This Row],[Hero1]:[Soldier3]])</f>
        <v>1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97" spans="2:20" x14ac:dyDescent="0.3">
      <c r="B597" s="24" t="s">
        <v>1194</v>
      </c>
      <c r="C597" s="34" t="s">
        <v>1265</v>
      </c>
      <c r="D597" s="24">
        <v>1</v>
      </c>
      <c r="E597" s="24"/>
      <c r="F597" s="24">
        <v>0</v>
      </c>
      <c r="G597" s="24" t="s">
        <v>151</v>
      </c>
      <c r="H597" s="24" t="s">
        <v>1150</v>
      </c>
      <c r="I597" s="24"/>
      <c r="J597" s="24"/>
      <c r="K597" s="24"/>
      <c r="L597" s="24"/>
      <c r="M597" s="55" t="s">
        <v>1660</v>
      </c>
      <c r="N597" s="55" t="s">
        <v>1659</v>
      </c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98" spans="2:20" x14ac:dyDescent="0.3">
      <c r="B598" s="24"/>
      <c r="C598" s="34" t="s">
        <v>1265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1570</v>
      </c>
      <c r="K598" s="24"/>
      <c r="L598" s="24"/>
      <c r="M598" s="55" t="s">
        <v>1659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1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99" spans="2:20" x14ac:dyDescent="0.3">
      <c r="B599" s="24" t="s">
        <v>1195</v>
      </c>
      <c r="C599" s="34" t="s">
        <v>1265</v>
      </c>
      <c r="D599" s="24">
        <v>1</v>
      </c>
      <c r="E599" s="24"/>
      <c r="F599" s="24">
        <v>0</v>
      </c>
      <c r="G599" s="24" t="s">
        <v>151</v>
      </c>
      <c r="H599" s="24" t="s">
        <v>1150</v>
      </c>
      <c r="I599" s="24"/>
      <c r="J599" s="24"/>
      <c r="K599" s="24"/>
      <c r="L599" s="24"/>
      <c r="M599" s="24" t="s">
        <v>25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0" spans="2:20" x14ac:dyDescent="0.3">
      <c r="B600" s="24"/>
      <c r="C600" s="34" t="s">
        <v>1265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1486</v>
      </c>
      <c r="K600" s="24"/>
      <c r="L600" s="24"/>
      <c r="M600" s="24" t="s">
        <v>26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1" spans="2:20" x14ac:dyDescent="0.3">
      <c r="B601" s="24" t="s">
        <v>1196</v>
      </c>
      <c r="C601" s="34" t="s">
        <v>1265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1537</v>
      </c>
      <c r="K601" s="24"/>
      <c r="L601" s="24"/>
      <c r="M601" s="24" t="s">
        <v>25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2" spans="2:20" x14ac:dyDescent="0.3">
      <c r="B602" s="24"/>
      <c r="C602" s="34" t="s">
        <v>1265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 t="s">
        <v>1570</v>
      </c>
      <c r="L602" s="24"/>
      <c r="M602" s="24"/>
      <c r="N602" s="24"/>
      <c r="O602" s="24"/>
      <c r="P602" s="26">
        <f>GET_OK_GROUPS_COUNT(tbStoryEnemy[[#This Row],[Camp]],tbStoryEnemy[[#This Row],[Difficulty]],tbStoryEnemy[[#This Row],[IsBoss]],tbStoryEnemy[[#This Row],[Hero1]:[Soldier3]])</f>
        <v>1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03" spans="2:20" x14ac:dyDescent="0.3">
      <c r="B603" s="24" t="s">
        <v>1197</v>
      </c>
      <c r="C603" s="34" t="s">
        <v>1265</v>
      </c>
      <c r="D603" s="24">
        <v>1</v>
      </c>
      <c r="E603" s="24"/>
      <c r="F603" s="24">
        <v>0</v>
      </c>
      <c r="G603" s="24" t="s">
        <v>151</v>
      </c>
      <c r="H603" s="24" t="s">
        <v>1150</v>
      </c>
      <c r="I603" s="24"/>
      <c r="J603" s="24"/>
      <c r="K603" s="24"/>
      <c r="L603" s="24"/>
      <c r="M603" s="55" t="s">
        <v>1660</v>
      </c>
      <c r="N603" s="55" t="s">
        <v>1661</v>
      </c>
      <c r="O603" s="24"/>
      <c r="P603" s="26">
        <f>GET_OK_GROUPS_COUNT(tbStoryEnemy[[#This Row],[Camp]],tbStoryEnemy[[#This Row],[Difficulty]],tbStoryEnemy[[#This Row],[IsBoss]],tbStoryEnemy[[#This Row],[Hero1]:[Soldier3]])</f>
        <v>1</v>
      </c>
      <c r="Q603" s="24">
        <v>1</v>
      </c>
      <c r="R603" s="25" t="s">
        <v>912</v>
      </c>
      <c r="S603" s="24"/>
      <c r="T6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4" spans="2:20" x14ac:dyDescent="0.3">
      <c r="B604" s="24"/>
      <c r="C604" s="34" t="s">
        <v>1265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401</v>
      </c>
      <c r="K604" s="24"/>
      <c r="L604" s="24"/>
      <c r="M604" s="24" t="s">
        <v>26</v>
      </c>
      <c r="N604" s="24"/>
      <c r="O604" s="24"/>
      <c r="P604" s="26">
        <f>GET_OK_GROUPS_COUNT(tbStoryEnemy[[#This Row],[Camp]],tbStoryEnemy[[#This Row],[Difficulty]],tbStoryEnemy[[#This Row],[IsBoss]],tbStoryEnemy[[#This Row],[Hero1]:[Soldier3]])</f>
        <v>1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05" spans="2:20" x14ac:dyDescent="0.3">
      <c r="B605" s="24" t="s">
        <v>1198</v>
      </c>
      <c r="C605" s="34" t="s">
        <v>1265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55" t="s">
        <v>1665</v>
      </c>
      <c r="N605" s="55" t="s">
        <v>1661</v>
      </c>
      <c r="O605" s="24"/>
      <c r="P605" s="26">
        <f>GET_OK_GROUPS_COUNT(tbStoryEnemy[[#This Row],[Camp]],tbStoryEnemy[[#This Row],[Difficulty]],tbStoryEnemy[[#This Row],[IsBoss]],tbStoryEnemy[[#This Row],[Hero1]:[Soldier3]])</f>
        <v>5</v>
      </c>
      <c r="Q605" s="24">
        <v>1</v>
      </c>
      <c r="R605" s="25" t="s">
        <v>912</v>
      </c>
      <c r="S605" s="24"/>
      <c r="T60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606" spans="2:20" x14ac:dyDescent="0.3">
      <c r="B606" s="24"/>
      <c r="C606" s="34" t="s">
        <v>1265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390</v>
      </c>
      <c r="K606" s="24"/>
      <c r="L606" s="24"/>
      <c r="M606" s="55" t="s">
        <v>1665</v>
      </c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1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07" spans="2:20" x14ac:dyDescent="0.3">
      <c r="B607" s="24" t="s">
        <v>1199</v>
      </c>
      <c r="C607" s="34" t="s">
        <v>1265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 t="s">
        <v>393</v>
      </c>
      <c r="K607" s="24"/>
      <c r="L607" s="24"/>
      <c r="M607" s="24"/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3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08" spans="2:20" x14ac:dyDescent="0.3">
      <c r="B608" s="24"/>
      <c r="C608" s="34" t="s">
        <v>1265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401</v>
      </c>
      <c r="L608" s="24" t="s">
        <v>390</v>
      </c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38" type="noConversion"/>
  <conditionalFormatting sqref="Q5:Q608">
    <cfRule type="expression" dxfId="130" priority="2">
      <formula>Q5&gt;P5</formula>
    </cfRule>
  </conditionalFormatting>
  <conditionalFormatting sqref="P5:P608">
    <cfRule type="cellIs" dxfId="129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M63:M65 J5:L608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H26" sqref="H2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1266</v>
      </c>
      <c r="D4" s="7" t="s">
        <v>482</v>
      </c>
      <c r="E4" s="36" t="s">
        <v>1286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57" t="s">
        <v>1720</v>
      </c>
      <c r="D5" s="7">
        <v>1</v>
      </c>
      <c r="E5" s="7">
        <v>0</v>
      </c>
      <c r="F5" s="7" t="s">
        <v>151</v>
      </c>
      <c r="G5" s="16" t="s">
        <v>1721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/>
      <c r="C6" s="57" t="s">
        <v>1720</v>
      </c>
      <c r="D6" s="16">
        <v>2</v>
      </c>
      <c r="E6" s="16">
        <v>0</v>
      </c>
      <c r="F6" s="7" t="s">
        <v>151</v>
      </c>
      <c r="G6" s="16" t="s">
        <v>180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7" spans="2:19" x14ac:dyDescent="0.3">
      <c r="B7" s="16" t="s">
        <v>950</v>
      </c>
      <c r="C7" s="57" t="s">
        <v>1720</v>
      </c>
      <c r="D7" s="16">
        <v>1</v>
      </c>
      <c r="E7" s="16">
        <v>0</v>
      </c>
      <c r="F7" s="7" t="s">
        <v>151</v>
      </c>
      <c r="G7" s="16" t="s">
        <v>180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8" spans="2:19" x14ac:dyDescent="0.3">
      <c r="B8" s="16"/>
      <c r="C8" s="57" t="s">
        <v>1720</v>
      </c>
      <c r="D8" s="16">
        <v>2</v>
      </c>
      <c r="E8" s="16">
        <v>0</v>
      </c>
      <c r="F8" s="7" t="s">
        <v>151</v>
      </c>
      <c r="G8" s="16" t="s">
        <v>180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57" t="s">
        <v>1720</v>
      </c>
      <c r="D9" s="16">
        <v>1</v>
      </c>
      <c r="E9" s="16">
        <v>0</v>
      </c>
      <c r="F9" s="7" t="s">
        <v>151</v>
      </c>
      <c r="G9" s="16" t="s">
        <v>180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/>
      <c r="C10" s="57" t="s">
        <v>1720</v>
      </c>
      <c r="D10" s="16">
        <v>2</v>
      </c>
      <c r="E10" s="16">
        <v>0</v>
      </c>
      <c r="F10" s="7" t="s">
        <v>151</v>
      </c>
      <c r="G10" s="16" t="s">
        <v>185</v>
      </c>
      <c r="H10" s="16" t="b">
        <v>1</v>
      </c>
      <c r="I10" s="16" t="s">
        <v>409</v>
      </c>
      <c r="J10" s="16" t="s">
        <v>383</v>
      </c>
      <c r="K10" s="57" t="s">
        <v>1722</v>
      </c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1" spans="2:19" x14ac:dyDescent="0.3">
      <c r="B11" s="16" t="s">
        <v>952</v>
      </c>
      <c r="C11" s="57" t="s">
        <v>1720</v>
      </c>
      <c r="D11" s="16">
        <v>1</v>
      </c>
      <c r="E11" s="16">
        <v>0</v>
      </c>
      <c r="F11" s="7" t="s">
        <v>151</v>
      </c>
      <c r="G11" s="16" t="s">
        <v>185</v>
      </c>
      <c r="H11" s="7"/>
      <c r="I11" s="16" t="s">
        <v>380</v>
      </c>
      <c r="J11" s="16" t="s">
        <v>382</v>
      </c>
      <c r="K11" s="16" t="s">
        <v>383</v>
      </c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12" spans="2:19" x14ac:dyDescent="0.3">
      <c r="B12" s="16"/>
      <c r="C12" s="57" t="s">
        <v>1720</v>
      </c>
      <c r="D12" s="16">
        <v>2</v>
      </c>
      <c r="E12" s="16">
        <v>0</v>
      </c>
      <c r="F12" s="7" t="s">
        <v>151</v>
      </c>
      <c r="G12" s="16" t="s">
        <v>185</v>
      </c>
      <c r="H12" s="16" t="b">
        <v>1</v>
      </c>
      <c r="I12" s="16" t="s">
        <v>429</v>
      </c>
      <c r="J12" s="16" t="s">
        <v>382</v>
      </c>
      <c r="K12" s="16" t="s">
        <v>383</v>
      </c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三国-变态-[B]铁英+强英+炼英</v>
      </c>
    </row>
    <row r="13" spans="2:19" x14ac:dyDescent="0.3">
      <c r="B13" s="16" t="s">
        <v>953</v>
      </c>
      <c r="C13" s="57" t="s">
        <v>1720</v>
      </c>
      <c r="D13" s="16">
        <v>1</v>
      </c>
      <c r="E13" s="16">
        <v>0</v>
      </c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/>
      <c r="C14" s="57" t="s">
        <v>1720</v>
      </c>
      <c r="D14" s="16">
        <v>2</v>
      </c>
      <c r="E14" s="16">
        <v>0</v>
      </c>
      <c r="F14" s="7" t="s">
        <v>151</v>
      </c>
      <c r="G14" s="16" t="s">
        <v>180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5" spans="2:19" x14ac:dyDescent="0.3">
      <c r="B15" s="16" t="s">
        <v>954</v>
      </c>
      <c r="C15" s="57" t="s">
        <v>1720</v>
      </c>
      <c r="D15" s="16">
        <v>1</v>
      </c>
      <c r="E15" s="16">
        <v>0</v>
      </c>
      <c r="F15" s="7" t="s">
        <v>151</v>
      </c>
      <c r="G15" s="16" t="s">
        <v>180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6" spans="2:19" x14ac:dyDescent="0.3">
      <c r="B16" s="16"/>
      <c r="C16" s="57" t="s">
        <v>1720</v>
      </c>
      <c r="D16" s="16">
        <v>2</v>
      </c>
      <c r="E16" s="16">
        <v>0</v>
      </c>
      <c r="F16" s="7" t="s">
        <v>151</v>
      </c>
      <c r="G16" s="16" t="s">
        <v>180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57" t="s">
        <v>1720</v>
      </c>
      <c r="D17" s="16">
        <v>1</v>
      </c>
      <c r="E17" s="16">
        <v>0</v>
      </c>
      <c r="F17" s="7" t="s">
        <v>151</v>
      </c>
      <c r="G17" s="16" t="s">
        <v>180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/>
      <c r="C18" s="57" t="s">
        <v>1720</v>
      </c>
      <c r="D18" s="16">
        <v>2</v>
      </c>
      <c r="E18" s="16">
        <v>0</v>
      </c>
      <c r="F18" s="7" t="s">
        <v>151</v>
      </c>
      <c r="G18" s="16" t="s">
        <v>185</v>
      </c>
      <c r="H18" s="16" t="b">
        <v>1</v>
      </c>
      <c r="I18" s="16" t="s">
        <v>410</v>
      </c>
      <c r="J18" s="16" t="s">
        <v>383</v>
      </c>
      <c r="K18" s="16" t="s">
        <v>380</v>
      </c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9" spans="2:19" x14ac:dyDescent="0.3">
      <c r="B19" s="16" t="s">
        <v>956</v>
      </c>
      <c r="C19" s="57" t="s">
        <v>1720</v>
      </c>
      <c r="D19" s="16">
        <v>1</v>
      </c>
      <c r="E19" s="16">
        <v>0</v>
      </c>
      <c r="F19" s="7" t="s">
        <v>151</v>
      </c>
      <c r="G19" s="16" t="s">
        <v>185</v>
      </c>
      <c r="H19" s="7"/>
      <c r="I19" s="16" t="s">
        <v>381</v>
      </c>
      <c r="J19" s="16" t="s">
        <v>382</v>
      </c>
      <c r="K19" s="16" t="s">
        <v>380</v>
      </c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0" spans="2:19" x14ac:dyDescent="0.3">
      <c r="B20" s="16"/>
      <c r="C20" s="57" t="s">
        <v>1720</v>
      </c>
      <c r="D20" s="16">
        <v>2</v>
      </c>
      <c r="E20" s="16">
        <v>0</v>
      </c>
      <c r="F20" s="7" t="s">
        <v>151</v>
      </c>
      <c r="G20" s="16" t="s">
        <v>185</v>
      </c>
      <c r="H20" s="16" t="b">
        <v>1</v>
      </c>
      <c r="I20" s="16" t="s">
        <v>388</v>
      </c>
      <c r="J20" s="16" t="s">
        <v>383</v>
      </c>
      <c r="K20" s="16" t="s">
        <v>380</v>
      </c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1" spans="2:19" x14ac:dyDescent="0.3">
      <c r="B21" s="16" t="s">
        <v>957</v>
      </c>
      <c r="C21" s="57" t="s">
        <v>1720</v>
      </c>
      <c r="D21" s="16">
        <v>1</v>
      </c>
      <c r="E21" s="16">
        <v>0</v>
      </c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/>
      <c r="C22" s="57" t="s">
        <v>1720</v>
      </c>
      <c r="D22" s="16">
        <v>2</v>
      </c>
      <c r="E22" s="16">
        <v>0</v>
      </c>
      <c r="F22" s="7" t="s">
        <v>151</v>
      </c>
      <c r="G22" s="16" t="s">
        <v>180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" spans="2:19" x14ac:dyDescent="0.3">
      <c r="B23" s="16" t="s">
        <v>958</v>
      </c>
      <c r="C23" s="57" t="s">
        <v>1720</v>
      </c>
      <c r="D23" s="16">
        <v>1</v>
      </c>
      <c r="E23" s="16">
        <v>0</v>
      </c>
      <c r="F23" s="7" t="s">
        <v>151</v>
      </c>
      <c r="G23" s="16" t="s">
        <v>180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4" spans="2:19" x14ac:dyDescent="0.3">
      <c r="B24" s="16"/>
      <c r="C24" s="57" t="s">
        <v>1720</v>
      </c>
      <c r="D24" s="16">
        <v>2</v>
      </c>
      <c r="E24" s="16">
        <v>0</v>
      </c>
      <c r="F24" s="7" t="s">
        <v>151</v>
      </c>
      <c r="G24" s="16" t="s">
        <v>180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57" t="s">
        <v>1720</v>
      </c>
      <c r="D25" s="16">
        <v>1</v>
      </c>
      <c r="E25" s="16">
        <v>0</v>
      </c>
      <c r="F25" s="7" t="s">
        <v>151</v>
      </c>
      <c r="G25" s="16" t="s">
        <v>180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/>
      <c r="C26" s="57" t="s">
        <v>1720</v>
      </c>
      <c r="D26" s="16">
        <v>2</v>
      </c>
      <c r="E26" s="16">
        <v>0</v>
      </c>
      <c r="F26" s="7" t="s">
        <v>151</v>
      </c>
      <c r="G26" s="16" t="s">
        <v>185</v>
      </c>
      <c r="H26" s="16" t="b">
        <v>1</v>
      </c>
      <c r="I26" s="16" t="s">
        <v>407</v>
      </c>
      <c r="J26" s="16" t="s">
        <v>385</v>
      </c>
      <c r="K26" s="16" t="s">
        <v>380</v>
      </c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7" spans="2:19" x14ac:dyDescent="0.3">
      <c r="B27" s="16" t="s">
        <v>960</v>
      </c>
      <c r="C27" s="57" t="s">
        <v>1720</v>
      </c>
      <c r="D27" s="16">
        <v>1</v>
      </c>
      <c r="E27" s="16">
        <v>0</v>
      </c>
      <c r="F27" s="7" t="s">
        <v>151</v>
      </c>
      <c r="G27" s="16" t="s">
        <v>185</v>
      </c>
      <c r="H27" s="7"/>
      <c r="I27" s="16" t="s">
        <v>382</v>
      </c>
      <c r="J27" s="16" t="s">
        <v>381</v>
      </c>
      <c r="K27" s="16" t="s">
        <v>380</v>
      </c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8" spans="2:19" x14ac:dyDescent="0.3">
      <c r="B28" s="16"/>
      <c r="C28" s="57" t="s">
        <v>1720</v>
      </c>
      <c r="D28" s="16">
        <v>2</v>
      </c>
      <c r="E28" s="16">
        <v>0</v>
      </c>
      <c r="F28" s="7" t="s">
        <v>151</v>
      </c>
      <c r="G28" s="16" t="s">
        <v>185</v>
      </c>
      <c r="H28" s="16" t="b">
        <v>1</v>
      </c>
      <c r="I28" s="16" t="s">
        <v>388</v>
      </c>
      <c r="J28" s="16" t="s">
        <v>383</v>
      </c>
      <c r="K28" s="16" t="s">
        <v>380</v>
      </c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9" spans="2:19" x14ac:dyDescent="0.3">
      <c r="B29" s="16" t="s">
        <v>961</v>
      </c>
      <c r="C29" s="57" t="s">
        <v>1720</v>
      </c>
      <c r="D29" s="16">
        <v>1</v>
      </c>
      <c r="E29" s="16">
        <v>0</v>
      </c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/>
      <c r="C30" s="57" t="s">
        <v>1720</v>
      </c>
      <c r="D30" s="16">
        <v>2</v>
      </c>
      <c r="E30" s="16">
        <v>0</v>
      </c>
      <c r="F30" s="7" t="s">
        <v>151</v>
      </c>
      <c r="G30" s="16" t="s">
        <v>180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" spans="2:19" x14ac:dyDescent="0.3">
      <c r="B31" s="16" t="s">
        <v>962</v>
      </c>
      <c r="C31" s="57" t="s">
        <v>1720</v>
      </c>
      <c r="D31" s="16">
        <v>1</v>
      </c>
      <c r="E31" s="16">
        <v>0</v>
      </c>
      <c r="F31" s="7" t="s">
        <v>151</v>
      </c>
      <c r="G31" s="16" t="s">
        <v>180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2" spans="2:19" x14ac:dyDescent="0.3">
      <c r="B32" s="16"/>
      <c r="C32" s="57" t="s">
        <v>1720</v>
      </c>
      <c r="D32" s="16">
        <v>2</v>
      </c>
      <c r="E32" s="16">
        <v>0</v>
      </c>
      <c r="F32" s="7" t="s">
        <v>151</v>
      </c>
      <c r="G32" s="16" t="s">
        <v>180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57" t="s">
        <v>1720</v>
      </c>
      <c r="D33" s="16">
        <v>1</v>
      </c>
      <c r="E33" s="16">
        <v>0</v>
      </c>
      <c r="F33" s="7" t="s">
        <v>151</v>
      </c>
      <c r="G33" s="16" t="s">
        <v>180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/>
      <c r="C34" s="57" t="s">
        <v>1720</v>
      </c>
      <c r="D34" s="16">
        <v>2</v>
      </c>
      <c r="E34" s="16">
        <v>0</v>
      </c>
      <c r="F34" s="7" t="s">
        <v>151</v>
      </c>
      <c r="G34" s="16" t="s">
        <v>185</v>
      </c>
      <c r="H34" s="16" t="b">
        <v>1</v>
      </c>
      <c r="I34" s="16" t="s">
        <v>415</v>
      </c>
      <c r="J34" s="16" t="s">
        <v>384</v>
      </c>
      <c r="K34" s="16" t="s">
        <v>380</v>
      </c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5" spans="2:19" x14ac:dyDescent="0.3">
      <c r="B35" s="16" t="s">
        <v>964</v>
      </c>
      <c r="C35" s="57" t="s">
        <v>1720</v>
      </c>
      <c r="D35" s="16">
        <v>1</v>
      </c>
      <c r="E35" s="16">
        <v>0</v>
      </c>
      <c r="F35" s="7" t="s">
        <v>151</v>
      </c>
      <c r="G35" s="16" t="s">
        <v>185</v>
      </c>
      <c r="H35" s="7"/>
      <c r="I35" s="16" t="s">
        <v>382</v>
      </c>
      <c r="J35" s="16" t="s">
        <v>380</v>
      </c>
      <c r="K35" s="57" t="s">
        <v>1723</v>
      </c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" spans="2:19" x14ac:dyDescent="0.3">
      <c r="B36" s="16"/>
      <c r="C36" s="57" t="s">
        <v>1720</v>
      </c>
      <c r="D36" s="16">
        <v>2</v>
      </c>
      <c r="E36" s="16">
        <v>0</v>
      </c>
      <c r="F36" s="7" t="s">
        <v>151</v>
      </c>
      <c r="G36" s="16" t="s">
        <v>185</v>
      </c>
      <c r="H36" s="16" t="b">
        <v>1</v>
      </c>
      <c r="I36" s="16" t="s">
        <v>417</v>
      </c>
      <c r="J36" s="16" t="s">
        <v>383</v>
      </c>
      <c r="K36" s="16" t="s">
        <v>380</v>
      </c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7" spans="2:19" x14ac:dyDescent="0.3">
      <c r="B37" s="16" t="s">
        <v>965</v>
      </c>
      <c r="C37" s="57" t="s">
        <v>1720</v>
      </c>
      <c r="D37" s="16">
        <v>1</v>
      </c>
      <c r="E37" s="16">
        <v>0</v>
      </c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/>
      <c r="C38" s="57" t="s">
        <v>1720</v>
      </c>
      <c r="D38" s="16">
        <v>2</v>
      </c>
      <c r="E38" s="16">
        <v>0</v>
      </c>
      <c r="F38" s="7" t="s">
        <v>151</v>
      </c>
      <c r="G38" s="16" t="s">
        <v>180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9" spans="2:19" x14ac:dyDescent="0.3">
      <c r="B39" s="16" t="s">
        <v>966</v>
      </c>
      <c r="C39" s="57" t="s">
        <v>1720</v>
      </c>
      <c r="D39" s="16">
        <v>1</v>
      </c>
      <c r="E39" s="16">
        <v>0</v>
      </c>
      <c r="F39" s="7" t="s">
        <v>151</v>
      </c>
      <c r="G39" s="16" t="s">
        <v>180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40" spans="2:19" x14ac:dyDescent="0.3">
      <c r="B40" s="16"/>
      <c r="C40" s="57" t="s">
        <v>1720</v>
      </c>
      <c r="D40" s="16">
        <v>2</v>
      </c>
      <c r="E40" s="16">
        <v>0</v>
      </c>
      <c r="F40" s="7" t="s">
        <v>151</v>
      </c>
      <c r="G40" s="16" t="s">
        <v>180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57" t="s">
        <v>1720</v>
      </c>
      <c r="D41" s="16">
        <v>1</v>
      </c>
      <c r="E41" s="16">
        <v>0</v>
      </c>
      <c r="F41" s="7" t="s">
        <v>151</v>
      </c>
      <c r="G41" s="16" t="s">
        <v>180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/>
      <c r="C42" s="57" t="s">
        <v>1720</v>
      </c>
      <c r="D42" s="16">
        <v>2</v>
      </c>
      <c r="E42" s="16">
        <v>0</v>
      </c>
      <c r="F42" s="7" t="s">
        <v>151</v>
      </c>
      <c r="G42" s="16" t="s">
        <v>185</v>
      </c>
      <c r="H42" s="16" t="b">
        <v>1</v>
      </c>
      <c r="I42" s="16" t="s">
        <v>424</v>
      </c>
      <c r="J42" s="16" t="s">
        <v>385</v>
      </c>
      <c r="K42" s="57" t="s">
        <v>1722</v>
      </c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43" spans="2:19" x14ac:dyDescent="0.3">
      <c r="B43" s="16" t="s">
        <v>968</v>
      </c>
      <c r="C43" s="57" t="s">
        <v>1720</v>
      </c>
      <c r="D43" s="16">
        <v>1</v>
      </c>
      <c r="E43" s="16">
        <v>0</v>
      </c>
      <c r="F43" s="7" t="s">
        <v>151</v>
      </c>
      <c r="G43" s="16" t="s">
        <v>185</v>
      </c>
      <c r="H43" s="7"/>
      <c r="I43" s="16" t="s">
        <v>383</v>
      </c>
      <c r="J43" s="16" t="s">
        <v>385</v>
      </c>
      <c r="K43" s="16" t="s">
        <v>380</v>
      </c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44" spans="2:19" x14ac:dyDescent="0.3">
      <c r="B44" s="16"/>
      <c r="C44" s="57" t="s">
        <v>1720</v>
      </c>
      <c r="D44" s="16">
        <v>2</v>
      </c>
      <c r="E44" s="16">
        <v>0</v>
      </c>
      <c r="F44" s="7" t="s">
        <v>151</v>
      </c>
      <c r="G44" s="16" t="s">
        <v>185</v>
      </c>
      <c r="H44" s="16" t="b">
        <v>1</v>
      </c>
      <c r="I44" s="16" t="s">
        <v>400</v>
      </c>
      <c r="J44" s="16" t="s">
        <v>384</v>
      </c>
      <c r="K44" s="16" t="s">
        <v>380</v>
      </c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45" spans="2:19" x14ac:dyDescent="0.3">
      <c r="B45" s="16" t="s">
        <v>969</v>
      </c>
      <c r="C45" s="57" t="s">
        <v>1720</v>
      </c>
      <c r="D45" s="16">
        <v>1</v>
      </c>
      <c r="E45" s="16">
        <v>0</v>
      </c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/>
      <c r="C46" s="57" t="s">
        <v>1720</v>
      </c>
      <c r="D46" s="16">
        <v>2</v>
      </c>
      <c r="E46" s="16">
        <v>0</v>
      </c>
      <c r="F46" s="7" t="s">
        <v>151</v>
      </c>
      <c r="G46" s="16" t="s">
        <v>180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7" spans="2:19" x14ac:dyDescent="0.3">
      <c r="B47" s="16" t="s">
        <v>970</v>
      </c>
      <c r="C47" s="57" t="s">
        <v>1720</v>
      </c>
      <c r="D47" s="16">
        <v>1</v>
      </c>
      <c r="E47" s="16">
        <v>0</v>
      </c>
      <c r="F47" s="7" t="s">
        <v>151</v>
      </c>
      <c r="G47" s="16" t="s">
        <v>180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48" spans="2:19" x14ac:dyDescent="0.3">
      <c r="B48" s="16"/>
      <c r="C48" s="57" t="s">
        <v>1720</v>
      </c>
      <c r="D48" s="16">
        <v>2</v>
      </c>
      <c r="E48" s="16">
        <v>0</v>
      </c>
      <c r="F48" s="7" t="s">
        <v>151</v>
      </c>
      <c r="G48" s="16" t="s">
        <v>180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57" t="s">
        <v>1720</v>
      </c>
      <c r="D49" s="16">
        <v>1</v>
      </c>
      <c r="E49" s="16">
        <v>0</v>
      </c>
      <c r="F49" s="7" t="s">
        <v>151</v>
      </c>
      <c r="G49" s="16" t="s">
        <v>180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/>
      <c r="C50" s="57" t="s">
        <v>1720</v>
      </c>
      <c r="D50" s="16">
        <v>2</v>
      </c>
      <c r="E50" s="16">
        <v>0</v>
      </c>
      <c r="F50" s="7" t="s">
        <v>151</v>
      </c>
      <c r="G50" s="16" t="s">
        <v>185</v>
      </c>
      <c r="H50" s="16" t="b">
        <v>1</v>
      </c>
      <c r="I50" s="16" t="s">
        <v>24</v>
      </c>
      <c r="J50" s="16" t="s">
        <v>381</v>
      </c>
      <c r="K50" s="16" t="s">
        <v>380</v>
      </c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51" spans="2:19" x14ac:dyDescent="0.3">
      <c r="B51" s="16" t="s">
        <v>972</v>
      </c>
      <c r="C51" s="57" t="s">
        <v>1720</v>
      </c>
      <c r="D51" s="16">
        <v>1</v>
      </c>
      <c r="E51" s="16">
        <v>0</v>
      </c>
      <c r="F51" s="7" t="s">
        <v>151</v>
      </c>
      <c r="G51" s="16" t="s">
        <v>185</v>
      </c>
      <c r="H51" s="7"/>
      <c r="I51" s="16" t="s">
        <v>380</v>
      </c>
      <c r="J51" s="16" t="s">
        <v>380</v>
      </c>
      <c r="K51" s="16" t="s">
        <v>381</v>
      </c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52" spans="2:19" x14ac:dyDescent="0.3">
      <c r="B52" s="16"/>
      <c r="C52" s="57" t="s">
        <v>1720</v>
      </c>
      <c r="D52" s="16">
        <v>2</v>
      </c>
      <c r="E52" s="16">
        <v>0</v>
      </c>
      <c r="F52" s="7" t="s">
        <v>151</v>
      </c>
      <c r="G52" s="16" t="s">
        <v>185</v>
      </c>
      <c r="H52" s="16" t="b">
        <v>1</v>
      </c>
      <c r="I52" s="16" t="s">
        <v>397</v>
      </c>
      <c r="J52" s="16" t="s">
        <v>384</v>
      </c>
      <c r="K52" s="16" t="s">
        <v>380</v>
      </c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53" spans="2:19" x14ac:dyDescent="0.3">
      <c r="B53" s="16" t="s">
        <v>973</v>
      </c>
      <c r="C53" s="57" t="s">
        <v>1720</v>
      </c>
      <c r="D53" s="16">
        <v>1</v>
      </c>
      <c r="E53" s="16">
        <v>0</v>
      </c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/>
      <c r="C54" s="57" t="s">
        <v>1720</v>
      </c>
      <c r="D54" s="16">
        <v>2</v>
      </c>
      <c r="E54" s="16">
        <v>0</v>
      </c>
      <c r="F54" s="7" t="s">
        <v>151</v>
      </c>
      <c r="G54" s="16" t="s">
        <v>180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5" spans="2:19" x14ac:dyDescent="0.3">
      <c r="B55" s="16" t="s">
        <v>974</v>
      </c>
      <c r="C55" s="57" t="s">
        <v>1720</v>
      </c>
      <c r="D55" s="16">
        <v>1</v>
      </c>
      <c r="E55" s="16">
        <v>0</v>
      </c>
      <c r="F55" s="7" t="s">
        <v>151</v>
      </c>
      <c r="G55" s="16" t="s">
        <v>180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56" spans="2:19" x14ac:dyDescent="0.3">
      <c r="B56" s="16"/>
      <c r="C56" s="57" t="s">
        <v>1720</v>
      </c>
      <c r="D56" s="16">
        <v>2</v>
      </c>
      <c r="E56" s="16">
        <v>0</v>
      </c>
      <c r="F56" s="7" t="s">
        <v>151</v>
      </c>
      <c r="G56" s="16" t="s">
        <v>180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57" t="s">
        <v>1720</v>
      </c>
      <c r="D57" s="16">
        <v>1</v>
      </c>
      <c r="E57" s="16">
        <v>0</v>
      </c>
      <c r="F57" s="7" t="s">
        <v>151</v>
      </c>
      <c r="G57" s="16" t="s">
        <v>180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/>
      <c r="C58" s="57" t="s">
        <v>1720</v>
      </c>
      <c r="D58" s="16">
        <v>2</v>
      </c>
      <c r="E58" s="16">
        <v>0</v>
      </c>
      <c r="F58" s="7" t="s">
        <v>151</v>
      </c>
      <c r="G58" s="16" t="s">
        <v>185</v>
      </c>
      <c r="H58" s="16" t="b">
        <v>1</v>
      </c>
      <c r="I58" s="16" t="s">
        <v>433</v>
      </c>
      <c r="J58" s="16" t="s">
        <v>384</v>
      </c>
      <c r="K58" s="16" t="s">
        <v>380</v>
      </c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59" spans="2:19" x14ac:dyDescent="0.3">
      <c r="B59" s="16" t="s">
        <v>976</v>
      </c>
      <c r="C59" s="57" t="s">
        <v>1720</v>
      </c>
      <c r="D59" s="16">
        <v>1</v>
      </c>
      <c r="E59" s="16">
        <v>0</v>
      </c>
      <c r="F59" s="7" t="s">
        <v>151</v>
      </c>
      <c r="G59" s="16" t="s">
        <v>185</v>
      </c>
      <c r="H59" s="7"/>
      <c r="I59" s="16" t="s">
        <v>383</v>
      </c>
      <c r="J59" s="16" t="s">
        <v>381</v>
      </c>
      <c r="K59" s="16" t="s">
        <v>380</v>
      </c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60" spans="2:19" x14ac:dyDescent="0.3">
      <c r="B60" s="16"/>
      <c r="C60" s="57" t="s">
        <v>1720</v>
      </c>
      <c r="D60" s="16">
        <v>2</v>
      </c>
      <c r="E60" s="16">
        <v>0</v>
      </c>
      <c r="F60" s="7" t="s">
        <v>151</v>
      </c>
      <c r="G60" s="16" t="s">
        <v>185</v>
      </c>
      <c r="H60" s="16" t="b">
        <v>1</v>
      </c>
      <c r="I60" s="16" t="s">
        <v>404</v>
      </c>
      <c r="J60" s="16" t="s">
        <v>381</v>
      </c>
      <c r="K60" s="16" t="s">
        <v>380</v>
      </c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61" spans="2:19" x14ac:dyDescent="0.3">
      <c r="B61" s="16" t="s">
        <v>977</v>
      </c>
      <c r="C61" s="57" t="s">
        <v>1720</v>
      </c>
      <c r="D61" s="16">
        <v>1</v>
      </c>
      <c r="E61" s="16">
        <v>0</v>
      </c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/>
      <c r="C62" s="57" t="s">
        <v>1720</v>
      </c>
      <c r="D62" s="16">
        <v>2</v>
      </c>
      <c r="E62" s="16">
        <v>0</v>
      </c>
      <c r="F62" s="7" t="s">
        <v>151</v>
      </c>
      <c r="G62" s="16" t="s">
        <v>180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63" spans="2:19" x14ac:dyDescent="0.3">
      <c r="B63" s="16" t="s">
        <v>978</v>
      </c>
      <c r="C63" s="57" t="s">
        <v>1720</v>
      </c>
      <c r="D63" s="16">
        <v>1</v>
      </c>
      <c r="E63" s="16">
        <v>0</v>
      </c>
      <c r="F63" s="7" t="s">
        <v>151</v>
      </c>
      <c r="G63" s="16" t="s">
        <v>180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64" spans="2:19" x14ac:dyDescent="0.3">
      <c r="B64" s="16"/>
      <c r="C64" s="57" t="s">
        <v>1720</v>
      </c>
      <c r="D64" s="16">
        <v>2</v>
      </c>
      <c r="E64" s="16">
        <v>0</v>
      </c>
      <c r="F64" s="7" t="s">
        <v>151</v>
      </c>
      <c r="G64" s="16" t="s">
        <v>180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57" t="s">
        <v>1720</v>
      </c>
      <c r="D65" s="16">
        <v>1</v>
      </c>
      <c r="E65" s="16">
        <v>0</v>
      </c>
      <c r="F65" s="7" t="s">
        <v>151</v>
      </c>
      <c r="G65" s="16" t="s">
        <v>180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/>
      <c r="C66" s="57" t="s">
        <v>1720</v>
      </c>
      <c r="D66" s="16">
        <v>2</v>
      </c>
      <c r="E66" s="16">
        <v>0</v>
      </c>
      <c r="F66" s="7" t="s">
        <v>151</v>
      </c>
      <c r="G66" s="16" t="s">
        <v>185</v>
      </c>
      <c r="H66" s="16" t="b">
        <v>1</v>
      </c>
      <c r="I66" s="16" t="s">
        <v>392</v>
      </c>
      <c r="J66" s="16" t="s">
        <v>381</v>
      </c>
      <c r="K66" s="57" t="s">
        <v>1722</v>
      </c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67" spans="2:19" x14ac:dyDescent="0.3">
      <c r="B67" s="16" t="s">
        <v>980</v>
      </c>
      <c r="C67" s="57" t="s">
        <v>1720</v>
      </c>
      <c r="D67" s="16">
        <v>1</v>
      </c>
      <c r="E67" s="16">
        <v>0</v>
      </c>
      <c r="F67" s="7" t="s">
        <v>151</v>
      </c>
      <c r="G67" s="16" t="s">
        <v>185</v>
      </c>
      <c r="H67" s="7"/>
      <c r="I67" s="16" t="s">
        <v>384</v>
      </c>
      <c r="J67" s="16" t="s">
        <v>384</v>
      </c>
      <c r="K67" s="16" t="s">
        <v>380</v>
      </c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68" spans="2:19" x14ac:dyDescent="0.3">
      <c r="B68" s="16"/>
      <c r="C68" s="57" t="s">
        <v>1720</v>
      </c>
      <c r="D68" s="16">
        <v>2</v>
      </c>
      <c r="E68" s="16">
        <v>0</v>
      </c>
      <c r="F68" s="7" t="s">
        <v>151</v>
      </c>
      <c r="G68" s="16" t="s">
        <v>185</v>
      </c>
      <c r="H68" s="16" t="b">
        <v>1</v>
      </c>
      <c r="I68" s="16" t="s">
        <v>390</v>
      </c>
      <c r="J68" s="16" t="s">
        <v>380</v>
      </c>
      <c r="K68" s="16" t="s">
        <v>380</v>
      </c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69" spans="2:19" x14ac:dyDescent="0.3">
      <c r="B69" s="16" t="s">
        <v>981</v>
      </c>
      <c r="C69" s="57" t="s">
        <v>1720</v>
      </c>
      <c r="D69" s="16">
        <v>1</v>
      </c>
      <c r="E69" s="16">
        <v>0</v>
      </c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/>
      <c r="C70" s="57" t="s">
        <v>1720</v>
      </c>
      <c r="D70" s="16">
        <v>2</v>
      </c>
      <c r="E70" s="16">
        <v>0</v>
      </c>
      <c r="F70" s="7" t="s">
        <v>151</v>
      </c>
      <c r="G70" s="16" t="s">
        <v>180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1" spans="2:19" x14ac:dyDescent="0.3">
      <c r="B71" s="16" t="s">
        <v>982</v>
      </c>
      <c r="C71" s="57" t="s">
        <v>1720</v>
      </c>
      <c r="D71" s="16">
        <v>1</v>
      </c>
      <c r="E71" s="16">
        <v>0</v>
      </c>
      <c r="F71" s="7" t="s">
        <v>151</v>
      </c>
      <c r="G71" s="16" t="s">
        <v>180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72" spans="2:19" x14ac:dyDescent="0.3">
      <c r="B72" s="16"/>
      <c r="C72" s="57" t="s">
        <v>1720</v>
      </c>
      <c r="D72" s="16">
        <v>2</v>
      </c>
      <c r="E72" s="16">
        <v>0</v>
      </c>
      <c r="F72" s="7" t="s">
        <v>151</v>
      </c>
      <c r="G72" s="16" t="s">
        <v>180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57" t="s">
        <v>1720</v>
      </c>
      <c r="D73" s="16">
        <v>1</v>
      </c>
      <c r="E73" s="16">
        <v>0</v>
      </c>
      <c r="F73" s="7" t="s">
        <v>151</v>
      </c>
      <c r="G73" s="16" t="s">
        <v>180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/>
      <c r="C74" s="57" t="s">
        <v>1720</v>
      </c>
      <c r="D74" s="16">
        <v>2</v>
      </c>
      <c r="E74" s="16">
        <v>0</v>
      </c>
      <c r="F74" s="7" t="s">
        <v>151</v>
      </c>
      <c r="G74" s="16" t="s">
        <v>185</v>
      </c>
      <c r="H74" s="16" t="b">
        <v>1</v>
      </c>
      <c r="I74" s="16" t="s">
        <v>419</v>
      </c>
      <c r="J74" s="16" t="s">
        <v>384</v>
      </c>
      <c r="K74" s="16" t="s">
        <v>380</v>
      </c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75" spans="2:19" x14ac:dyDescent="0.3">
      <c r="B75" s="16" t="s">
        <v>984</v>
      </c>
      <c r="C75" s="57" t="s">
        <v>1720</v>
      </c>
      <c r="D75" s="16">
        <v>1</v>
      </c>
      <c r="E75" s="16">
        <v>0</v>
      </c>
      <c r="F75" s="7" t="s">
        <v>151</v>
      </c>
      <c r="G75" s="16" t="s">
        <v>185</v>
      </c>
      <c r="H75" s="7"/>
      <c r="I75" s="16" t="s">
        <v>385</v>
      </c>
      <c r="J75" s="16" t="s">
        <v>381</v>
      </c>
      <c r="K75" s="16" t="s">
        <v>380</v>
      </c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76" spans="2:19" x14ac:dyDescent="0.3">
      <c r="B76" s="16"/>
      <c r="C76" s="57" t="s">
        <v>1720</v>
      </c>
      <c r="D76" s="16">
        <v>2</v>
      </c>
      <c r="E76" s="16">
        <v>0</v>
      </c>
      <c r="F76" s="7" t="s">
        <v>151</v>
      </c>
      <c r="G76" s="16" t="s">
        <v>185</v>
      </c>
      <c r="H76" s="16" t="b">
        <v>1</v>
      </c>
      <c r="I76" s="16" t="s">
        <v>420</v>
      </c>
      <c r="J76" s="16" t="s">
        <v>384</v>
      </c>
      <c r="K76" s="16" t="s">
        <v>380</v>
      </c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77" spans="2:19" x14ac:dyDescent="0.3">
      <c r="B77" s="16" t="s">
        <v>1218</v>
      </c>
      <c r="C77" s="57" t="s">
        <v>1720</v>
      </c>
      <c r="D77" s="16">
        <v>1</v>
      </c>
      <c r="E77" s="16">
        <v>0</v>
      </c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/>
      <c r="C78" s="57" t="s">
        <v>1720</v>
      </c>
      <c r="D78" s="16">
        <v>2</v>
      </c>
      <c r="E78" s="16">
        <v>0</v>
      </c>
      <c r="F78" s="7" t="s">
        <v>151</v>
      </c>
      <c r="G78" s="16" t="s">
        <v>180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79" spans="2:19" x14ac:dyDescent="0.3">
      <c r="B79" s="16" t="s">
        <v>1219</v>
      </c>
      <c r="C79" s="57" t="s">
        <v>1720</v>
      </c>
      <c r="D79" s="16">
        <v>1</v>
      </c>
      <c r="E79" s="16">
        <v>0</v>
      </c>
      <c r="F79" s="7" t="s">
        <v>151</v>
      </c>
      <c r="G79" s="16" t="s">
        <v>180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0" spans="2:19" x14ac:dyDescent="0.3">
      <c r="B80" s="16"/>
      <c r="C80" s="57" t="s">
        <v>1720</v>
      </c>
      <c r="D80" s="16">
        <v>2</v>
      </c>
      <c r="E80" s="16">
        <v>0</v>
      </c>
      <c r="F80" s="7" t="s">
        <v>151</v>
      </c>
      <c r="G80" s="16" t="s">
        <v>180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1220</v>
      </c>
      <c r="C81" s="57" t="s">
        <v>1720</v>
      </c>
      <c r="D81" s="16">
        <v>1</v>
      </c>
      <c r="E81" s="16">
        <v>0</v>
      </c>
      <c r="F81" s="7" t="s">
        <v>151</v>
      </c>
      <c r="G81" s="16" t="s">
        <v>180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/>
      <c r="C82" s="57" t="s">
        <v>1720</v>
      </c>
      <c r="D82" s="16">
        <v>2</v>
      </c>
      <c r="E82" s="16">
        <v>0</v>
      </c>
      <c r="F82" s="7" t="s">
        <v>151</v>
      </c>
      <c r="G82" s="16" t="s">
        <v>185</v>
      </c>
      <c r="H82" s="16" t="b">
        <v>1</v>
      </c>
      <c r="I82" s="16" t="s">
        <v>431</v>
      </c>
      <c r="J82" s="16" t="s">
        <v>381</v>
      </c>
      <c r="K82" s="16" t="s">
        <v>380</v>
      </c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83" spans="2:19" x14ac:dyDescent="0.3">
      <c r="B83" s="16" t="s">
        <v>1221</v>
      </c>
      <c r="C83" s="57" t="s">
        <v>1720</v>
      </c>
      <c r="D83" s="16">
        <v>1</v>
      </c>
      <c r="E83" s="16">
        <v>0</v>
      </c>
      <c r="F83" s="7" t="s">
        <v>151</v>
      </c>
      <c r="G83" s="16" t="s">
        <v>185</v>
      </c>
      <c r="H83" s="7"/>
      <c r="I83" s="16" t="s">
        <v>384</v>
      </c>
      <c r="J83" s="16" t="s">
        <v>385</v>
      </c>
      <c r="K83" s="16" t="s">
        <v>380</v>
      </c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三国-变态-盾英+法英+刺英</v>
      </c>
    </row>
    <row r="84" spans="2:19" x14ac:dyDescent="0.3">
      <c r="B84" s="16"/>
      <c r="C84" s="57" t="s">
        <v>1720</v>
      </c>
      <c r="D84" s="16">
        <v>2</v>
      </c>
      <c r="E84" s="16">
        <v>0</v>
      </c>
      <c r="F84" s="7" t="s">
        <v>151</v>
      </c>
      <c r="G84" s="16" t="s">
        <v>185</v>
      </c>
      <c r="H84" s="16" t="b">
        <v>1</v>
      </c>
      <c r="I84" s="16" t="s">
        <v>393</v>
      </c>
      <c r="J84" s="16" t="s">
        <v>383</v>
      </c>
      <c r="K84" s="16" t="s">
        <v>380</v>
      </c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三国-变态-[B]盾英+炼英+刺英</v>
      </c>
    </row>
    <row r="85" spans="2:19" x14ac:dyDescent="0.3">
      <c r="B85" s="16" t="s">
        <v>985</v>
      </c>
      <c r="C85" s="57" t="s">
        <v>1720</v>
      </c>
      <c r="D85" s="16">
        <v>1</v>
      </c>
      <c r="E85" s="16">
        <v>0</v>
      </c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/>
      <c r="C86" s="57" t="s">
        <v>1720</v>
      </c>
      <c r="D86" s="16">
        <v>2</v>
      </c>
      <c r="E86" s="16">
        <v>0</v>
      </c>
      <c r="F86" s="7" t="s">
        <v>151</v>
      </c>
      <c r="G86" s="16" t="s">
        <v>180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87" spans="2:19" x14ac:dyDescent="0.3">
      <c r="B87" s="16" t="s">
        <v>986</v>
      </c>
      <c r="C87" s="57" t="s">
        <v>1720</v>
      </c>
      <c r="D87" s="16">
        <v>1</v>
      </c>
      <c r="E87" s="16">
        <v>0</v>
      </c>
      <c r="F87" s="7" t="s">
        <v>151</v>
      </c>
      <c r="G87" s="16" t="s">
        <v>180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88" spans="2:19" x14ac:dyDescent="0.3">
      <c r="B88" s="16"/>
      <c r="C88" s="57" t="s">
        <v>1720</v>
      </c>
      <c r="D88" s="16">
        <v>2</v>
      </c>
      <c r="E88" s="16">
        <v>0</v>
      </c>
      <c r="F88" s="7" t="s">
        <v>151</v>
      </c>
      <c r="G88" s="16" t="s">
        <v>180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57" t="s">
        <v>1720</v>
      </c>
      <c r="D89" s="16">
        <v>1</v>
      </c>
      <c r="E89" s="16">
        <v>0</v>
      </c>
      <c r="F89" s="7" t="s">
        <v>151</v>
      </c>
      <c r="G89" s="16" t="s">
        <v>180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/>
      <c r="C90" s="57" t="s">
        <v>1720</v>
      </c>
      <c r="D90" s="16">
        <v>2</v>
      </c>
      <c r="E90" s="16">
        <v>0</v>
      </c>
      <c r="F90" s="7" t="s">
        <v>151</v>
      </c>
      <c r="G90" s="16" t="s">
        <v>185</v>
      </c>
      <c r="H90" s="16" t="b">
        <v>1</v>
      </c>
      <c r="I90" s="16" t="s">
        <v>403</v>
      </c>
      <c r="J90" s="16" t="s">
        <v>380</v>
      </c>
      <c r="K90" s="16" t="s">
        <v>380</v>
      </c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91" spans="2:19" x14ac:dyDescent="0.3">
      <c r="B91" s="16" t="s">
        <v>988</v>
      </c>
      <c r="C91" s="57" t="s">
        <v>1720</v>
      </c>
      <c r="D91" s="16">
        <v>1</v>
      </c>
      <c r="E91" s="16">
        <v>0</v>
      </c>
      <c r="F91" s="7" t="s">
        <v>151</v>
      </c>
      <c r="G91" s="16" t="s">
        <v>185</v>
      </c>
      <c r="H91" s="7"/>
      <c r="I91" s="16" t="s">
        <v>382</v>
      </c>
      <c r="J91" s="16" t="s">
        <v>381</v>
      </c>
      <c r="K91" s="16" t="s">
        <v>380</v>
      </c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92" spans="2:19" x14ac:dyDescent="0.3">
      <c r="B92" s="16"/>
      <c r="C92" s="57" t="s">
        <v>1720</v>
      </c>
      <c r="D92" s="16">
        <v>2</v>
      </c>
      <c r="E92" s="16">
        <v>0</v>
      </c>
      <c r="F92" s="7" t="s">
        <v>151</v>
      </c>
      <c r="G92" s="16" t="s">
        <v>185</v>
      </c>
      <c r="H92" s="16" t="b">
        <v>1</v>
      </c>
      <c r="I92" s="16" t="s">
        <v>396</v>
      </c>
      <c r="J92" s="16" t="s">
        <v>384</v>
      </c>
      <c r="K92" s="16" t="s">
        <v>380</v>
      </c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93" spans="2:19" x14ac:dyDescent="0.3">
      <c r="B93" s="16" t="s">
        <v>989</v>
      </c>
      <c r="C93" s="57" t="s">
        <v>1720</v>
      </c>
      <c r="D93" s="16">
        <v>1</v>
      </c>
      <c r="E93" s="16">
        <v>0</v>
      </c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/>
      <c r="C94" s="57" t="s">
        <v>1720</v>
      </c>
      <c r="D94" s="16">
        <v>2</v>
      </c>
      <c r="E94" s="16">
        <v>0</v>
      </c>
      <c r="F94" s="7" t="s">
        <v>151</v>
      </c>
      <c r="G94" s="16" t="s">
        <v>180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5" spans="2:19" x14ac:dyDescent="0.3">
      <c r="B95" s="16" t="s">
        <v>990</v>
      </c>
      <c r="C95" s="57" t="s">
        <v>1720</v>
      </c>
      <c r="D95" s="16">
        <v>1</v>
      </c>
      <c r="E95" s="16">
        <v>0</v>
      </c>
      <c r="F95" s="7" t="s">
        <v>151</v>
      </c>
      <c r="G95" s="16" t="s">
        <v>180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96" spans="2:19" x14ac:dyDescent="0.3">
      <c r="B96" s="16"/>
      <c r="C96" s="57" t="s">
        <v>1720</v>
      </c>
      <c r="D96" s="16">
        <v>2</v>
      </c>
      <c r="E96" s="16">
        <v>0</v>
      </c>
      <c r="F96" s="7" t="s">
        <v>151</v>
      </c>
      <c r="G96" s="16" t="s">
        <v>180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57" t="s">
        <v>1720</v>
      </c>
      <c r="D97" s="16">
        <v>1</v>
      </c>
      <c r="E97" s="16">
        <v>0</v>
      </c>
      <c r="F97" s="7" t="s">
        <v>151</v>
      </c>
      <c r="G97" s="16" t="s">
        <v>180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/>
      <c r="C98" s="57" t="s">
        <v>1720</v>
      </c>
      <c r="D98" s="16">
        <v>2</v>
      </c>
      <c r="E98" s="16">
        <v>0</v>
      </c>
      <c r="F98" s="7" t="s">
        <v>151</v>
      </c>
      <c r="G98" s="16" t="s">
        <v>185</v>
      </c>
      <c r="H98" s="16" t="b">
        <v>1</v>
      </c>
      <c r="I98" s="16" t="s">
        <v>402</v>
      </c>
      <c r="J98" s="16" t="s">
        <v>381</v>
      </c>
      <c r="K98" s="16" t="s">
        <v>380</v>
      </c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99" spans="2:19" x14ac:dyDescent="0.3">
      <c r="B99" s="16" t="s">
        <v>992</v>
      </c>
      <c r="C99" s="57" t="s">
        <v>1720</v>
      </c>
      <c r="D99" s="16">
        <v>1</v>
      </c>
      <c r="E99" s="16">
        <v>0</v>
      </c>
      <c r="F99" s="7" t="s">
        <v>151</v>
      </c>
      <c r="G99" s="16" t="s">
        <v>185</v>
      </c>
      <c r="H99" s="7"/>
      <c r="I99" s="16" t="s">
        <v>381</v>
      </c>
      <c r="J99" s="16" t="s">
        <v>385</v>
      </c>
      <c r="K99" s="57" t="s">
        <v>1722</v>
      </c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00" spans="2:19" x14ac:dyDescent="0.3">
      <c r="B100" s="16"/>
      <c r="C100" s="57" t="s">
        <v>1720</v>
      </c>
      <c r="D100" s="16">
        <v>2</v>
      </c>
      <c r="E100" s="16">
        <v>0</v>
      </c>
      <c r="F100" s="7" t="s">
        <v>151</v>
      </c>
      <c r="G100" s="16" t="s">
        <v>185</v>
      </c>
      <c r="H100" s="16" t="b">
        <v>1</v>
      </c>
      <c r="I100" s="16" t="s">
        <v>417</v>
      </c>
      <c r="J100" s="16" t="s">
        <v>385</v>
      </c>
      <c r="K100" s="16" t="s">
        <v>380</v>
      </c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01" spans="2:19" x14ac:dyDescent="0.3">
      <c r="B101" s="16" t="s">
        <v>993</v>
      </c>
      <c r="C101" s="57" t="s">
        <v>1720</v>
      </c>
      <c r="D101" s="16">
        <v>1</v>
      </c>
      <c r="E101" s="16">
        <v>0</v>
      </c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/>
      <c r="C102" s="57" t="s">
        <v>1720</v>
      </c>
      <c r="D102" s="16">
        <v>2</v>
      </c>
      <c r="E102" s="16">
        <v>0</v>
      </c>
      <c r="F102" s="7" t="s">
        <v>151</v>
      </c>
      <c r="G102" s="16" t="s">
        <v>180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03" spans="2:19" x14ac:dyDescent="0.3">
      <c r="B103" s="16" t="s">
        <v>994</v>
      </c>
      <c r="C103" s="57" t="s">
        <v>1720</v>
      </c>
      <c r="D103" s="16">
        <v>1</v>
      </c>
      <c r="E103" s="16">
        <v>0</v>
      </c>
      <c r="F103" s="7" t="s">
        <v>151</v>
      </c>
      <c r="G103" s="16" t="s">
        <v>180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04" spans="2:19" x14ac:dyDescent="0.3">
      <c r="B104" s="16"/>
      <c r="C104" s="57" t="s">
        <v>1720</v>
      </c>
      <c r="D104" s="16">
        <v>2</v>
      </c>
      <c r="E104" s="16">
        <v>0</v>
      </c>
      <c r="F104" s="7" t="s">
        <v>151</v>
      </c>
      <c r="G104" s="16" t="s">
        <v>180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57" t="s">
        <v>1720</v>
      </c>
      <c r="D105" s="16">
        <v>1</v>
      </c>
      <c r="E105" s="16">
        <v>0</v>
      </c>
      <c r="F105" s="7" t="s">
        <v>151</v>
      </c>
      <c r="G105" s="16" t="s">
        <v>180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/>
      <c r="C106" s="57" t="s">
        <v>1720</v>
      </c>
      <c r="D106" s="16">
        <v>2</v>
      </c>
      <c r="E106" s="16">
        <v>0</v>
      </c>
      <c r="F106" s="7" t="s">
        <v>151</v>
      </c>
      <c r="G106" s="16" t="s">
        <v>185</v>
      </c>
      <c r="H106" s="16" t="b">
        <v>1</v>
      </c>
      <c r="I106" s="16" t="s">
        <v>431</v>
      </c>
      <c r="J106" s="16" t="s">
        <v>385</v>
      </c>
      <c r="K106" s="16" t="s">
        <v>380</v>
      </c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107" spans="2:19" x14ac:dyDescent="0.3">
      <c r="B107" s="16" t="s">
        <v>996</v>
      </c>
      <c r="C107" s="57" t="s">
        <v>1720</v>
      </c>
      <c r="D107" s="16">
        <v>1</v>
      </c>
      <c r="E107" s="16">
        <v>0</v>
      </c>
      <c r="F107" s="7" t="s">
        <v>151</v>
      </c>
      <c r="G107" s="16" t="s">
        <v>185</v>
      </c>
      <c r="H107" s="7"/>
      <c r="I107" s="16" t="s">
        <v>382</v>
      </c>
      <c r="J107" s="16" t="s">
        <v>385</v>
      </c>
      <c r="K107" s="16" t="s">
        <v>380</v>
      </c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108" spans="2:19" x14ac:dyDescent="0.3">
      <c r="B108" s="16"/>
      <c r="C108" s="57" t="s">
        <v>1720</v>
      </c>
      <c r="D108" s="16">
        <v>2</v>
      </c>
      <c r="E108" s="16">
        <v>0</v>
      </c>
      <c r="F108" s="7" t="s">
        <v>151</v>
      </c>
      <c r="G108" s="16" t="s">
        <v>185</v>
      </c>
      <c r="H108" s="16" t="b">
        <v>1</v>
      </c>
      <c r="I108" s="16" t="s">
        <v>429</v>
      </c>
      <c r="J108" s="16" t="s">
        <v>384</v>
      </c>
      <c r="K108" s="16" t="s">
        <v>380</v>
      </c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09" spans="2:19" x14ac:dyDescent="0.3">
      <c r="B109" s="16" t="s">
        <v>997</v>
      </c>
      <c r="C109" s="57" t="s">
        <v>1720</v>
      </c>
      <c r="D109" s="16">
        <v>1</v>
      </c>
      <c r="E109" s="16">
        <v>0</v>
      </c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/>
      <c r="C110" s="57" t="s">
        <v>1720</v>
      </c>
      <c r="D110" s="16">
        <v>2</v>
      </c>
      <c r="E110" s="16">
        <v>0</v>
      </c>
      <c r="F110" s="7" t="s">
        <v>151</v>
      </c>
      <c r="G110" s="16" t="s">
        <v>180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1" spans="2:19" x14ac:dyDescent="0.3">
      <c r="B111" s="16" t="s">
        <v>998</v>
      </c>
      <c r="C111" s="57" t="s">
        <v>1720</v>
      </c>
      <c r="D111" s="16">
        <v>1</v>
      </c>
      <c r="E111" s="16">
        <v>0</v>
      </c>
      <c r="F111" s="7" t="s">
        <v>151</v>
      </c>
      <c r="G111" s="16" t="s">
        <v>180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12" spans="2:19" x14ac:dyDescent="0.3">
      <c r="B112" s="16"/>
      <c r="C112" s="57" t="s">
        <v>1720</v>
      </c>
      <c r="D112" s="16">
        <v>2</v>
      </c>
      <c r="E112" s="16">
        <v>0</v>
      </c>
      <c r="F112" s="7" t="s">
        <v>151</v>
      </c>
      <c r="G112" s="16" t="s">
        <v>180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57" t="s">
        <v>1720</v>
      </c>
      <c r="D113" s="16">
        <v>1</v>
      </c>
      <c r="E113" s="16">
        <v>0</v>
      </c>
      <c r="F113" s="7" t="s">
        <v>151</v>
      </c>
      <c r="G113" s="16" t="s">
        <v>180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/>
      <c r="C114" s="57" t="s">
        <v>1720</v>
      </c>
      <c r="D114" s="16">
        <v>2</v>
      </c>
      <c r="E114" s="16">
        <v>0</v>
      </c>
      <c r="F114" s="7" t="s">
        <v>151</v>
      </c>
      <c r="G114" s="16" t="s">
        <v>185</v>
      </c>
      <c r="H114" s="16" t="b">
        <v>1</v>
      </c>
      <c r="I114" s="16" t="s">
        <v>418</v>
      </c>
      <c r="J114" s="16" t="s">
        <v>380</v>
      </c>
      <c r="K114" s="16" t="s">
        <v>380</v>
      </c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15" spans="2:19" x14ac:dyDescent="0.3">
      <c r="B115" s="16" t="s">
        <v>1000</v>
      </c>
      <c r="C115" s="57" t="s">
        <v>1720</v>
      </c>
      <c r="D115" s="16">
        <v>1</v>
      </c>
      <c r="E115" s="16">
        <v>0</v>
      </c>
      <c r="F115" s="7" t="s">
        <v>151</v>
      </c>
      <c r="G115" s="16" t="s">
        <v>185</v>
      </c>
      <c r="H115" s="7"/>
      <c r="I115" s="16" t="s">
        <v>382</v>
      </c>
      <c r="J115" s="16" t="s">
        <v>380</v>
      </c>
      <c r="K115" s="16" t="s">
        <v>381</v>
      </c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16" spans="2:19" x14ac:dyDescent="0.3">
      <c r="B116" s="16"/>
      <c r="C116" s="57" t="s">
        <v>1720</v>
      </c>
      <c r="D116" s="16">
        <v>2</v>
      </c>
      <c r="E116" s="16">
        <v>0</v>
      </c>
      <c r="F116" s="7" t="s">
        <v>151</v>
      </c>
      <c r="G116" s="16" t="s">
        <v>185</v>
      </c>
      <c r="H116" s="16" t="b">
        <v>1</v>
      </c>
      <c r="I116" s="16" t="s">
        <v>428</v>
      </c>
      <c r="J116" s="16" t="s">
        <v>381</v>
      </c>
      <c r="K116" s="16" t="s">
        <v>380</v>
      </c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17" spans="2:19" x14ac:dyDescent="0.3">
      <c r="B117" s="16" t="s">
        <v>1001</v>
      </c>
      <c r="C117" s="57" t="s">
        <v>1720</v>
      </c>
      <c r="D117" s="16">
        <v>1</v>
      </c>
      <c r="E117" s="16">
        <v>0</v>
      </c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/>
      <c r="C118" s="57" t="s">
        <v>1720</v>
      </c>
      <c r="D118" s="16">
        <v>2</v>
      </c>
      <c r="E118" s="16">
        <v>0</v>
      </c>
      <c r="F118" s="7" t="s">
        <v>151</v>
      </c>
      <c r="G118" s="16" t="s">
        <v>180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19" spans="2:19" x14ac:dyDescent="0.3">
      <c r="B119" s="16" t="s">
        <v>1002</v>
      </c>
      <c r="C119" s="57" t="s">
        <v>1720</v>
      </c>
      <c r="D119" s="16">
        <v>1</v>
      </c>
      <c r="E119" s="16">
        <v>0</v>
      </c>
      <c r="F119" s="7" t="s">
        <v>151</v>
      </c>
      <c r="G119" s="16" t="s">
        <v>180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20" spans="2:19" x14ac:dyDescent="0.3">
      <c r="B120" s="16"/>
      <c r="C120" s="57" t="s">
        <v>1720</v>
      </c>
      <c r="D120" s="16">
        <v>2</v>
      </c>
      <c r="E120" s="16">
        <v>0</v>
      </c>
      <c r="F120" s="7" t="s">
        <v>151</v>
      </c>
      <c r="G120" s="16" t="s">
        <v>180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57" t="s">
        <v>1720</v>
      </c>
      <c r="D121" s="16">
        <v>1</v>
      </c>
      <c r="E121" s="16">
        <v>0</v>
      </c>
      <c r="F121" s="7" t="s">
        <v>151</v>
      </c>
      <c r="G121" s="16" t="s">
        <v>180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/>
      <c r="C122" s="57" t="s">
        <v>1720</v>
      </c>
      <c r="D122" s="16">
        <v>2</v>
      </c>
      <c r="E122" s="16">
        <v>0</v>
      </c>
      <c r="F122" s="7" t="s">
        <v>151</v>
      </c>
      <c r="G122" s="16" t="s">
        <v>185</v>
      </c>
      <c r="H122" s="16" t="b">
        <v>1</v>
      </c>
      <c r="I122" s="16" t="s">
        <v>408</v>
      </c>
      <c r="J122" s="16" t="s">
        <v>382</v>
      </c>
      <c r="K122" s="16" t="s">
        <v>381</v>
      </c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23" spans="2:19" x14ac:dyDescent="0.3">
      <c r="B123" s="16" t="s">
        <v>1004</v>
      </c>
      <c r="C123" s="57" t="s">
        <v>1720</v>
      </c>
      <c r="D123" s="16">
        <v>1</v>
      </c>
      <c r="E123" s="16">
        <v>0</v>
      </c>
      <c r="F123" s="7" t="s">
        <v>151</v>
      </c>
      <c r="G123" s="16" t="s">
        <v>185</v>
      </c>
      <c r="H123" s="7"/>
      <c r="I123" s="16" t="s">
        <v>382</v>
      </c>
      <c r="J123" s="16" t="s">
        <v>380</v>
      </c>
      <c r="K123" s="16" t="s">
        <v>381</v>
      </c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24" spans="2:19" x14ac:dyDescent="0.3">
      <c r="B124" s="16"/>
      <c r="C124" s="57" t="s">
        <v>1720</v>
      </c>
      <c r="D124" s="16">
        <v>2</v>
      </c>
      <c r="E124" s="16">
        <v>0</v>
      </c>
      <c r="F124" s="7" t="s">
        <v>151</v>
      </c>
      <c r="G124" s="16" t="s">
        <v>185</v>
      </c>
      <c r="H124" s="16" t="b">
        <v>1</v>
      </c>
      <c r="I124" s="16" t="s">
        <v>410</v>
      </c>
      <c r="J124" s="16" t="s">
        <v>385</v>
      </c>
      <c r="K124" s="16" t="s">
        <v>380</v>
      </c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125" spans="2:19" x14ac:dyDescent="0.3">
      <c r="B125" s="16" t="s">
        <v>1005</v>
      </c>
      <c r="C125" s="57" t="s">
        <v>1720</v>
      </c>
      <c r="D125" s="16">
        <v>1</v>
      </c>
      <c r="E125" s="16">
        <v>0</v>
      </c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/>
      <c r="C126" s="57" t="s">
        <v>1720</v>
      </c>
      <c r="D126" s="16">
        <v>2</v>
      </c>
      <c r="E126" s="16">
        <v>0</v>
      </c>
      <c r="F126" s="7" t="s">
        <v>151</v>
      </c>
      <c r="G126" s="16" t="s">
        <v>180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27" spans="2:19" x14ac:dyDescent="0.3">
      <c r="B127" s="16" t="s">
        <v>1006</v>
      </c>
      <c r="C127" s="57" t="s">
        <v>1720</v>
      </c>
      <c r="D127" s="16">
        <v>1</v>
      </c>
      <c r="E127" s="16">
        <v>0</v>
      </c>
      <c r="F127" s="7" t="s">
        <v>151</v>
      </c>
      <c r="G127" s="16" t="s">
        <v>180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28" spans="2:19" x14ac:dyDescent="0.3">
      <c r="B128" s="16"/>
      <c r="C128" s="57" t="s">
        <v>1720</v>
      </c>
      <c r="D128" s="16">
        <v>2</v>
      </c>
      <c r="E128" s="16">
        <v>0</v>
      </c>
      <c r="F128" s="7" t="s">
        <v>151</v>
      </c>
      <c r="G128" s="16" t="s">
        <v>180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57" t="s">
        <v>1720</v>
      </c>
      <c r="D129" s="16">
        <v>1</v>
      </c>
      <c r="E129" s="16">
        <v>0</v>
      </c>
      <c r="F129" s="7" t="s">
        <v>151</v>
      </c>
      <c r="G129" s="16" t="s">
        <v>180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/>
      <c r="C130" s="57" t="s">
        <v>1720</v>
      </c>
      <c r="D130" s="16">
        <v>2</v>
      </c>
      <c r="E130" s="16">
        <v>0</v>
      </c>
      <c r="F130" s="7" t="s">
        <v>151</v>
      </c>
      <c r="G130" s="16" t="s">
        <v>185</v>
      </c>
      <c r="H130" s="16" t="b">
        <v>1</v>
      </c>
      <c r="I130" s="16" t="s">
        <v>422</v>
      </c>
      <c r="J130" s="16" t="s">
        <v>380</v>
      </c>
      <c r="K130" s="16" t="s">
        <v>381</v>
      </c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31" spans="2:19" x14ac:dyDescent="0.3">
      <c r="B131" s="16" t="s">
        <v>1008</v>
      </c>
      <c r="C131" s="57" t="s">
        <v>1720</v>
      </c>
      <c r="D131" s="16">
        <v>1</v>
      </c>
      <c r="E131" s="16">
        <v>0</v>
      </c>
      <c r="F131" s="7" t="s">
        <v>151</v>
      </c>
      <c r="G131" s="16" t="s">
        <v>185</v>
      </c>
      <c r="H131" s="7"/>
      <c r="I131" s="16" t="s">
        <v>384</v>
      </c>
      <c r="J131" s="16" t="s">
        <v>380</v>
      </c>
      <c r="K131" s="16" t="s">
        <v>380</v>
      </c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三国-变态-盾英+盾英+法英</v>
      </c>
    </row>
    <row r="132" spans="2:19" x14ac:dyDescent="0.3">
      <c r="B132" s="16"/>
      <c r="C132" s="57" t="s">
        <v>1720</v>
      </c>
      <c r="D132" s="16">
        <v>2</v>
      </c>
      <c r="E132" s="16">
        <v>0</v>
      </c>
      <c r="F132" s="7" t="s">
        <v>151</v>
      </c>
      <c r="G132" s="16" t="s">
        <v>185</v>
      </c>
      <c r="H132" s="16" t="b">
        <v>1</v>
      </c>
      <c r="I132" s="16" t="s">
        <v>408</v>
      </c>
      <c r="J132" s="16" t="s">
        <v>382</v>
      </c>
      <c r="K132" s="16" t="s">
        <v>381</v>
      </c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3" spans="2:19" x14ac:dyDescent="0.3">
      <c r="B133" s="16" t="s">
        <v>1009</v>
      </c>
      <c r="C133" s="57" t="s">
        <v>1720</v>
      </c>
      <c r="D133" s="16">
        <v>1</v>
      </c>
      <c r="E133" s="16">
        <v>0</v>
      </c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 t="s">
        <v>381</v>
      </c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三国-困难-铁英+铁英+强英</v>
      </c>
    </row>
    <row r="134" spans="2:19" x14ac:dyDescent="0.3">
      <c r="B134" s="16"/>
      <c r="C134" s="57" t="s">
        <v>1720</v>
      </c>
      <c r="D134" s="16">
        <v>2</v>
      </c>
      <c r="E134" s="16">
        <v>0</v>
      </c>
      <c r="F134" s="7" t="s">
        <v>151</v>
      </c>
      <c r="G134" s="16" t="s">
        <v>180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135" spans="2:19" x14ac:dyDescent="0.3">
      <c r="B135" s="16" t="s">
        <v>1010</v>
      </c>
      <c r="C135" s="57" t="s">
        <v>1720</v>
      </c>
      <c r="D135" s="16">
        <v>1</v>
      </c>
      <c r="E135" s="16">
        <v>0</v>
      </c>
      <c r="F135" s="7" t="s">
        <v>151</v>
      </c>
      <c r="G135" s="16" t="s">
        <v>180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36" spans="2:19" x14ac:dyDescent="0.3">
      <c r="B136" s="16"/>
      <c r="C136" s="57" t="s">
        <v>1720</v>
      </c>
      <c r="D136" s="16">
        <v>2</v>
      </c>
      <c r="E136" s="16">
        <v>0</v>
      </c>
      <c r="F136" s="7" t="s">
        <v>151</v>
      </c>
      <c r="G136" s="16" t="s">
        <v>180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57" t="s">
        <v>1720</v>
      </c>
      <c r="D137" s="16">
        <v>1</v>
      </c>
      <c r="E137" s="16">
        <v>0</v>
      </c>
      <c r="F137" s="7" t="s">
        <v>151</v>
      </c>
      <c r="G137" s="16" t="s">
        <v>180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/>
      <c r="C138" s="57" t="s">
        <v>1720</v>
      </c>
      <c r="D138" s="16">
        <v>2</v>
      </c>
      <c r="E138" s="16">
        <v>0</v>
      </c>
      <c r="F138" s="7" t="s">
        <v>151</v>
      </c>
      <c r="G138" s="16" t="s">
        <v>185</v>
      </c>
      <c r="H138" s="16" t="b">
        <v>1</v>
      </c>
      <c r="I138" s="16" t="s">
        <v>417</v>
      </c>
      <c r="J138" s="16" t="s">
        <v>381</v>
      </c>
      <c r="K138" s="16" t="s">
        <v>380</v>
      </c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39" spans="2:19" x14ac:dyDescent="0.3">
      <c r="B139" s="16" t="s">
        <v>1012</v>
      </c>
      <c r="C139" s="57" t="s">
        <v>1720</v>
      </c>
      <c r="D139" s="16">
        <v>1</v>
      </c>
      <c r="E139" s="16">
        <v>0</v>
      </c>
      <c r="F139" s="7" t="s">
        <v>151</v>
      </c>
      <c r="G139" s="16" t="s">
        <v>185</v>
      </c>
      <c r="H139" s="7"/>
      <c r="I139" s="16" t="s">
        <v>380</v>
      </c>
      <c r="J139" s="16" t="s">
        <v>382</v>
      </c>
      <c r="K139" s="16" t="s">
        <v>381</v>
      </c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40" spans="2:19" x14ac:dyDescent="0.3">
      <c r="B140" s="16"/>
      <c r="C140" s="57" t="s">
        <v>1720</v>
      </c>
      <c r="D140" s="16">
        <v>2</v>
      </c>
      <c r="E140" s="16">
        <v>0</v>
      </c>
      <c r="F140" s="7" t="s">
        <v>151</v>
      </c>
      <c r="G140" s="16" t="s">
        <v>185</v>
      </c>
      <c r="H140" s="16" t="b">
        <v>1</v>
      </c>
      <c r="I140" s="16" t="s">
        <v>393</v>
      </c>
      <c r="J140" s="16" t="s">
        <v>382</v>
      </c>
      <c r="K140" s="16" t="s">
        <v>380</v>
      </c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141" spans="2:19" x14ac:dyDescent="0.3">
      <c r="B141" s="16" t="s">
        <v>1013</v>
      </c>
      <c r="C141" s="57" t="s">
        <v>1720</v>
      </c>
      <c r="D141" s="16">
        <v>1</v>
      </c>
      <c r="E141" s="16">
        <v>0</v>
      </c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/>
      <c r="C142" s="57" t="s">
        <v>1720</v>
      </c>
      <c r="D142" s="16">
        <v>2</v>
      </c>
      <c r="E142" s="16">
        <v>0</v>
      </c>
      <c r="F142" s="7" t="s">
        <v>151</v>
      </c>
      <c r="G142" s="16" t="s">
        <v>180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43" spans="2:19" x14ac:dyDescent="0.3">
      <c r="B143" s="16" t="s">
        <v>1014</v>
      </c>
      <c r="C143" s="57" t="s">
        <v>1720</v>
      </c>
      <c r="D143" s="16">
        <v>1</v>
      </c>
      <c r="E143" s="16">
        <v>0</v>
      </c>
      <c r="F143" s="7" t="s">
        <v>151</v>
      </c>
      <c r="G143" s="16" t="s">
        <v>180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44" spans="2:19" x14ac:dyDescent="0.3">
      <c r="B144" s="16"/>
      <c r="C144" s="57" t="s">
        <v>1720</v>
      </c>
      <c r="D144" s="16">
        <v>2</v>
      </c>
      <c r="E144" s="16">
        <v>0</v>
      </c>
      <c r="F144" s="7" t="s">
        <v>151</v>
      </c>
      <c r="G144" s="16" t="s">
        <v>180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57" t="s">
        <v>1720</v>
      </c>
      <c r="D145" s="16">
        <v>1</v>
      </c>
      <c r="E145" s="16">
        <v>0</v>
      </c>
      <c r="F145" s="7" t="s">
        <v>151</v>
      </c>
      <c r="G145" s="16" t="s">
        <v>180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/>
      <c r="C146" s="57" t="s">
        <v>1720</v>
      </c>
      <c r="D146" s="16">
        <v>2</v>
      </c>
      <c r="E146" s="16">
        <v>0</v>
      </c>
      <c r="F146" s="7" t="s">
        <v>151</v>
      </c>
      <c r="G146" s="16" t="s">
        <v>185</v>
      </c>
      <c r="H146" s="16" t="b">
        <v>1</v>
      </c>
      <c r="I146" s="16" t="s">
        <v>403</v>
      </c>
      <c r="J146" s="16" t="s">
        <v>381</v>
      </c>
      <c r="K146" s="16" t="s">
        <v>380</v>
      </c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47" spans="2:19" x14ac:dyDescent="0.3">
      <c r="B147" s="16" t="s">
        <v>1016</v>
      </c>
      <c r="C147" s="57" t="s">
        <v>1720</v>
      </c>
      <c r="D147" s="16">
        <v>1</v>
      </c>
      <c r="E147" s="16">
        <v>0</v>
      </c>
      <c r="F147" s="7" t="s">
        <v>151</v>
      </c>
      <c r="G147" s="16" t="s">
        <v>185</v>
      </c>
      <c r="H147" s="7"/>
      <c r="I147" s="16" t="s">
        <v>385</v>
      </c>
      <c r="J147" s="16" t="s">
        <v>385</v>
      </c>
      <c r="K147" s="16" t="s">
        <v>380</v>
      </c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148" spans="2:19" x14ac:dyDescent="0.3">
      <c r="B148" s="16"/>
      <c r="C148" s="57" t="s">
        <v>1720</v>
      </c>
      <c r="D148" s="16">
        <v>2</v>
      </c>
      <c r="E148" s="16">
        <v>0</v>
      </c>
      <c r="F148" s="7" t="s">
        <v>151</v>
      </c>
      <c r="G148" s="16" t="s">
        <v>185</v>
      </c>
      <c r="H148" s="16" t="b">
        <v>1</v>
      </c>
      <c r="I148" s="16" t="s">
        <v>401</v>
      </c>
      <c r="J148" s="16" t="s">
        <v>384</v>
      </c>
      <c r="K148" s="16" t="s">
        <v>380</v>
      </c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49" spans="2:19" x14ac:dyDescent="0.3">
      <c r="B149" s="16" t="s">
        <v>1017</v>
      </c>
      <c r="C149" s="57" t="s">
        <v>1720</v>
      </c>
      <c r="D149" s="16">
        <v>1</v>
      </c>
      <c r="E149" s="16">
        <v>0</v>
      </c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/>
      <c r="C150" s="57" t="s">
        <v>1720</v>
      </c>
      <c r="D150" s="16">
        <v>2</v>
      </c>
      <c r="E150" s="16">
        <v>0</v>
      </c>
      <c r="F150" s="7" t="s">
        <v>151</v>
      </c>
      <c r="G150" s="16" t="s">
        <v>180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51" spans="2:19" x14ac:dyDescent="0.3">
      <c r="B151" s="16" t="s">
        <v>1018</v>
      </c>
      <c r="C151" s="57" t="s">
        <v>1720</v>
      </c>
      <c r="D151" s="16">
        <v>1</v>
      </c>
      <c r="E151" s="16">
        <v>0</v>
      </c>
      <c r="F151" s="7" t="s">
        <v>151</v>
      </c>
      <c r="G151" s="16" t="s">
        <v>180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52" spans="2:19" x14ac:dyDescent="0.3">
      <c r="B152" s="16"/>
      <c r="C152" s="57" t="s">
        <v>1720</v>
      </c>
      <c r="D152" s="16">
        <v>2</v>
      </c>
      <c r="E152" s="16">
        <v>0</v>
      </c>
      <c r="F152" s="7" t="s">
        <v>151</v>
      </c>
      <c r="G152" s="16" t="s">
        <v>180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57" t="s">
        <v>1720</v>
      </c>
      <c r="D153" s="16">
        <v>1</v>
      </c>
      <c r="E153" s="16">
        <v>0</v>
      </c>
      <c r="F153" s="7" t="s">
        <v>151</v>
      </c>
      <c r="G153" s="16" t="s">
        <v>180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/>
      <c r="C154" s="57" t="s">
        <v>1720</v>
      </c>
      <c r="D154" s="16">
        <v>2</v>
      </c>
      <c r="E154" s="16">
        <v>0</v>
      </c>
      <c r="F154" s="7" t="s">
        <v>151</v>
      </c>
      <c r="G154" s="16" t="s">
        <v>185</v>
      </c>
      <c r="H154" s="16" t="b">
        <v>1</v>
      </c>
      <c r="I154" s="16" t="s">
        <v>413</v>
      </c>
      <c r="J154" s="16" t="s">
        <v>384</v>
      </c>
      <c r="K154" s="16" t="s">
        <v>380</v>
      </c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155" spans="2:19" x14ac:dyDescent="0.3">
      <c r="B155" s="16" t="s">
        <v>1020</v>
      </c>
      <c r="C155" s="57" t="s">
        <v>1720</v>
      </c>
      <c r="D155" s="16">
        <v>1</v>
      </c>
      <c r="E155" s="16">
        <v>0</v>
      </c>
      <c r="F155" s="7" t="s">
        <v>151</v>
      </c>
      <c r="G155" s="16" t="s">
        <v>185</v>
      </c>
      <c r="H155" s="7"/>
      <c r="I155" s="16" t="s">
        <v>381</v>
      </c>
      <c r="J155" s="16" t="s">
        <v>384</v>
      </c>
      <c r="K155" s="16" t="s">
        <v>380</v>
      </c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156" spans="2:19" x14ac:dyDescent="0.3">
      <c r="B156" s="16"/>
      <c r="C156" s="57" t="s">
        <v>1720</v>
      </c>
      <c r="D156" s="16">
        <v>2</v>
      </c>
      <c r="E156" s="16">
        <v>0</v>
      </c>
      <c r="F156" s="7" t="s">
        <v>151</v>
      </c>
      <c r="G156" s="16" t="s">
        <v>185</v>
      </c>
      <c r="H156" s="16" t="b">
        <v>1</v>
      </c>
      <c r="I156" s="16" t="s">
        <v>422</v>
      </c>
      <c r="J156" s="16" t="s">
        <v>382</v>
      </c>
      <c r="K156" s="16" t="s">
        <v>381</v>
      </c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157" spans="2:19" x14ac:dyDescent="0.3">
      <c r="B157" s="16" t="s">
        <v>1222</v>
      </c>
      <c r="C157" s="57" t="s">
        <v>1720</v>
      </c>
      <c r="D157" s="16">
        <v>1</v>
      </c>
      <c r="E157" s="16">
        <v>0</v>
      </c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/>
      <c r="C158" s="57" t="s">
        <v>1720</v>
      </c>
      <c r="D158" s="16">
        <v>2</v>
      </c>
      <c r="E158" s="16">
        <v>0</v>
      </c>
      <c r="F158" s="7" t="s">
        <v>151</v>
      </c>
      <c r="G158" s="16" t="s">
        <v>180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9" spans="2:19" x14ac:dyDescent="0.3">
      <c r="B159" s="16" t="s">
        <v>1223</v>
      </c>
      <c r="C159" s="57" t="s">
        <v>1720</v>
      </c>
      <c r="D159" s="16">
        <v>1</v>
      </c>
      <c r="E159" s="16">
        <v>0</v>
      </c>
      <c r="F159" s="7" t="s">
        <v>151</v>
      </c>
      <c r="G159" s="16" t="s">
        <v>180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60" spans="2:19" x14ac:dyDescent="0.3">
      <c r="B160" s="16"/>
      <c r="C160" s="57" t="s">
        <v>1720</v>
      </c>
      <c r="D160" s="16">
        <v>2</v>
      </c>
      <c r="E160" s="16">
        <v>0</v>
      </c>
      <c r="F160" s="7" t="s">
        <v>151</v>
      </c>
      <c r="G160" s="16" t="s">
        <v>180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1224</v>
      </c>
      <c r="C161" s="57" t="s">
        <v>1720</v>
      </c>
      <c r="D161" s="16">
        <v>1</v>
      </c>
      <c r="E161" s="16">
        <v>0</v>
      </c>
      <c r="F161" s="7" t="s">
        <v>151</v>
      </c>
      <c r="G161" s="16" t="s">
        <v>180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/>
      <c r="C162" s="57" t="s">
        <v>1720</v>
      </c>
      <c r="D162" s="16">
        <v>2</v>
      </c>
      <c r="E162" s="16">
        <v>0</v>
      </c>
      <c r="F162" s="7" t="s">
        <v>151</v>
      </c>
      <c r="G162" s="16" t="s">
        <v>185</v>
      </c>
      <c r="H162" s="16" t="b">
        <v>1</v>
      </c>
      <c r="I162" s="16" t="s">
        <v>433</v>
      </c>
      <c r="J162" s="16" t="s">
        <v>383</v>
      </c>
      <c r="K162" s="16" t="s">
        <v>380</v>
      </c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163" spans="2:19" x14ac:dyDescent="0.3">
      <c r="B163" s="16" t="s">
        <v>1225</v>
      </c>
      <c r="C163" s="57" t="s">
        <v>1720</v>
      </c>
      <c r="D163" s="16">
        <v>1</v>
      </c>
      <c r="E163" s="16">
        <v>0</v>
      </c>
      <c r="F163" s="7" t="s">
        <v>151</v>
      </c>
      <c r="G163" s="16" t="s">
        <v>185</v>
      </c>
      <c r="H163" s="7"/>
      <c r="I163" s="16" t="s">
        <v>383</v>
      </c>
      <c r="J163" s="16" t="s">
        <v>384</v>
      </c>
      <c r="K163" s="16" t="s">
        <v>380</v>
      </c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164" spans="2:19" x14ac:dyDescent="0.3">
      <c r="B164" s="16"/>
      <c r="C164" s="57" t="s">
        <v>1720</v>
      </c>
      <c r="D164" s="16">
        <v>2</v>
      </c>
      <c r="E164" s="16">
        <v>0</v>
      </c>
      <c r="F164" s="7" t="s">
        <v>151</v>
      </c>
      <c r="G164" s="16" t="s">
        <v>185</v>
      </c>
      <c r="H164" s="16" t="b">
        <v>1</v>
      </c>
      <c r="I164" s="16" t="s">
        <v>390</v>
      </c>
      <c r="J164" s="16" t="s">
        <v>385</v>
      </c>
      <c r="K164" s="16" t="s">
        <v>380</v>
      </c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65" spans="2:19" x14ac:dyDescent="0.3">
      <c r="B165" s="16" t="s">
        <v>1021</v>
      </c>
      <c r="C165" s="57" t="s">
        <v>1720</v>
      </c>
      <c r="D165" s="16">
        <v>1</v>
      </c>
      <c r="E165" s="16">
        <v>0</v>
      </c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/>
      <c r="C166" s="57" t="s">
        <v>1720</v>
      </c>
      <c r="D166" s="16">
        <v>2</v>
      </c>
      <c r="E166" s="16">
        <v>0</v>
      </c>
      <c r="F166" s="7" t="s">
        <v>151</v>
      </c>
      <c r="G166" s="16" t="s">
        <v>180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67" spans="2:19" x14ac:dyDescent="0.3">
      <c r="B167" s="16" t="s">
        <v>1022</v>
      </c>
      <c r="C167" s="57" t="s">
        <v>1720</v>
      </c>
      <c r="D167" s="16">
        <v>1</v>
      </c>
      <c r="E167" s="16">
        <v>0</v>
      </c>
      <c r="F167" s="7" t="s">
        <v>151</v>
      </c>
      <c r="G167" s="16" t="s">
        <v>180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68" spans="2:19" x14ac:dyDescent="0.3">
      <c r="B168" s="16"/>
      <c r="C168" s="57" t="s">
        <v>1720</v>
      </c>
      <c r="D168" s="16">
        <v>2</v>
      </c>
      <c r="E168" s="16">
        <v>0</v>
      </c>
      <c r="F168" s="7" t="s">
        <v>151</v>
      </c>
      <c r="G168" s="16" t="s">
        <v>180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57" t="s">
        <v>1720</v>
      </c>
      <c r="D169" s="16">
        <v>1</v>
      </c>
      <c r="E169" s="16">
        <v>0</v>
      </c>
      <c r="F169" s="7" t="s">
        <v>151</v>
      </c>
      <c r="G169" s="16" t="s">
        <v>180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/>
      <c r="C170" s="57" t="s">
        <v>1720</v>
      </c>
      <c r="D170" s="16">
        <v>2</v>
      </c>
      <c r="E170" s="16">
        <v>0</v>
      </c>
      <c r="F170" s="7" t="s">
        <v>151</v>
      </c>
      <c r="G170" s="16" t="s">
        <v>185</v>
      </c>
      <c r="H170" s="16" t="b">
        <v>1</v>
      </c>
      <c r="I170" s="16" t="s">
        <v>395</v>
      </c>
      <c r="J170" s="16" t="s">
        <v>382</v>
      </c>
      <c r="K170" s="16" t="s">
        <v>380</v>
      </c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171" spans="2:19" x14ac:dyDescent="0.3">
      <c r="B171" s="16" t="s">
        <v>1024</v>
      </c>
      <c r="C171" s="57" t="s">
        <v>1720</v>
      </c>
      <c r="D171" s="16">
        <v>1</v>
      </c>
      <c r="E171" s="16">
        <v>0</v>
      </c>
      <c r="F171" s="7" t="s">
        <v>151</v>
      </c>
      <c r="G171" s="16" t="s">
        <v>185</v>
      </c>
      <c r="H171" s="7"/>
      <c r="I171" s="16" t="s">
        <v>385</v>
      </c>
      <c r="J171" s="16" t="s">
        <v>381</v>
      </c>
      <c r="K171" s="16" t="s">
        <v>380</v>
      </c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三国-变态-盾英+强英+刺英</v>
      </c>
    </row>
    <row r="172" spans="2:19" x14ac:dyDescent="0.3">
      <c r="B172" s="16"/>
      <c r="C172" s="57" t="s">
        <v>1720</v>
      </c>
      <c r="D172" s="16">
        <v>2</v>
      </c>
      <c r="E172" s="16">
        <v>0</v>
      </c>
      <c r="F172" s="7" t="s">
        <v>151</v>
      </c>
      <c r="G172" s="16" t="s">
        <v>185</v>
      </c>
      <c r="H172" s="16" t="b">
        <v>1</v>
      </c>
      <c r="I172" s="16" t="s">
        <v>393</v>
      </c>
      <c r="J172" s="16" t="s">
        <v>381</v>
      </c>
      <c r="K172" s="16" t="s">
        <v>380</v>
      </c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173" spans="2:19" x14ac:dyDescent="0.3">
      <c r="B173" s="16" t="s">
        <v>1025</v>
      </c>
      <c r="C173" s="57" t="s">
        <v>1720</v>
      </c>
      <c r="D173" s="16">
        <v>1</v>
      </c>
      <c r="E173" s="16">
        <v>0</v>
      </c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/>
      <c r="C174" s="57" t="s">
        <v>1720</v>
      </c>
      <c r="D174" s="16">
        <v>2</v>
      </c>
      <c r="E174" s="16">
        <v>0</v>
      </c>
      <c r="F174" s="7" t="s">
        <v>151</v>
      </c>
      <c r="G174" s="16" t="s">
        <v>180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75" spans="2:19" x14ac:dyDescent="0.3">
      <c r="B175" s="16" t="s">
        <v>1026</v>
      </c>
      <c r="C175" s="57" t="s">
        <v>1720</v>
      </c>
      <c r="D175" s="16">
        <v>1</v>
      </c>
      <c r="E175" s="16">
        <v>0</v>
      </c>
      <c r="F175" s="7" t="s">
        <v>151</v>
      </c>
      <c r="G175" s="16" t="s">
        <v>180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76" spans="2:19" x14ac:dyDescent="0.3">
      <c r="B176" s="16"/>
      <c r="C176" s="57" t="s">
        <v>1720</v>
      </c>
      <c r="D176" s="16">
        <v>2</v>
      </c>
      <c r="E176" s="16">
        <v>0</v>
      </c>
      <c r="F176" s="7" t="s">
        <v>151</v>
      </c>
      <c r="G176" s="16" t="s">
        <v>180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57" t="s">
        <v>1720</v>
      </c>
      <c r="D177" s="16">
        <v>1</v>
      </c>
      <c r="E177" s="16">
        <v>0</v>
      </c>
      <c r="F177" s="7" t="s">
        <v>151</v>
      </c>
      <c r="G177" s="16" t="s">
        <v>180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/>
      <c r="C178" s="57" t="s">
        <v>1720</v>
      </c>
      <c r="D178" s="16">
        <v>2</v>
      </c>
      <c r="E178" s="16">
        <v>0</v>
      </c>
      <c r="F178" s="7" t="s">
        <v>151</v>
      </c>
      <c r="G178" s="16" t="s">
        <v>185</v>
      </c>
      <c r="H178" s="16" t="b">
        <v>1</v>
      </c>
      <c r="I178" s="16" t="s">
        <v>402</v>
      </c>
      <c r="J178" s="16" t="s">
        <v>380</v>
      </c>
      <c r="K178" s="16" t="s">
        <v>380</v>
      </c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179" spans="2:19" x14ac:dyDescent="0.3">
      <c r="B179" s="16" t="s">
        <v>1028</v>
      </c>
      <c r="C179" s="57" t="s">
        <v>1720</v>
      </c>
      <c r="D179" s="16">
        <v>1</v>
      </c>
      <c r="E179" s="16">
        <v>0</v>
      </c>
      <c r="F179" s="7" t="s">
        <v>151</v>
      </c>
      <c r="G179" s="16" t="s">
        <v>185</v>
      </c>
      <c r="H179" s="7"/>
      <c r="I179" s="16" t="s">
        <v>382</v>
      </c>
      <c r="J179" s="16" t="s">
        <v>381</v>
      </c>
      <c r="K179" s="16" t="s">
        <v>380</v>
      </c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180" spans="2:19" x14ac:dyDescent="0.3">
      <c r="B180" s="16"/>
      <c r="C180" s="57" t="s">
        <v>1720</v>
      </c>
      <c r="D180" s="16">
        <v>2</v>
      </c>
      <c r="E180" s="16">
        <v>0</v>
      </c>
      <c r="F180" s="7" t="s">
        <v>151</v>
      </c>
      <c r="G180" s="16" t="s">
        <v>185</v>
      </c>
      <c r="H180" s="16" t="b">
        <v>1</v>
      </c>
      <c r="I180" s="16" t="s">
        <v>421</v>
      </c>
      <c r="J180" s="16" t="s">
        <v>384</v>
      </c>
      <c r="K180" s="16" t="s">
        <v>380</v>
      </c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181" spans="2:19" x14ac:dyDescent="0.3">
      <c r="B181" s="16" t="s">
        <v>1029</v>
      </c>
      <c r="C181" s="57" t="s">
        <v>1720</v>
      </c>
      <c r="D181" s="16">
        <v>1</v>
      </c>
      <c r="E181" s="16">
        <v>0</v>
      </c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/>
      <c r="C182" s="57" t="s">
        <v>1720</v>
      </c>
      <c r="D182" s="16">
        <v>2</v>
      </c>
      <c r="E182" s="16">
        <v>0</v>
      </c>
      <c r="F182" s="7" t="s">
        <v>151</v>
      </c>
      <c r="G182" s="16" t="s">
        <v>180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83" spans="2:19" x14ac:dyDescent="0.3">
      <c r="B183" s="16" t="s">
        <v>1030</v>
      </c>
      <c r="C183" s="57" t="s">
        <v>1720</v>
      </c>
      <c r="D183" s="16">
        <v>1</v>
      </c>
      <c r="E183" s="16">
        <v>0</v>
      </c>
      <c r="F183" s="7" t="s">
        <v>151</v>
      </c>
      <c r="G183" s="16" t="s">
        <v>180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4" spans="2:19" x14ac:dyDescent="0.3">
      <c r="B184" s="16"/>
      <c r="C184" s="57" t="s">
        <v>1720</v>
      </c>
      <c r="D184" s="16">
        <v>2</v>
      </c>
      <c r="E184" s="16">
        <v>0</v>
      </c>
      <c r="F184" s="7" t="s">
        <v>151</v>
      </c>
      <c r="G184" s="16" t="s">
        <v>180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57" t="s">
        <v>1720</v>
      </c>
      <c r="D185" s="16">
        <v>1</v>
      </c>
      <c r="E185" s="16">
        <v>0</v>
      </c>
      <c r="F185" s="7" t="s">
        <v>151</v>
      </c>
      <c r="G185" s="16" t="s">
        <v>180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/>
      <c r="C186" s="57" t="s">
        <v>1720</v>
      </c>
      <c r="D186" s="16">
        <v>2</v>
      </c>
      <c r="E186" s="16">
        <v>0</v>
      </c>
      <c r="F186" s="7" t="s">
        <v>151</v>
      </c>
      <c r="G186" s="16" t="s">
        <v>185</v>
      </c>
      <c r="H186" s="16" t="b">
        <v>1</v>
      </c>
      <c r="I186" s="16" t="s">
        <v>24</v>
      </c>
      <c r="J186" s="16" t="s">
        <v>382</v>
      </c>
      <c r="K186" s="16" t="s">
        <v>381</v>
      </c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187" spans="2:19" x14ac:dyDescent="0.3">
      <c r="B187" s="16" t="s">
        <v>1032</v>
      </c>
      <c r="C187" s="57" t="s">
        <v>1720</v>
      </c>
      <c r="D187" s="16">
        <v>1</v>
      </c>
      <c r="E187" s="16">
        <v>0</v>
      </c>
      <c r="F187" s="7" t="s">
        <v>151</v>
      </c>
      <c r="G187" s="16" t="s">
        <v>185</v>
      </c>
      <c r="H187" s="7"/>
      <c r="I187" s="16" t="s">
        <v>382</v>
      </c>
      <c r="J187" s="16" t="s">
        <v>384</v>
      </c>
      <c r="K187" s="16" t="s">
        <v>380</v>
      </c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88" spans="2:19" x14ac:dyDescent="0.3">
      <c r="B188" s="16"/>
      <c r="C188" s="57" t="s">
        <v>1720</v>
      </c>
      <c r="D188" s="16">
        <v>2</v>
      </c>
      <c r="E188" s="16">
        <v>0</v>
      </c>
      <c r="F188" s="7" t="s">
        <v>151</v>
      </c>
      <c r="G188" s="16" t="s">
        <v>185</v>
      </c>
      <c r="H188" s="16" t="b">
        <v>1</v>
      </c>
      <c r="I188" s="16" t="s">
        <v>390</v>
      </c>
      <c r="J188" s="16" t="s">
        <v>383</v>
      </c>
      <c r="K188" s="16" t="s">
        <v>380</v>
      </c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189" spans="2:19" x14ac:dyDescent="0.3">
      <c r="B189" s="16" t="s">
        <v>1033</v>
      </c>
      <c r="C189" s="57" t="s">
        <v>1720</v>
      </c>
      <c r="D189" s="16">
        <v>1</v>
      </c>
      <c r="E189" s="16">
        <v>0</v>
      </c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/>
      <c r="C190" s="57" t="s">
        <v>1720</v>
      </c>
      <c r="D190" s="16">
        <v>2</v>
      </c>
      <c r="E190" s="16">
        <v>0</v>
      </c>
      <c r="F190" s="7" t="s">
        <v>151</v>
      </c>
      <c r="G190" s="16" t="s">
        <v>180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91" spans="2:19" x14ac:dyDescent="0.3">
      <c r="B191" s="16" t="s">
        <v>1034</v>
      </c>
      <c r="C191" s="57" t="s">
        <v>1720</v>
      </c>
      <c r="D191" s="16">
        <v>1</v>
      </c>
      <c r="E191" s="16">
        <v>0</v>
      </c>
      <c r="F191" s="7" t="s">
        <v>151</v>
      </c>
      <c r="G191" s="16" t="s">
        <v>180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192" spans="2:19" x14ac:dyDescent="0.3">
      <c r="B192" s="16"/>
      <c r="C192" s="57" t="s">
        <v>1720</v>
      </c>
      <c r="D192" s="16">
        <v>2</v>
      </c>
      <c r="E192" s="16">
        <v>0</v>
      </c>
      <c r="F192" s="7" t="s">
        <v>151</v>
      </c>
      <c r="G192" s="16" t="s">
        <v>180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57" t="s">
        <v>1720</v>
      </c>
      <c r="D193" s="16">
        <v>1</v>
      </c>
      <c r="E193" s="16">
        <v>0</v>
      </c>
      <c r="F193" s="7" t="s">
        <v>151</v>
      </c>
      <c r="G193" s="16" t="s">
        <v>180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/>
      <c r="C194" s="57" t="s">
        <v>1720</v>
      </c>
      <c r="D194" s="16">
        <v>2</v>
      </c>
      <c r="E194" s="16">
        <v>0</v>
      </c>
      <c r="F194" s="7" t="s">
        <v>151</v>
      </c>
      <c r="G194" s="16" t="s">
        <v>185</v>
      </c>
      <c r="H194" s="16" t="b">
        <v>1</v>
      </c>
      <c r="I194" s="16" t="s">
        <v>388</v>
      </c>
      <c r="J194" s="16" t="s">
        <v>384</v>
      </c>
      <c r="K194" s="16" t="s">
        <v>380</v>
      </c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195" spans="2:19" x14ac:dyDescent="0.3">
      <c r="B195" s="16" t="s">
        <v>1036</v>
      </c>
      <c r="C195" s="57" t="s">
        <v>1720</v>
      </c>
      <c r="D195" s="16">
        <v>1</v>
      </c>
      <c r="E195" s="16">
        <v>0</v>
      </c>
      <c r="F195" s="7" t="s">
        <v>151</v>
      </c>
      <c r="G195" s="16" t="s">
        <v>185</v>
      </c>
      <c r="H195" s="7"/>
      <c r="I195" s="16" t="s">
        <v>382</v>
      </c>
      <c r="J195" s="16" t="s">
        <v>384</v>
      </c>
      <c r="K195" s="16" t="s">
        <v>380</v>
      </c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196" spans="2:19" x14ac:dyDescent="0.3">
      <c r="B196" s="16"/>
      <c r="C196" s="57" t="s">
        <v>1720</v>
      </c>
      <c r="D196" s="16">
        <v>2</v>
      </c>
      <c r="E196" s="16">
        <v>0</v>
      </c>
      <c r="F196" s="7" t="s">
        <v>151</v>
      </c>
      <c r="G196" s="16" t="s">
        <v>185</v>
      </c>
      <c r="H196" s="16" t="b">
        <v>1</v>
      </c>
      <c r="I196" s="16" t="s">
        <v>407</v>
      </c>
      <c r="J196" s="16" t="s">
        <v>380</v>
      </c>
      <c r="K196" s="16" t="s">
        <v>381</v>
      </c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197" spans="2:19" x14ac:dyDescent="0.3">
      <c r="B197" s="16" t="s">
        <v>1037</v>
      </c>
      <c r="C197" s="57" t="s">
        <v>1720</v>
      </c>
      <c r="D197" s="16">
        <v>1</v>
      </c>
      <c r="E197" s="16">
        <v>0</v>
      </c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/>
      <c r="C198" s="57" t="s">
        <v>1720</v>
      </c>
      <c r="D198" s="16">
        <v>2</v>
      </c>
      <c r="E198" s="16">
        <v>0</v>
      </c>
      <c r="F198" s="7" t="s">
        <v>151</v>
      </c>
      <c r="G198" s="16" t="s">
        <v>180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99" spans="2:19" x14ac:dyDescent="0.3">
      <c r="B199" s="16" t="s">
        <v>1038</v>
      </c>
      <c r="C199" s="57" t="s">
        <v>1720</v>
      </c>
      <c r="D199" s="16">
        <v>1</v>
      </c>
      <c r="E199" s="16">
        <v>0</v>
      </c>
      <c r="F199" s="7" t="s">
        <v>151</v>
      </c>
      <c r="G199" s="16" t="s">
        <v>180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00" spans="2:19" x14ac:dyDescent="0.3">
      <c r="B200" s="16"/>
      <c r="C200" s="57" t="s">
        <v>1720</v>
      </c>
      <c r="D200" s="16">
        <v>2</v>
      </c>
      <c r="E200" s="16">
        <v>0</v>
      </c>
      <c r="F200" s="7" t="s">
        <v>151</v>
      </c>
      <c r="G200" s="16" t="s">
        <v>180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57" t="s">
        <v>1720</v>
      </c>
      <c r="D201" s="16">
        <v>1</v>
      </c>
      <c r="E201" s="16">
        <v>0</v>
      </c>
      <c r="F201" s="7" t="s">
        <v>151</v>
      </c>
      <c r="G201" s="16" t="s">
        <v>180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/>
      <c r="C202" s="57" t="s">
        <v>1720</v>
      </c>
      <c r="D202" s="16">
        <v>2</v>
      </c>
      <c r="E202" s="16">
        <v>0</v>
      </c>
      <c r="F202" s="7" t="s">
        <v>151</v>
      </c>
      <c r="G202" s="16" t="s">
        <v>185</v>
      </c>
      <c r="H202" s="16" t="b">
        <v>1</v>
      </c>
      <c r="I202" s="16" t="s">
        <v>395</v>
      </c>
      <c r="J202" s="16" t="s">
        <v>381</v>
      </c>
      <c r="K202" s="16" t="s">
        <v>380</v>
      </c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03" spans="2:19" x14ac:dyDescent="0.3">
      <c r="B203" s="16" t="s">
        <v>1040</v>
      </c>
      <c r="C203" s="57" t="s">
        <v>1720</v>
      </c>
      <c r="D203" s="16">
        <v>1</v>
      </c>
      <c r="E203" s="16">
        <v>0</v>
      </c>
      <c r="F203" s="7" t="s">
        <v>151</v>
      </c>
      <c r="G203" s="16" t="s">
        <v>185</v>
      </c>
      <c r="H203" s="7"/>
      <c r="I203" s="16" t="s">
        <v>384</v>
      </c>
      <c r="J203" s="16" t="s">
        <v>383</v>
      </c>
      <c r="K203" s="16" t="s">
        <v>380</v>
      </c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04" spans="2:19" x14ac:dyDescent="0.3">
      <c r="B204" s="16"/>
      <c r="C204" s="57" t="s">
        <v>1720</v>
      </c>
      <c r="D204" s="16">
        <v>2</v>
      </c>
      <c r="E204" s="16">
        <v>0</v>
      </c>
      <c r="F204" s="7" t="s">
        <v>151</v>
      </c>
      <c r="G204" s="16" t="s">
        <v>185</v>
      </c>
      <c r="H204" s="16" t="b">
        <v>1</v>
      </c>
      <c r="I204" s="16" t="s">
        <v>399</v>
      </c>
      <c r="J204" s="16" t="s">
        <v>382</v>
      </c>
      <c r="K204" s="16" t="s">
        <v>381</v>
      </c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05" spans="2:19" x14ac:dyDescent="0.3">
      <c r="B205" s="16" t="s">
        <v>1041</v>
      </c>
      <c r="C205" s="57" t="s">
        <v>1720</v>
      </c>
      <c r="D205" s="16">
        <v>1</v>
      </c>
      <c r="E205" s="16">
        <v>0</v>
      </c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/>
      <c r="C206" s="57" t="s">
        <v>1720</v>
      </c>
      <c r="D206" s="16">
        <v>2</v>
      </c>
      <c r="E206" s="16">
        <v>0</v>
      </c>
      <c r="F206" s="7" t="s">
        <v>151</v>
      </c>
      <c r="G206" s="16" t="s">
        <v>180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7" spans="2:19" x14ac:dyDescent="0.3">
      <c r="B207" s="16" t="s">
        <v>1042</v>
      </c>
      <c r="C207" s="57" t="s">
        <v>1720</v>
      </c>
      <c r="D207" s="16">
        <v>1</v>
      </c>
      <c r="E207" s="16">
        <v>0</v>
      </c>
      <c r="F207" s="7" t="s">
        <v>151</v>
      </c>
      <c r="G207" s="16" t="s">
        <v>180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08" spans="2:19" x14ac:dyDescent="0.3">
      <c r="B208" s="16"/>
      <c r="C208" s="57" t="s">
        <v>1720</v>
      </c>
      <c r="D208" s="16">
        <v>2</v>
      </c>
      <c r="E208" s="16">
        <v>0</v>
      </c>
      <c r="F208" s="7" t="s">
        <v>151</v>
      </c>
      <c r="G208" s="16" t="s">
        <v>180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57" t="s">
        <v>1720</v>
      </c>
      <c r="D209" s="16">
        <v>1</v>
      </c>
      <c r="E209" s="16">
        <v>0</v>
      </c>
      <c r="F209" s="7" t="s">
        <v>151</v>
      </c>
      <c r="G209" s="16" t="s">
        <v>180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/>
      <c r="C210" s="57" t="s">
        <v>1720</v>
      </c>
      <c r="D210" s="16">
        <v>2</v>
      </c>
      <c r="E210" s="16">
        <v>0</v>
      </c>
      <c r="F210" s="7" t="s">
        <v>151</v>
      </c>
      <c r="G210" s="16" t="s">
        <v>185</v>
      </c>
      <c r="H210" s="16" t="b">
        <v>1</v>
      </c>
      <c r="I210" s="16" t="s">
        <v>394</v>
      </c>
      <c r="J210" s="16" t="s">
        <v>382</v>
      </c>
      <c r="K210" s="16" t="s">
        <v>381</v>
      </c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11" spans="2:19" x14ac:dyDescent="0.3">
      <c r="B211" s="16" t="s">
        <v>1044</v>
      </c>
      <c r="C211" s="57" t="s">
        <v>1720</v>
      </c>
      <c r="D211" s="16">
        <v>1</v>
      </c>
      <c r="E211" s="16">
        <v>0</v>
      </c>
      <c r="F211" s="7" t="s">
        <v>151</v>
      </c>
      <c r="G211" s="16" t="s">
        <v>185</v>
      </c>
      <c r="H211" s="7"/>
      <c r="I211" s="16" t="s">
        <v>383</v>
      </c>
      <c r="J211" s="16" t="s">
        <v>380</v>
      </c>
      <c r="K211" s="16" t="s">
        <v>380</v>
      </c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12" spans="2:19" x14ac:dyDescent="0.3">
      <c r="B212" s="16"/>
      <c r="C212" s="57" t="s">
        <v>1720</v>
      </c>
      <c r="D212" s="16">
        <v>2</v>
      </c>
      <c r="E212" s="16">
        <v>0</v>
      </c>
      <c r="F212" s="7" t="s">
        <v>151</v>
      </c>
      <c r="G212" s="16" t="s">
        <v>185</v>
      </c>
      <c r="H212" s="16" t="b">
        <v>1</v>
      </c>
      <c r="I212" s="16" t="s">
        <v>432</v>
      </c>
      <c r="J212" s="16" t="s">
        <v>382</v>
      </c>
      <c r="K212" s="16" t="s">
        <v>380</v>
      </c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13" spans="2:19" x14ac:dyDescent="0.3">
      <c r="B213" s="16" t="s">
        <v>1045</v>
      </c>
      <c r="C213" s="57" t="s">
        <v>1720</v>
      </c>
      <c r="D213" s="16">
        <v>1</v>
      </c>
      <c r="E213" s="16">
        <v>0</v>
      </c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/>
      <c r="C214" s="57" t="s">
        <v>1720</v>
      </c>
      <c r="D214" s="16">
        <v>2</v>
      </c>
      <c r="E214" s="16">
        <v>0</v>
      </c>
      <c r="F214" s="7" t="s">
        <v>151</v>
      </c>
      <c r="G214" s="16" t="s">
        <v>180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15" spans="2:19" x14ac:dyDescent="0.3">
      <c r="B215" s="16" t="s">
        <v>1046</v>
      </c>
      <c r="C215" s="57" t="s">
        <v>1720</v>
      </c>
      <c r="D215" s="16">
        <v>1</v>
      </c>
      <c r="E215" s="16">
        <v>0</v>
      </c>
      <c r="F215" s="7" t="s">
        <v>151</v>
      </c>
      <c r="G215" s="16" t="s">
        <v>180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16" spans="2:19" x14ac:dyDescent="0.3">
      <c r="B216" s="16"/>
      <c r="C216" s="57" t="s">
        <v>1720</v>
      </c>
      <c r="D216" s="16">
        <v>2</v>
      </c>
      <c r="E216" s="16">
        <v>0</v>
      </c>
      <c r="F216" s="7" t="s">
        <v>151</v>
      </c>
      <c r="G216" s="16" t="s">
        <v>180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57" t="s">
        <v>1720</v>
      </c>
      <c r="D217" s="16">
        <v>1</v>
      </c>
      <c r="E217" s="16">
        <v>0</v>
      </c>
      <c r="F217" s="7" t="s">
        <v>151</v>
      </c>
      <c r="G217" s="16" t="s">
        <v>180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/>
      <c r="C218" s="57" t="s">
        <v>1720</v>
      </c>
      <c r="D218" s="16">
        <v>2</v>
      </c>
      <c r="E218" s="16">
        <v>0</v>
      </c>
      <c r="F218" s="7" t="s">
        <v>151</v>
      </c>
      <c r="G218" s="16" t="s">
        <v>185</v>
      </c>
      <c r="H218" s="16" t="b">
        <v>1</v>
      </c>
      <c r="I218" s="16" t="s">
        <v>433</v>
      </c>
      <c r="J218" s="16" t="s">
        <v>382</v>
      </c>
      <c r="K218" s="16" t="s">
        <v>380</v>
      </c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219" spans="2:19" x14ac:dyDescent="0.3">
      <c r="B219" s="16" t="s">
        <v>1048</v>
      </c>
      <c r="C219" s="57" t="s">
        <v>1720</v>
      </c>
      <c r="D219" s="16">
        <v>1</v>
      </c>
      <c r="E219" s="16">
        <v>0</v>
      </c>
      <c r="F219" s="7" t="s">
        <v>151</v>
      </c>
      <c r="G219" s="16" t="s">
        <v>185</v>
      </c>
      <c r="H219" s="7"/>
      <c r="I219" s="16" t="s">
        <v>380</v>
      </c>
      <c r="J219" s="16" t="s">
        <v>382</v>
      </c>
      <c r="K219" s="16" t="s">
        <v>381</v>
      </c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220" spans="2:19" x14ac:dyDescent="0.3">
      <c r="B220" s="16"/>
      <c r="C220" s="57" t="s">
        <v>1720</v>
      </c>
      <c r="D220" s="16">
        <v>2</v>
      </c>
      <c r="E220" s="16">
        <v>0</v>
      </c>
      <c r="F220" s="7" t="s">
        <v>151</v>
      </c>
      <c r="G220" s="16" t="s">
        <v>185</v>
      </c>
      <c r="H220" s="16" t="b">
        <v>1</v>
      </c>
      <c r="I220" s="16" t="s">
        <v>433</v>
      </c>
      <c r="J220" s="16" t="s">
        <v>383</v>
      </c>
      <c r="K220" s="16" t="s">
        <v>380</v>
      </c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三国-变态-[B]盾英+炼英+炼英</v>
      </c>
    </row>
    <row r="221" spans="2:19" x14ac:dyDescent="0.3">
      <c r="B221" s="16" t="s">
        <v>1049</v>
      </c>
      <c r="C221" s="57" t="s">
        <v>1720</v>
      </c>
      <c r="D221" s="16">
        <v>1</v>
      </c>
      <c r="E221" s="16">
        <v>0</v>
      </c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/>
      <c r="C222" s="57" t="s">
        <v>1720</v>
      </c>
      <c r="D222" s="16">
        <v>2</v>
      </c>
      <c r="E222" s="16">
        <v>0</v>
      </c>
      <c r="F222" s="7" t="s">
        <v>151</v>
      </c>
      <c r="G222" s="16" t="s">
        <v>180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23" spans="2:19" x14ac:dyDescent="0.3">
      <c r="B223" s="16" t="s">
        <v>1050</v>
      </c>
      <c r="C223" s="57" t="s">
        <v>1720</v>
      </c>
      <c r="D223" s="16">
        <v>1</v>
      </c>
      <c r="E223" s="16">
        <v>0</v>
      </c>
      <c r="F223" s="7" t="s">
        <v>151</v>
      </c>
      <c r="G223" s="16" t="s">
        <v>180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224" spans="2:19" x14ac:dyDescent="0.3">
      <c r="B224" s="16"/>
      <c r="C224" s="57" t="s">
        <v>1720</v>
      </c>
      <c r="D224" s="16">
        <v>2</v>
      </c>
      <c r="E224" s="16">
        <v>0</v>
      </c>
      <c r="F224" s="7" t="s">
        <v>151</v>
      </c>
      <c r="G224" s="16" t="s">
        <v>180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57" t="s">
        <v>1720</v>
      </c>
      <c r="D225" s="16">
        <v>1</v>
      </c>
      <c r="E225" s="16">
        <v>0</v>
      </c>
      <c r="F225" s="7" t="s">
        <v>151</v>
      </c>
      <c r="G225" s="16" t="s">
        <v>180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/>
      <c r="C226" s="57" t="s">
        <v>1720</v>
      </c>
      <c r="D226" s="16">
        <v>2</v>
      </c>
      <c r="E226" s="16">
        <v>0</v>
      </c>
      <c r="F226" s="7" t="s">
        <v>151</v>
      </c>
      <c r="G226" s="16" t="s">
        <v>185</v>
      </c>
      <c r="H226" s="16" t="b">
        <v>1</v>
      </c>
      <c r="I226" s="16" t="s">
        <v>390</v>
      </c>
      <c r="J226" s="16" t="s">
        <v>383</v>
      </c>
      <c r="K226" s="16" t="s">
        <v>380</v>
      </c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227" spans="2:19" x14ac:dyDescent="0.3">
      <c r="B227" s="16" t="s">
        <v>1052</v>
      </c>
      <c r="C227" s="57" t="s">
        <v>1720</v>
      </c>
      <c r="D227" s="16">
        <v>1</v>
      </c>
      <c r="E227" s="16">
        <v>0</v>
      </c>
      <c r="F227" s="7" t="s">
        <v>151</v>
      </c>
      <c r="G227" s="16" t="s">
        <v>185</v>
      </c>
      <c r="H227" s="7"/>
      <c r="I227" s="16" t="s">
        <v>385</v>
      </c>
      <c r="J227" s="16" t="s">
        <v>383</v>
      </c>
      <c r="K227" s="16" t="s">
        <v>380</v>
      </c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三国-变态-盾英+炼英+刺英</v>
      </c>
    </row>
    <row r="228" spans="2:19" x14ac:dyDescent="0.3">
      <c r="B228" s="16"/>
      <c r="C228" s="57" t="s">
        <v>1720</v>
      </c>
      <c r="D228" s="16">
        <v>2</v>
      </c>
      <c r="E228" s="16">
        <v>0</v>
      </c>
      <c r="F228" s="7" t="s">
        <v>151</v>
      </c>
      <c r="G228" s="16" t="s">
        <v>185</v>
      </c>
      <c r="H228" s="16" t="b">
        <v>1</v>
      </c>
      <c r="I228" s="16" t="s">
        <v>399</v>
      </c>
      <c r="J228" s="16" t="s">
        <v>382</v>
      </c>
      <c r="K228" s="16" t="s">
        <v>381</v>
      </c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229" spans="2:19" x14ac:dyDescent="0.3">
      <c r="B229" s="16" t="s">
        <v>1053</v>
      </c>
      <c r="C229" s="57" t="s">
        <v>1720</v>
      </c>
      <c r="D229" s="16">
        <v>1</v>
      </c>
      <c r="E229" s="16">
        <v>0</v>
      </c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/>
      <c r="C230" s="57" t="s">
        <v>1720</v>
      </c>
      <c r="D230" s="16">
        <v>2</v>
      </c>
      <c r="E230" s="16">
        <v>0</v>
      </c>
      <c r="F230" s="7" t="s">
        <v>151</v>
      </c>
      <c r="G230" s="16" t="s">
        <v>180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1" spans="2:19" x14ac:dyDescent="0.3">
      <c r="B231" s="16" t="s">
        <v>1054</v>
      </c>
      <c r="C231" s="57" t="s">
        <v>1720</v>
      </c>
      <c r="D231" s="16">
        <v>1</v>
      </c>
      <c r="E231" s="16">
        <v>0</v>
      </c>
      <c r="F231" s="7" t="s">
        <v>151</v>
      </c>
      <c r="G231" s="16" t="s">
        <v>180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32" spans="2:19" x14ac:dyDescent="0.3">
      <c r="B232" s="16"/>
      <c r="C232" s="57" t="s">
        <v>1720</v>
      </c>
      <c r="D232" s="16">
        <v>2</v>
      </c>
      <c r="E232" s="16">
        <v>0</v>
      </c>
      <c r="F232" s="7" t="s">
        <v>151</v>
      </c>
      <c r="G232" s="16" t="s">
        <v>180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57" t="s">
        <v>1720</v>
      </c>
      <c r="D233" s="16">
        <v>1</v>
      </c>
      <c r="E233" s="16">
        <v>0</v>
      </c>
      <c r="F233" s="7" t="s">
        <v>151</v>
      </c>
      <c r="G233" s="16" t="s">
        <v>180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/>
      <c r="C234" s="57" t="s">
        <v>1720</v>
      </c>
      <c r="D234" s="16">
        <v>2</v>
      </c>
      <c r="E234" s="16">
        <v>0</v>
      </c>
      <c r="F234" s="7" t="s">
        <v>151</v>
      </c>
      <c r="G234" s="16" t="s">
        <v>185</v>
      </c>
      <c r="H234" s="16" t="b">
        <v>1</v>
      </c>
      <c r="I234" s="16" t="s">
        <v>414</v>
      </c>
      <c r="J234" s="16" t="s">
        <v>380</v>
      </c>
      <c r="K234" s="16" t="s">
        <v>380</v>
      </c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5" spans="2:19" x14ac:dyDescent="0.3">
      <c r="B235" s="16" t="s">
        <v>1056</v>
      </c>
      <c r="C235" s="57" t="s">
        <v>1720</v>
      </c>
      <c r="D235" s="16">
        <v>1</v>
      </c>
      <c r="E235" s="16">
        <v>0</v>
      </c>
      <c r="F235" s="7" t="s">
        <v>151</v>
      </c>
      <c r="G235" s="16" t="s">
        <v>185</v>
      </c>
      <c r="H235" s="7"/>
      <c r="I235" s="16" t="s">
        <v>380</v>
      </c>
      <c r="J235" s="16" t="s">
        <v>385</v>
      </c>
      <c r="K235" s="16" t="s">
        <v>380</v>
      </c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236" spans="2:19" x14ac:dyDescent="0.3">
      <c r="B236" s="16"/>
      <c r="C236" s="57" t="s">
        <v>1720</v>
      </c>
      <c r="D236" s="16">
        <v>2</v>
      </c>
      <c r="E236" s="16">
        <v>0</v>
      </c>
      <c r="F236" s="7" t="s">
        <v>151</v>
      </c>
      <c r="G236" s="16" t="s">
        <v>185</v>
      </c>
      <c r="H236" s="16" t="b">
        <v>1</v>
      </c>
      <c r="I236" s="16" t="s">
        <v>408</v>
      </c>
      <c r="J236" s="16" t="s">
        <v>383</v>
      </c>
      <c r="K236" s="16" t="s">
        <v>380</v>
      </c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37" spans="2:19" x14ac:dyDescent="0.3">
      <c r="B237" s="16" t="s">
        <v>1226</v>
      </c>
      <c r="C237" s="57" t="s">
        <v>1720</v>
      </c>
      <c r="D237" s="16">
        <v>1</v>
      </c>
      <c r="E237" s="16">
        <v>0</v>
      </c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/>
      <c r="C238" s="57" t="s">
        <v>1720</v>
      </c>
      <c r="D238" s="16">
        <v>2</v>
      </c>
      <c r="E238" s="16">
        <v>0</v>
      </c>
      <c r="F238" s="7" t="s">
        <v>151</v>
      </c>
      <c r="G238" s="16" t="s">
        <v>180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39" spans="2:19" x14ac:dyDescent="0.3">
      <c r="B239" s="16" t="s">
        <v>1227</v>
      </c>
      <c r="C239" s="57" t="s">
        <v>1720</v>
      </c>
      <c r="D239" s="16">
        <v>1</v>
      </c>
      <c r="E239" s="16">
        <v>0</v>
      </c>
      <c r="F239" s="7" t="s">
        <v>151</v>
      </c>
      <c r="G239" s="16" t="s">
        <v>180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0" spans="2:19" x14ac:dyDescent="0.3">
      <c r="B240" s="16"/>
      <c r="C240" s="57" t="s">
        <v>1720</v>
      </c>
      <c r="D240" s="16">
        <v>2</v>
      </c>
      <c r="E240" s="16">
        <v>0</v>
      </c>
      <c r="F240" s="7" t="s">
        <v>151</v>
      </c>
      <c r="G240" s="16" t="s">
        <v>180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1228</v>
      </c>
      <c r="C241" s="57" t="s">
        <v>1720</v>
      </c>
      <c r="D241" s="16">
        <v>1</v>
      </c>
      <c r="E241" s="16">
        <v>0</v>
      </c>
      <c r="F241" s="7" t="s">
        <v>151</v>
      </c>
      <c r="G241" s="16" t="s">
        <v>180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/>
      <c r="C242" s="57" t="s">
        <v>1720</v>
      </c>
      <c r="D242" s="16">
        <v>2</v>
      </c>
      <c r="E242" s="16">
        <v>0</v>
      </c>
      <c r="F242" s="7" t="s">
        <v>151</v>
      </c>
      <c r="G242" s="16" t="s">
        <v>185</v>
      </c>
      <c r="H242" s="16" t="b">
        <v>1</v>
      </c>
      <c r="I242" s="16" t="s">
        <v>420</v>
      </c>
      <c r="J242" s="16" t="s">
        <v>384</v>
      </c>
      <c r="K242" s="16" t="s">
        <v>380</v>
      </c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43" spans="2:19" x14ac:dyDescent="0.3">
      <c r="B243" s="16" t="s">
        <v>1229</v>
      </c>
      <c r="C243" s="57" t="s">
        <v>1720</v>
      </c>
      <c r="D243" s="16">
        <v>1</v>
      </c>
      <c r="E243" s="16">
        <v>0</v>
      </c>
      <c r="F243" s="7" t="s">
        <v>151</v>
      </c>
      <c r="G243" s="16" t="s">
        <v>185</v>
      </c>
      <c r="H243" s="7"/>
      <c r="I243" s="16" t="s">
        <v>383</v>
      </c>
      <c r="J243" s="16" t="s">
        <v>380</v>
      </c>
      <c r="K243" s="16" t="s">
        <v>380</v>
      </c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三国-变态-盾英+盾英+炼英</v>
      </c>
    </row>
    <row r="244" spans="2:19" x14ac:dyDescent="0.3">
      <c r="B244" s="16"/>
      <c r="C244" s="57" t="s">
        <v>1720</v>
      </c>
      <c r="D244" s="16">
        <v>2</v>
      </c>
      <c r="E244" s="16">
        <v>0</v>
      </c>
      <c r="F244" s="7" t="s">
        <v>151</v>
      </c>
      <c r="G244" s="16" t="s">
        <v>185</v>
      </c>
      <c r="H244" s="16" t="b">
        <v>1</v>
      </c>
      <c r="I244" s="16" t="s">
        <v>404</v>
      </c>
      <c r="J244" s="16" t="s">
        <v>382</v>
      </c>
      <c r="K244" s="16" t="s">
        <v>381</v>
      </c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245" spans="2:19" x14ac:dyDescent="0.3">
      <c r="B245" s="16" t="s">
        <v>1057</v>
      </c>
      <c r="C245" s="57" t="s">
        <v>1720</v>
      </c>
      <c r="D245" s="16">
        <v>1</v>
      </c>
      <c r="E245" s="16">
        <v>0</v>
      </c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/>
      <c r="C246" s="57" t="s">
        <v>1720</v>
      </c>
      <c r="D246" s="16">
        <v>2</v>
      </c>
      <c r="E246" s="16">
        <v>0</v>
      </c>
      <c r="F246" s="7" t="s">
        <v>151</v>
      </c>
      <c r="G246" s="16" t="s">
        <v>180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47" spans="2:19" x14ac:dyDescent="0.3">
      <c r="B247" s="16" t="s">
        <v>1058</v>
      </c>
      <c r="C247" s="57" t="s">
        <v>1720</v>
      </c>
      <c r="D247" s="16">
        <v>1</v>
      </c>
      <c r="E247" s="16">
        <v>0</v>
      </c>
      <c r="F247" s="7" t="s">
        <v>151</v>
      </c>
      <c r="G247" s="16" t="s">
        <v>180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8" spans="2:19" x14ac:dyDescent="0.3">
      <c r="B248" s="16"/>
      <c r="C248" s="57" t="s">
        <v>1720</v>
      </c>
      <c r="D248" s="16">
        <v>2</v>
      </c>
      <c r="E248" s="16">
        <v>0</v>
      </c>
      <c r="F248" s="7" t="s">
        <v>151</v>
      </c>
      <c r="G248" s="16" t="s">
        <v>180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57" t="s">
        <v>1720</v>
      </c>
      <c r="D249" s="16">
        <v>1</v>
      </c>
      <c r="E249" s="16">
        <v>0</v>
      </c>
      <c r="F249" s="7" t="s">
        <v>151</v>
      </c>
      <c r="G249" s="16" t="s">
        <v>180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/>
      <c r="C250" s="57" t="s">
        <v>1720</v>
      </c>
      <c r="D250" s="16">
        <v>2</v>
      </c>
      <c r="E250" s="16">
        <v>0</v>
      </c>
      <c r="F250" s="7" t="s">
        <v>151</v>
      </c>
      <c r="G250" s="16" t="s">
        <v>185</v>
      </c>
      <c r="H250" s="16" t="b">
        <v>1</v>
      </c>
      <c r="I250" s="16" t="s">
        <v>395</v>
      </c>
      <c r="J250" s="16" t="s">
        <v>381</v>
      </c>
      <c r="K250" s="16" t="s">
        <v>380</v>
      </c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251" spans="2:19" x14ac:dyDescent="0.3">
      <c r="B251" s="16" t="s">
        <v>1060</v>
      </c>
      <c r="C251" s="57" t="s">
        <v>1720</v>
      </c>
      <c r="D251" s="16">
        <v>1</v>
      </c>
      <c r="E251" s="16">
        <v>0</v>
      </c>
      <c r="F251" s="7" t="s">
        <v>151</v>
      </c>
      <c r="G251" s="16" t="s">
        <v>185</v>
      </c>
      <c r="H251" s="7"/>
      <c r="I251" s="16" t="s">
        <v>383</v>
      </c>
      <c r="J251" s="16" t="s">
        <v>382</v>
      </c>
      <c r="K251" s="16" t="s">
        <v>380</v>
      </c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52" spans="2:19" x14ac:dyDescent="0.3">
      <c r="B252" s="16"/>
      <c r="C252" s="57" t="s">
        <v>1720</v>
      </c>
      <c r="D252" s="16">
        <v>2</v>
      </c>
      <c r="E252" s="16">
        <v>0</v>
      </c>
      <c r="F252" s="7" t="s">
        <v>151</v>
      </c>
      <c r="G252" s="16" t="s">
        <v>185</v>
      </c>
      <c r="H252" s="16" t="b">
        <v>1</v>
      </c>
      <c r="I252" s="16" t="s">
        <v>419</v>
      </c>
      <c r="J252" s="16" t="s">
        <v>380</v>
      </c>
      <c r="K252" s="16" t="s">
        <v>380</v>
      </c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53" spans="2:19" x14ac:dyDescent="0.3">
      <c r="B253" s="16" t="s">
        <v>1061</v>
      </c>
      <c r="C253" s="57" t="s">
        <v>1720</v>
      </c>
      <c r="D253" s="16">
        <v>1</v>
      </c>
      <c r="E253" s="16">
        <v>0</v>
      </c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/>
      <c r="C254" s="57" t="s">
        <v>1720</v>
      </c>
      <c r="D254" s="16">
        <v>2</v>
      </c>
      <c r="E254" s="16">
        <v>0</v>
      </c>
      <c r="F254" s="7" t="s">
        <v>151</v>
      </c>
      <c r="G254" s="16" t="s">
        <v>180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255" spans="2:19" x14ac:dyDescent="0.3">
      <c r="B255" s="16" t="s">
        <v>1062</v>
      </c>
      <c r="C255" s="57" t="s">
        <v>1720</v>
      </c>
      <c r="D255" s="16">
        <v>1</v>
      </c>
      <c r="E255" s="16">
        <v>0</v>
      </c>
      <c r="F255" s="7" t="s">
        <v>151</v>
      </c>
      <c r="G255" s="16" t="s">
        <v>180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56" spans="2:19" x14ac:dyDescent="0.3">
      <c r="B256" s="16"/>
      <c r="C256" s="57" t="s">
        <v>1720</v>
      </c>
      <c r="D256" s="16">
        <v>2</v>
      </c>
      <c r="E256" s="16">
        <v>0</v>
      </c>
      <c r="F256" s="7" t="s">
        <v>151</v>
      </c>
      <c r="G256" s="16" t="s">
        <v>180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57" t="s">
        <v>1720</v>
      </c>
      <c r="D257" s="16">
        <v>1</v>
      </c>
      <c r="E257" s="16">
        <v>0</v>
      </c>
      <c r="F257" s="7" t="s">
        <v>151</v>
      </c>
      <c r="G257" s="16" t="s">
        <v>180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/>
      <c r="C258" s="57" t="s">
        <v>1720</v>
      </c>
      <c r="D258" s="16">
        <v>2</v>
      </c>
      <c r="E258" s="16">
        <v>0</v>
      </c>
      <c r="F258" s="7" t="s">
        <v>151</v>
      </c>
      <c r="G258" s="16" t="s">
        <v>185</v>
      </c>
      <c r="H258" s="16" t="b">
        <v>1</v>
      </c>
      <c r="I258" s="16" t="s">
        <v>415</v>
      </c>
      <c r="J258" s="16" t="s">
        <v>384</v>
      </c>
      <c r="K258" s="16" t="s">
        <v>380</v>
      </c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59" spans="2:19" x14ac:dyDescent="0.3">
      <c r="B259" s="16" t="s">
        <v>1064</v>
      </c>
      <c r="C259" s="57" t="s">
        <v>1720</v>
      </c>
      <c r="D259" s="16">
        <v>1</v>
      </c>
      <c r="E259" s="16">
        <v>0</v>
      </c>
      <c r="F259" s="7" t="s">
        <v>151</v>
      </c>
      <c r="G259" s="16" t="s">
        <v>185</v>
      </c>
      <c r="H259" s="7"/>
      <c r="I259" s="16" t="s">
        <v>383</v>
      </c>
      <c r="J259" s="16" t="s">
        <v>384</v>
      </c>
      <c r="K259" s="16" t="s">
        <v>380</v>
      </c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三国-变态-盾英+炼英+法英</v>
      </c>
    </row>
    <row r="260" spans="2:19" x14ac:dyDescent="0.3">
      <c r="B260" s="16"/>
      <c r="C260" s="57" t="s">
        <v>1720</v>
      </c>
      <c r="D260" s="16">
        <v>2</v>
      </c>
      <c r="E260" s="16">
        <v>0</v>
      </c>
      <c r="F260" s="7" t="s">
        <v>151</v>
      </c>
      <c r="G260" s="16" t="s">
        <v>185</v>
      </c>
      <c r="H260" s="16" t="b">
        <v>1</v>
      </c>
      <c r="I260" s="16" t="s">
        <v>419</v>
      </c>
      <c r="J260" s="16" t="s">
        <v>381</v>
      </c>
      <c r="K260" s="16" t="s">
        <v>380</v>
      </c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三国-变态-[B]盾英+强英+强英</v>
      </c>
    </row>
    <row r="261" spans="2:19" x14ac:dyDescent="0.3">
      <c r="B261" s="16" t="s">
        <v>1065</v>
      </c>
      <c r="C261" s="57" t="s">
        <v>1720</v>
      </c>
      <c r="D261" s="16">
        <v>1</v>
      </c>
      <c r="E261" s="16">
        <v>0</v>
      </c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/>
      <c r="C262" s="57" t="s">
        <v>1720</v>
      </c>
      <c r="D262" s="16">
        <v>2</v>
      </c>
      <c r="E262" s="16">
        <v>0</v>
      </c>
      <c r="F262" s="7" t="s">
        <v>151</v>
      </c>
      <c r="G262" s="16" t="s">
        <v>180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63" spans="2:19" x14ac:dyDescent="0.3">
      <c r="B263" s="16" t="s">
        <v>1066</v>
      </c>
      <c r="C263" s="57" t="s">
        <v>1720</v>
      </c>
      <c r="D263" s="16">
        <v>1</v>
      </c>
      <c r="E263" s="16">
        <v>0</v>
      </c>
      <c r="F263" s="7" t="s">
        <v>151</v>
      </c>
      <c r="G263" s="16" t="s">
        <v>180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64" spans="2:19" x14ac:dyDescent="0.3">
      <c r="B264" s="16"/>
      <c r="C264" s="57" t="s">
        <v>1720</v>
      </c>
      <c r="D264" s="16">
        <v>2</v>
      </c>
      <c r="E264" s="16">
        <v>0</v>
      </c>
      <c r="F264" s="7" t="s">
        <v>151</v>
      </c>
      <c r="G264" s="16" t="s">
        <v>180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57" t="s">
        <v>1720</v>
      </c>
      <c r="D265" s="16">
        <v>1</v>
      </c>
      <c r="E265" s="16">
        <v>0</v>
      </c>
      <c r="F265" s="7" t="s">
        <v>151</v>
      </c>
      <c r="G265" s="16" t="s">
        <v>180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/>
      <c r="C266" s="57" t="s">
        <v>1720</v>
      </c>
      <c r="D266" s="16">
        <v>2</v>
      </c>
      <c r="E266" s="16">
        <v>0</v>
      </c>
      <c r="F266" s="7" t="s">
        <v>151</v>
      </c>
      <c r="G266" s="16" t="s">
        <v>185</v>
      </c>
      <c r="H266" s="16" t="b">
        <v>1</v>
      </c>
      <c r="I266" s="16" t="s">
        <v>415</v>
      </c>
      <c r="J266" s="16" t="s">
        <v>383</v>
      </c>
      <c r="K266" s="16" t="s">
        <v>380</v>
      </c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三国-变态-[B]盾英+炼英+法英</v>
      </c>
    </row>
    <row r="267" spans="2:19" x14ac:dyDescent="0.3">
      <c r="B267" s="16" t="s">
        <v>1068</v>
      </c>
      <c r="C267" s="57" t="s">
        <v>1720</v>
      </c>
      <c r="D267" s="16">
        <v>1</v>
      </c>
      <c r="E267" s="16">
        <v>0</v>
      </c>
      <c r="F267" s="7" t="s">
        <v>151</v>
      </c>
      <c r="G267" s="16" t="s">
        <v>185</v>
      </c>
      <c r="H267" s="7"/>
      <c r="I267" s="16" t="s">
        <v>384</v>
      </c>
      <c r="J267" s="16" t="s">
        <v>381</v>
      </c>
      <c r="K267" s="16" t="s">
        <v>380</v>
      </c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三国-变态-盾英+强英+法英</v>
      </c>
    </row>
    <row r="268" spans="2:19" x14ac:dyDescent="0.3">
      <c r="B268" s="16"/>
      <c r="C268" s="57" t="s">
        <v>1720</v>
      </c>
      <c r="D268" s="16">
        <v>2</v>
      </c>
      <c r="E268" s="16">
        <v>0</v>
      </c>
      <c r="F268" s="7" t="s">
        <v>151</v>
      </c>
      <c r="G268" s="16" t="s">
        <v>185</v>
      </c>
      <c r="H268" s="16" t="b">
        <v>1</v>
      </c>
      <c r="I268" s="16" t="s">
        <v>390</v>
      </c>
      <c r="J268" s="16" t="s">
        <v>380</v>
      </c>
      <c r="K268" s="16" t="s">
        <v>380</v>
      </c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269" spans="2:19" x14ac:dyDescent="0.3">
      <c r="B269" s="16" t="s">
        <v>1069</v>
      </c>
      <c r="C269" s="57" t="s">
        <v>1720</v>
      </c>
      <c r="D269" s="16">
        <v>1</v>
      </c>
      <c r="E269" s="16">
        <v>0</v>
      </c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/>
      <c r="C270" s="57" t="s">
        <v>1720</v>
      </c>
      <c r="D270" s="16">
        <v>2</v>
      </c>
      <c r="E270" s="16">
        <v>0</v>
      </c>
      <c r="F270" s="7" t="s">
        <v>151</v>
      </c>
      <c r="G270" s="16" t="s">
        <v>180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71" spans="2:19" x14ac:dyDescent="0.3">
      <c r="B271" s="16" t="s">
        <v>1070</v>
      </c>
      <c r="C271" s="57" t="s">
        <v>1720</v>
      </c>
      <c r="D271" s="16">
        <v>1</v>
      </c>
      <c r="E271" s="16">
        <v>0</v>
      </c>
      <c r="F271" s="7" t="s">
        <v>151</v>
      </c>
      <c r="G271" s="16" t="s">
        <v>180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72" spans="2:19" x14ac:dyDescent="0.3">
      <c r="B272" s="16"/>
      <c r="C272" s="57" t="s">
        <v>1720</v>
      </c>
      <c r="D272" s="16">
        <v>2</v>
      </c>
      <c r="E272" s="16">
        <v>0</v>
      </c>
      <c r="F272" s="7" t="s">
        <v>151</v>
      </c>
      <c r="G272" s="16" t="s">
        <v>180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57" t="s">
        <v>1720</v>
      </c>
      <c r="D273" s="16">
        <v>1</v>
      </c>
      <c r="E273" s="16">
        <v>0</v>
      </c>
      <c r="F273" s="7" t="s">
        <v>151</v>
      </c>
      <c r="G273" s="16" t="s">
        <v>180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/>
      <c r="C274" s="57" t="s">
        <v>1720</v>
      </c>
      <c r="D274" s="16">
        <v>2</v>
      </c>
      <c r="E274" s="16">
        <v>0</v>
      </c>
      <c r="F274" s="7" t="s">
        <v>151</v>
      </c>
      <c r="G274" s="16" t="s">
        <v>185</v>
      </c>
      <c r="H274" s="16" t="b">
        <v>1</v>
      </c>
      <c r="I274" s="16" t="s">
        <v>27</v>
      </c>
      <c r="J274" s="16" t="s">
        <v>382</v>
      </c>
      <c r="K274" s="16" t="s">
        <v>380</v>
      </c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275" spans="2:19" x14ac:dyDescent="0.3">
      <c r="B275" s="16" t="s">
        <v>1072</v>
      </c>
      <c r="C275" s="57" t="s">
        <v>1720</v>
      </c>
      <c r="D275" s="16">
        <v>1</v>
      </c>
      <c r="E275" s="16">
        <v>0</v>
      </c>
      <c r="F275" s="7" t="s">
        <v>151</v>
      </c>
      <c r="G275" s="16" t="s">
        <v>185</v>
      </c>
      <c r="H275" s="7"/>
      <c r="I275" s="16" t="s">
        <v>382</v>
      </c>
      <c r="J275" s="16" t="s">
        <v>383</v>
      </c>
      <c r="K275" s="16" t="s">
        <v>380</v>
      </c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三国-变态-铁英+盾英+炼英</v>
      </c>
    </row>
    <row r="276" spans="2:19" x14ac:dyDescent="0.3">
      <c r="B276" s="16"/>
      <c r="C276" s="57" t="s">
        <v>1720</v>
      </c>
      <c r="D276" s="16">
        <v>2</v>
      </c>
      <c r="E276" s="16">
        <v>0</v>
      </c>
      <c r="F276" s="7" t="s">
        <v>151</v>
      </c>
      <c r="G276" s="16" t="s">
        <v>185</v>
      </c>
      <c r="H276" s="16" t="b">
        <v>1</v>
      </c>
      <c r="I276" s="16" t="s">
        <v>427</v>
      </c>
      <c r="J276" s="16" t="s">
        <v>380</v>
      </c>
      <c r="K276" s="16" t="s">
        <v>380</v>
      </c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277" spans="2:19" x14ac:dyDescent="0.3">
      <c r="B277" s="16" t="s">
        <v>1073</v>
      </c>
      <c r="C277" s="57" t="s">
        <v>1720</v>
      </c>
      <c r="D277" s="16">
        <v>1</v>
      </c>
      <c r="E277" s="16">
        <v>0</v>
      </c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/>
      <c r="C278" s="57" t="s">
        <v>1720</v>
      </c>
      <c r="D278" s="16">
        <v>2</v>
      </c>
      <c r="E278" s="16">
        <v>0</v>
      </c>
      <c r="F278" s="7" t="s">
        <v>151</v>
      </c>
      <c r="G278" s="16" t="s">
        <v>180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79" spans="2:19" x14ac:dyDescent="0.3">
      <c r="B279" s="16" t="s">
        <v>1074</v>
      </c>
      <c r="C279" s="57" t="s">
        <v>1720</v>
      </c>
      <c r="D279" s="16">
        <v>1</v>
      </c>
      <c r="E279" s="16">
        <v>0</v>
      </c>
      <c r="F279" s="7" t="s">
        <v>151</v>
      </c>
      <c r="G279" s="16" t="s">
        <v>180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80" spans="2:19" x14ac:dyDescent="0.3">
      <c r="B280" s="16"/>
      <c r="C280" s="57" t="s">
        <v>1720</v>
      </c>
      <c r="D280" s="16">
        <v>2</v>
      </c>
      <c r="E280" s="16">
        <v>0</v>
      </c>
      <c r="F280" s="7" t="s">
        <v>151</v>
      </c>
      <c r="G280" s="16" t="s">
        <v>180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57" t="s">
        <v>1720</v>
      </c>
      <c r="D281" s="16">
        <v>1</v>
      </c>
      <c r="E281" s="16">
        <v>0</v>
      </c>
      <c r="F281" s="7" t="s">
        <v>151</v>
      </c>
      <c r="G281" s="16" t="s">
        <v>180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/>
      <c r="C282" s="57" t="s">
        <v>1720</v>
      </c>
      <c r="D282" s="16">
        <v>2</v>
      </c>
      <c r="E282" s="16">
        <v>0</v>
      </c>
      <c r="F282" s="7" t="s">
        <v>151</v>
      </c>
      <c r="G282" s="16" t="s">
        <v>185</v>
      </c>
      <c r="H282" s="16" t="b">
        <v>1</v>
      </c>
      <c r="I282" s="16" t="s">
        <v>391</v>
      </c>
      <c r="J282" s="16" t="s">
        <v>381</v>
      </c>
      <c r="K282" s="16" t="s">
        <v>380</v>
      </c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283" spans="2:19" x14ac:dyDescent="0.3">
      <c r="B283" s="16" t="s">
        <v>1076</v>
      </c>
      <c r="C283" s="57" t="s">
        <v>1720</v>
      </c>
      <c r="D283" s="16">
        <v>1</v>
      </c>
      <c r="E283" s="16">
        <v>0</v>
      </c>
      <c r="F283" s="7" t="s">
        <v>151</v>
      </c>
      <c r="G283" s="16" t="s">
        <v>185</v>
      </c>
      <c r="H283" s="7"/>
      <c r="I283" s="16" t="s">
        <v>383</v>
      </c>
      <c r="J283" s="16" t="s">
        <v>383</v>
      </c>
      <c r="K283" s="16" t="s">
        <v>380</v>
      </c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三国-变态-盾英+炼英+炼英</v>
      </c>
    </row>
    <row r="284" spans="2:19" x14ac:dyDescent="0.3">
      <c r="B284" s="16"/>
      <c r="C284" s="57" t="s">
        <v>1720</v>
      </c>
      <c r="D284" s="16">
        <v>2</v>
      </c>
      <c r="E284" s="16">
        <v>0</v>
      </c>
      <c r="F284" s="7" t="s">
        <v>151</v>
      </c>
      <c r="G284" s="16" t="s">
        <v>185</v>
      </c>
      <c r="H284" s="16" t="b">
        <v>1</v>
      </c>
      <c r="I284" s="16" t="s">
        <v>425</v>
      </c>
      <c r="J284" s="16" t="s">
        <v>380</v>
      </c>
      <c r="K284" s="16" t="s">
        <v>380</v>
      </c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285" spans="2:19" x14ac:dyDescent="0.3">
      <c r="B285" s="16" t="s">
        <v>1077</v>
      </c>
      <c r="C285" s="57" t="s">
        <v>1720</v>
      </c>
      <c r="D285" s="16">
        <v>1</v>
      </c>
      <c r="E285" s="16">
        <v>0</v>
      </c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/>
      <c r="C286" s="57" t="s">
        <v>1720</v>
      </c>
      <c r="D286" s="16">
        <v>2</v>
      </c>
      <c r="E286" s="16">
        <v>0</v>
      </c>
      <c r="F286" s="7" t="s">
        <v>151</v>
      </c>
      <c r="G286" s="16" t="s">
        <v>180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87" spans="2:19" x14ac:dyDescent="0.3">
      <c r="B287" s="16" t="s">
        <v>1078</v>
      </c>
      <c r="C287" s="57" t="s">
        <v>1720</v>
      </c>
      <c r="D287" s="16">
        <v>1</v>
      </c>
      <c r="E287" s="16">
        <v>0</v>
      </c>
      <c r="F287" s="7" t="s">
        <v>151</v>
      </c>
      <c r="G287" s="16" t="s">
        <v>180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288" spans="2:19" x14ac:dyDescent="0.3">
      <c r="B288" s="16"/>
      <c r="C288" s="57" t="s">
        <v>1720</v>
      </c>
      <c r="D288" s="16">
        <v>2</v>
      </c>
      <c r="E288" s="16">
        <v>0</v>
      </c>
      <c r="F288" s="7" t="s">
        <v>151</v>
      </c>
      <c r="G288" s="16" t="s">
        <v>180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57" t="s">
        <v>1720</v>
      </c>
      <c r="D289" s="16">
        <v>1</v>
      </c>
      <c r="E289" s="16">
        <v>0</v>
      </c>
      <c r="F289" s="7" t="s">
        <v>151</v>
      </c>
      <c r="G289" s="16" t="s">
        <v>180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/>
      <c r="C290" s="57" t="s">
        <v>1720</v>
      </c>
      <c r="D290" s="16">
        <v>2</v>
      </c>
      <c r="E290" s="16">
        <v>0</v>
      </c>
      <c r="F290" s="7" t="s">
        <v>151</v>
      </c>
      <c r="G290" s="16" t="s">
        <v>185</v>
      </c>
      <c r="H290" s="16" t="b">
        <v>1</v>
      </c>
      <c r="I290" s="16" t="s">
        <v>410</v>
      </c>
      <c r="J290" s="16" t="s">
        <v>385</v>
      </c>
      <c r="K290" s="16" t="s">
        <v>380</v>
      </c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291" spans="2:19" x14ac:dyDescent="0.3">
      <c r="B291" s="16" t="s">
        <v>1080</v>
      </c>
      <c r="C291" s="57" t="s">
        <v>1720</v>
      </c>
      <c r="D291" s="16">
        <v>1</v>
      </c>
      <c r="E291" s="16">
        <v>0</v>
      </c>
      <c r="F291" s="7" t="s">
        <v>151</v>
      </c>
      <c r="G291" s="16" t="s">
        <v>185</v>
      </c>
      <c r="H291" s="7"/>
      <c r="I291" s="16" t="s">
        <v>382</v>
      </c>
      <c r="J291" s="16" t="s">
        <v>382</v>
      </c>
      <c r="K291" s="16" t="s">
        <v>381</v>
      </c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三国-变态-铁英+铁英+强英</v>
      </c>
    </row>
    <row r="292" spans="2:19" x14ac:dyDescent="0.3">
      <c r="B292" s="16"/>
      <c r="C292" s="57" t="s">
        <v>1720</v>
      </c>
      <c r="D292" s="16">
        <v>2</v>
      </c>
      <c r="E292" s="16">
        <v>0</v>
      </c>
      <c r="F292" s="7" t="s">
        <v>151</v>
      </c>
      <c r="G292" s="16" t="s">
        <v>185</v>
      </c>
      <c r="H292" s="16" t="b">
        <v>1</v>
      </c>
      <c r="I292" s="16" t="s">
        <v>401</v>
      </c>
      <c r="J292" s="16" t="s">
        <v>385</v>
      </c>
      <c r="K292" s="16" t="s">
        <v>380</v>
      </c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293" spans="2:19" x14ac:dyDescent="0.3">
      <c r="B293" s="16" t="s">
        <v>1081</v>
      </c>
      <c r="C293" s="57" t="s">
        <v>1720</v>
      </c>
      <c r="D293" s="16">
        <v>1</v>
      </c>
      <c r="E293" s="16">
        <v>0</v>
      </c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/>
      <c r="C294" s="57" t="s">
        <v>1720</v>
      </c>
      <c r="D294" s="16">
        <v>2</v>
      </c>
      <c r="E294" s="16">
        <v>0</v>
      </c>
      <c r="F294" s="7" t="s">
        <v>151</v>
      </c>
      <c r="G294" s="16" t="s">
        <v>180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95" spans="2:19" x14ac:dyDescent="0.3">
      <c r="B295" s="16" t="s">
        <v>1082</v>
      </c>
      <c r="C295" s="57" t="s">
        <v>1720</v>
      </c>
      <c r="D295" s="16">
        <v>1</v>
      </c>
      <c r="E295" s="16">
        <v>0</v>
      </c>
      <c r="F295" s="7" t="s">
        <v>151</v>
      </c>
      <c r="G295" s="16" t="s">
        <v>180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96" spans="2:19" x14ac:dyDescent="0.3">
      <c r="B296" s="16"/>
      <c r="C296" s="57" t="s">
        <v>1720</v>
      </c>
      <c r="D296" s="16">
        <v>2</v>
      </c>
      <c r="E296" s="16">
        <v>0</v>
      </c>
      <c r="F296" s="7" t="s">
        <v>151</v>
      </c>
      <c r="G296" s="16" t="s">
        <v>180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57" t="s">
        <v>1720</v>
      </c>
      <c r="D297" s="16">
        <v>1</v>
      </c>
      <c r="E297" s="16">
        <v>0</v>
      </c>
      <c r="F297" s="7" t="s">
        <v>151</v>
      </c>
      <c r="G297" s="16" t="s">
        <v>180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/>
      <c r="C298" s="57" t="s">
        <v>1720</v>
      </c>
      <c r="D298" s="16">
        <v>2</v>
      </c>
      <c r="E298" s="16">
        <v>0</v>
      </c>
      <c r="F298" s="7" t="s">
        <v>151</v>
      </c>
      <c r="G298" s="16" t="s">
        <v>185</v>
      </c>
      <c r="H298" s="16" t="b">
        <v>1</v>
      </c>
      <c r="I298" s="16" t="s">
        <v>420</v>
      </c>
      <c r="J298" s="16" t="s">
        <v>384</v>
      </c>
      <c r="K298" s="16" t="s">
        <v>380</v>
      </c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299" spans="2:19" x14ac:dyDescent="0.3">
      <c r="B299" s="16" t="s">
        <v>1084</v>
      </c>
      <c r="C299" s="57" t="s">
        <v>1720</v>
      </c>
      <c r="D299" s="16">
        <v>1</v>
      </c>
      <c r="E299" s="16">
        <v>0</v>
      </c>
      <c r="F299" s="7" t="s">
        <v>151</v>
      </c>
      <c r="G299" s="16" t="s">
        <v>185</v>
      </c>
      <c r="H299" s="7"/>
      <c r="I299" s="16" t="s">
        <v>381</v>
      </c>
      <c r="J299" s="16" t="s">
        <v>382</v>
      </c>
      <c r="K299" s="16" t="s">
        <v>380</v>
      </c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00" spans="2:19" x14ac:dyDescent="0.3">
      <c r="B300" s="16"/>
      <c r="C300" s="57" t="s">
        <v>1720</v>
      </c>
      <c r="D300" s="16">
        <v>2</v>
      </c>
      <c r="E300" s="16">
        <v>0</v>
      </c>
      <c r="F300" s="7" t="s">
        <v>151</v>
      </c>
      <c r="G300" s="16" t="s">
        <v>185</v>
      </c>
      <c r="H300" s="16" t="b">
        <v>1</v>
      </c>
      <c r="I300" s="16" t="s">
        <v>431</v>
      </c>
      <c r="J300" s="16" t="s">
        <v>385</v>
      </c>
      <c r="K300" s="16" t="s">
        <v>380</v>
      </c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01" spans="2:19" x14ac:dyDescent="0.3">
      <c r="B301" s="16" t="s">
        <v>1085</v>
      </c>
      <c r="C301" s="57" t="s">
        <v>1720</v>
      </c>
      <c r="D301" s="16">
        <v>1</v>
      </c>
      <c r="E301" s="16">
        <v>0</v>
      </c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/>
      <c r="C302" s="57" t="s">
        <v>1720</v>
      </c>
      <c r="D302" s="16">
        <v>2</v>
      </c>
      <c r="E302" s="16">
        <v>0</v>
      </c>
      <c r="F302" s="7" t="s">
        <v>151</v>
      </c>
      <c r="G302" s="16" t="s">
        <v>180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03" spans="2:19" x14ac:dyDescent="0.3">
      <c r="B303" s="16" t="s">
        <v>1086</v>
      </c>
      <c r="C303" s="57" t="s">
        <v>1720</v>
      </c>
      <c r="D303" s="16">
        <v>1</v>
      </c>
      <c r="E303" s="16">
        <v>0</v>
      </c>
      <c r="F303" s="7" t="s">
        <v>151</v>
      </c>
      <c r="G303" s="16" t="s">
        <v>180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04" spans="2:19" x14ac:dyDescent="0.3">
      <c r="B304" s="16"/>
      <c r="C304" s="57" t="s">
        <v>1720</v>
      </c>
      <c r="D304" s="16">
        <v>2</v>
      </c>
      <c r="E304" s="16">
        <v>0</v>
      </c>
      <c r="F304" s="7" t="s">
        <v>151</v>
      </c>
      <c r="G304" s="16" t="s">
        <v>180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57" t="s">
        <v>1720</v>
      </c>
      <c r="D305" s="16">
        <v>1</v>
      </c>
      <c r="E305" s="16">
        <v>0</v>
      </c>
      <c r="F305" s="7" t="s">
        <v>151</v>
      </c>
      <c r="G305" s="16" t="s">
        <v>180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/>
      <c r="C306" s="57" t="s">
        <v>1720</v>
      </c>
      <c r="D306" s="16">
        <v>2</v>
      </c>
      <c r="E306" s="16">
        <v>0</v>
      </c>
      <c r="F306" s="7" t="s">
        <v>151</v>
      </c>
      <c r="G306" s="16" t="s">
        <v>185</v>
      </c>
      <c r="H306" s="16" t="b">
        <v>1</v>
      </c>
      <c r="I306" s="16" t="s">
        <v>431</v>
      </c>
      <c r="J306" s="16" t="s">
        <v>384</v>
      </c>
      <c r="K306" s="16" t="s">
        <v>380</v>
      </c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07" spans="2:19" x14ac:dyDescent="0.3">
      <c r="B307" s="16" t="s">
        <v>1088</v>
      </c>
      <c r="C307" s="57" t="s">
        <v>1720</v>
      </c>
      <c r="D307" s="16">
        <v>1</v>
      </c>
      <c r="E307" s="16">
        <v>0</v>
      </c>
      <c r="F307" s="7" t="s">
        <v>151</v>
      </c>
      <c r="G307" s="16" t="s">
        <v>185</v>
      </c>
      <c r="H307" s="7"/>
      <c r="I307" s="16" t="s">
        <v>382</v>
      </c>
      <c r="J307" s="16" t="s">
        <v>385</v>
      </c>
      <c r="K307" s="16" t="s">
        <v>380</v>
      </c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08" spans="2:19" x14ac:dyDescent="0.3">
      <c r="B308" s="16"/>
      <c r="C308" s="57" t="s">
        <v>1720</v>
      </c>
      <c r="D308" s="16">
        <v>2</v>
      </c>
      <c r="E308" s="16">
        <v>0</v>
      </c>
      <c r="F308" s="7" t="s">
        <v>151</v>
      </c>
      <c r="G308" s="16" t="s">
        <v>185</v>
      </c>
      <c r="H308" s="16" t="b">
        <v>1</v>
      </c>
      <c r="I308" s="16" t="s">
        <v>428</v>
      </c>
      <c r="J308" s="16" t="s">
        <v>385</v>
      </c>
      <c r="K308" s="16" t="s">
        <v>380</v>
      </c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三国-变态-[B]盾英+盾英+刺英</v>
      </c>
    </row>
    <row r="309" spans="2:19" x14ac:dyDescent="0.3">
      <c r="B309" s="16" t="s">
        <v>1089</v>
      </c>
      <c r="C309" s="57" t="s">
        <v>1720</v>
      </c>
      <c r="D309" s="16">
        <v>1</v>
      </c>
      <c r="E309" s="16">
        <v>0</v>
      </c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/>
      <c r="C310" s="57" t="s">
        <v>1720</v>
      </c>
      <c r="D310" s="16">
        <v>2</v>
      </c>
      <c r="E310" s="16">
        <v>0</v>
      </c>
      <c r="F310" s="7" t="s">
        <v>151</v>
      </c>
      <c r="G310" s="16" t="s">
        <v>180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11" spans="2:19" x14ac:dyDescent="0.3">
      <c r="B311" s="16" t="s">
        <v>1090</v>
      </c>
      <c r="C311" s="57" t="s">
        <v>1720</v>
      </c>
      <c r="D311" s="16">
        <v>1</v>
      </c>
      <c r="E311" s="16">
        <v>0</v>
      </c>
      <c r="F311" s="7" t="s">
        <v>151</v>
      </c>
      <c r="G311" s="16" t="s">
        <v>180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12" spans="2:19" x14ac:dyDescent="0.3">
      <c r="B312" s="16"/>
      <c r="C312" s="57" t="s">
        <v>1720</v>
      </c>
      <c r="D312" s="16">
        <v>2</v>
      </c>
      <c r="E312" s="16">
        <v>0</v>
      </c>
      <c r="F312" s="7" t="s">
        <v>151</v>
      </c>
      <c r="G312" s="16" t="s">
        <v>180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57" t="s">
        <v>1720</v>
      </c>
      <c r="D313" s="16">
        <v>1</v>
      </c>
      <c r="E313" s="16">
        <v>0</v>
      </c>
      <c r="F313" s="7" t="s">
        <v>151</v>
      </c>
      <c r="G313" s="16" t="s">
        <v>180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/>
      <c r="C314" s="57" t="s">
        <v>1720</v>
      </c>
      <c r="D314" s="16">
        <v>2</v>
      </c>
      <c r="E314" s="16">
        <v>0</v>
      </c>
      <c r="F314" s="7" t="s">
        <v>151</v>
      </c>
      <c r="G314" s="16" t="s">
        <v>185</v>
      </c>
      <c r="H314" s="16" t="b">
        <v>1</v>
      </c>
      <c r="I314" s="16" t="s">
        <v>399</v>
      </c>
      <c r="J314" s="16" t="s">
        <v>381</v>
      </c>
      <c r="K314" s="16" t="s">
        <v>380</v>
      </c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15" spans="2:19" x14ac:dyDescent="0.3">
      <c r="B315" s="16" t="s">
        <v>1092</v>
      </c>
      <c r="C315" s="57" t="s">
        <v>1720</v>
      </c>
      <c r="D315" s="16">
        <v>1</v>
      </c>
      <c r="E315" s="16">
        <v>0</v>
      </c>
      <c r="F315" s="7" t="s">
        <v>151</v>
      </c>
      <c r="G315" s="16" t="s">
        <v>185</v>
      </c>
      <c r="H315" s="7"/>
      <c r="I315" s="16" t="s">
        <v>385</v>
      </c>
      <c r="J315" s="16" t="s">
        <v>385</v>
      </c>
      <c r="K315" s="16" t="s">
        <v>380</v>
      </c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三国-变态-盾英+刺英+刺英</v>
      </c>
    </row>
    <row r="316" spans="2:19" x14ac:dyDescent="0.3">
      <c r="B316" s="16"/>
      <c r="C316" s="57" t="s">
        <v>1720</v>
      </c>
      <c r="D316" s="16">
        <v>2</v>
      </c>
      <c r="E316" s="16">
        <v>0</v>
      </c>
      <c r="F316" s="7" t="s">
        <v>151</v>
      </c>
      <c r="G316" s="16" t="s">
        <v>185</v>
      </c>
      <c r="H316" s="16" t="b">
        <v>1</v>
      </c>
      <c r="I316" s="16" t="s">
        <v>412</v>
      </c>
      <c r="J316" s="16" t="s">
        <v>384</v>
      </c>
      <c r="K316" s="16" t="s">
        <v>380</v>
      </c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三国-变态-[B]铁英+盾英+法英</v>
      </c>
    </row>
    <row r="317" spans="2:19" x14ac:dyDescent="0.3">
      <c r="B317" s="16" t="s">
        <v>1230</v>
      </c>
      <c r="C317" s="57" t="s">
        <v>1720</v>
      </c>
      <c r="D317" s="16">
        <v>1</v>
      </c>
      <c r="E317" s="16">
        <v>0</v>
      </c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/>
      <c r="C318" s="57" t="s">
        <v>1720</v>
      </c>
      <c r="D318" s="16">
        <v>2</v>
      </c>
      <c r="E318" s="16">
        <v>0</v>
      </c>
      <c r="F318" s="7" t="s">
        <v>151</v>
      </c>
      <c r="G318" s="16" t="s">
        <v>180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19" spans="2:19" x14ac:dyDescent="0.3">
      <c r="B319" s="16" t="s">
        <v>1231</v>
      </c>
      <c r="C319" s="57" t="s">
        <v>1720</v>
      </c>
      <c r="D319" s="16">
        <v>1</v>
      </c>
      <c r="E319" s="16">
        <v>0</v>
      </c>
      <c r="F319" s="7" t="s">
        <v>151</v>
      </c>
      <c r="G319" s="16" t="s">
        <v>180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20" spans="2:19" x14ac:dyDescent="0.3">
      <c r="B320" s="16"/>
      <c r="C320" s="57" t="s">
        <v>1720</v>
      </c>
      <c r="D320" s="16">
        <v>2</v>
      </c>
      <c r="E320" s="16">
        <v>0</v>
      </c>
      <c r="F320" s="7" t="s">
        <v>151</v>
      </c>
      <c r="G320" s="16" t="s">
        <v>180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1232</v>
      </c>
      <c r="C321" s="57" t="s">
        <v>1720</v>
      </c>
      <c r="D321" s="16">
        <v>1</v>
      </c>
      <c r="E321" s="16">
        <v>0</v>
      </c>
      <c r="F321" s="7" t="s">
        <v>151</v>
      </c>
      <c r="G321" s="16" t="s">
        <v>180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/>
      <c r="C322" s="57" t="s">
        <v>1720</v>
      </c>
      <c r="D322" s="16">
        <v>2</v>
      </c>
      <c r="E322" s="16">
        <v>0</v>
      </c>
      <c r="F322" s="7" t="s">
        <v>151</v>
      </c>
      <c r="G322" s="16" t="s">
        <v>185</v>
      </c>
      <c r="H322" s="16" t="b">
        <v>1</v>
      </c>
      <c r="I322" s="16" t="s">
        <v>424</v>
      </c>
      <c r="J322" s="16" t="s">
        <v>385</v>
      </c>
      <c r="K322" s="16" t="s">
        <v>380</v>
      </c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23" spans="2:19" x14ac:dyDescent="0.3">
      <c r="B323" s="16" t="s">
        <v>1233</v>
      </c>
      <c r="C323" s="57" t="s">
        <v>1720</v>
      </c>
      <c r="D323" s="16">
        <v>1</v>
      </c>
      <c r="E323" s="16">
        <v>0</v>
      </c>
      <c r="F323" s="7" t="s">
        <v>151</v>
      </c>
      <c r="G323" s="16" t="s">
        <v>185</v>
      </c>
      <c r="H323" s="7"/>
      <c r="I323" s="16" t="s">
        <v>383</v>
      </c>
      <c r="J323" s="16" t="s">
        <v>381</v>
      </c>
      <c r="K323" s="16" t="s">
        <v>380</v>
      </c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24" spans="2:19" x14ac:dyDescent="0.3">
      <c r="B324" s="16"/>
      <c r="C324" s="57" t="s">
        <v>1720</v>
      </c>
      <c r="D324" s="16">
        <v>2</v>
      </c>
      <c r="E324" s="16">
        <v>0</v>
      </c>
      <c r="F324" s="7" t="s">
        <v>151</v>
      </c>
      <c r="G324" s="16" t="s">
        <v>185</v>
      </c>
      <c r="H324" s="16" t="b">
        <v>1</v>
      </c>
      <c r="I324" s="16" t="s">
        <v>404</v>
      </c>
      <c r="J324" s="16" t="s">
        <v>383</v>
      </c>
      <c r="K324" s="16" t="s">
        <v>380</v>
      </c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25" spans="2:19" x14ac:dyDescent="0.3">
      <c r="B325" s="16" t="s">
        <v>1093</v>
      </c>
      <c r="C325" s="57" t="s">
        <v>1720</v>
      </c>
      <c r="D325" s="16">
        <v>1</v>
      </c>
      <c r="E325" s="16">
        <v>0</v>
      </c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/>
      <c r="C326" s="57" t="s">
        <v>1720</v>
      </c>
      <c r="D326" s="16">
        <v>2</v>
      </c>
      <c r="E326" s="16">
        <v>0</v>
      </c>
      <c r="F326" s="7" t="s">
        <v>151</v>
      </c>
      <c r="G326" s="16" t="s">
        <v>180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7" spans="2:19" x14ac:dyDescent="0.3">
      <c r="B327" s="16" t="s">
        <v>1094</v>
      </c>
      <c r="C327" s="57" t="s">
        <v>1720</v>
      </c>
      <c r="D327" s="16">
        <v>1</v>
      </c>
      <c r="E327" s="16">
        <v>0</v>
      </c>
      <c r="F327" s="7" t="s">
        <v>151</v>
      </c>
      <c r="G327" s="16" t="s">
        <v>180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8" spans="2:19" x14ac:dyDescent="0.3">
      <c r="B328" s="16"/>
      <c r="C328" s="57" t="s">
        <v>1720</v>
      </c>
      <c r="D328" s="16">
        <v>2</v>
      </c>
      <c r="E328" s="16">
        <v>0</v>
      </c>
      <c r="F328" s="7" t="s">
        <v>151</v>
      </c>
      <c r="G328" s="16" t="s">
        <v>180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57" t="s">
        <v>1720</v>
      </c>
      <c r="D329" s="16">
        <v>1</v>
      </c>
      <c r="E329" s="16">
        <v>0</v>
      </c>
      <c r="F329" s="7" t="s">
        <v>151</v>
      </c>
      <c r="G329" s="16" t="s">
        <v>180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/>
      <c r="C330" s="57" t="s">
        <v>1720</v>
      </c>
      <c r="D330" s="16">
        <v>2</v>
      </c>
      <c r="E330" s="16">
        <v>0</v>
      </c>
      <c r="F330" s="7" t="s">
        <v>151</v>
      </c>
      <c r="G330" s="16" t="s">
        <v>185</v>
      </c>
      <c r="H330" s="16" t="b">
        <v>1</v>
      </c>
      <c r="I330" s="16" t="s">
        <v>419</v>
      </c>
      <c r="J330" s="16" t="s">
        <v>383</v>
      </c>
      <c r="K330" s="16" t="s">
        <v>380</v>
      </c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31" spans="2:19" x14ac:dyDescent="0.3">
      <c r="B331" s="16" t="s">
        <v>1096</v>
      </c>
      <c r="C331" s="57" t="s">
        <v>1720</v>
      </c>
      <c r="D331" s="16">
        <v>1</v>
      </c>
      <c r="E331" s="16">
        <v>0</v>
      </c>
      <c r="F331" s="7" t="s">
        <v>151</v>
      </c>
      <c r="G331" s="16" t="s">
        <v>185</v>
      </c>
      <c r="H331" s="7"/>
      <c r="I331" s="16" t="s">
        <v>382</v>
      </c>
      <c r="J331" s="16" t="s">
        <v>384</v>
      </c>
      <c r="K331" s="16" t="s">
        <v>380</v>
      </c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三国-变态-铁英+盾英+法英</v>
      </c>
    </row>
    <row r="332" spans="2:19" x14ac:dyDescent="0.3">
      <c r="B332" s="16"/>
      <c r="C332" s="57" t="s">
        <v>1720</v>
      </c>
      <c r="D332" s="16">
        <v>2</v>
      </c>
      <c r="E332" s="16">
        <v>0</v>
      </c>
      <c r="F332" s="7" t="s">
        <v>151</v>
      </c>
      <c r="G332" s="16" t="s">
        <v>185</v>
      </c>
      <c r="H332" s="16" t="b">
        <v>1</v>
      </c>
      <c r="I332" s="16" t="s">
        <v>415</v>
      </c>
      <c r="J332" s="16" t="s">
        <v>385</v>
      </c>
      <c r="K332" s="16" t="s">
        <v>380</v>
      </c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三国-变态-[B]盾英+法英+刺英</v>
      </c>
    </row>
    <row r="333" spans="2:19" x14ac:dyDescent="0.3">
      <c r="B333" s="16" t="s">
        <v>1097</v>
      </c>
      <c r="C333" s="57" t="s">
        <v>1720</v>
      </c>
      <c r="D333" s="16">
        <v>1</v>
      </c>
      <c r="E333" s="16">
        <v>0</v>
      </c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/>
      <c r="C334" s="57" t="s">
        <v>1720</v>
      </c>
      <c r="D334" s="16">
        <v>2</v>
      </c>
      <c r="E334" s="16">
        <v>0</v>
      </c>
      <c r="F334" s="7" t="s">
        <v>151</v>
      </c>
      <c r="G334" s="16" t="s">
        <v>180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335" spans="2:19" x14ac:dyDescent="0.3">
      <c r="B335" s="16" t="s">
        <v>1098</v>
      </c>
      <c r="C335" s="57" t="s">
        <v>1720</v>
      </c>
      <c r="D335" s="16">
        <v>1</v>
      </c>
      <c r="E335" s="16">
        <v>0</v>
      </c>
      <c r="F335" s="7" t="s">
        <v>151</v>
      </c>
      <c r="G335" s="16" t="s">
        <v>180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36" spans="2:19" x14ac:dyDescent="0.3">
      <c r="B336" s="16"/>
      <c r="C336" s="57" t="s">
        <v>1720</v>
      </c>
      <c r="D336" s="16">
        <v>2</v>
      </c>
      <c r="E336" s="16">
        <v>0</v>
      </c>
      <c r="F336" s="7" t="s">
        <v>151</v>
      </c>
      <c r="G336" s="16" t="s">
        <v>180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57" t="s">
        <v>1720</v>
      </c>
      <c r="D337" s="16">
        <v>1</v>
      </c>
      <c r="E337" s="16">
        <v>0</v>
      </c>
      <c r="F337" s="7" t="s">
        <v>151</v>
      </c>
      <c r="G337" s="16" t="s">
        <v>180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/>
      <c r="C338" s="57" t="s">
        <v>1720</v>
      </c>
      <c r="D338" s="16">
        <v>2</v>
      </c>
      <c r="E338" s="16">
        <v>0</v>
      </c>
      <c r="F338" s="7" t="s">
        <v>151</v>
      </c>
      <c r="G338" s="16" t="s">
        <v>185</v>
      </c>
      <c r="H338" s="16" t="b">
        <v>1</v>
      </c>
      <c r="I338" s="16" t="s">
        <v>423</v>
      </c>
      <c r="J338" s="16" t="s">
        <v>382</v>
      </c>
      <c r="K338" s="16" t="s">
        <v>381</v>
      </c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  <row r="339" spans="2:19" x14ac:dyDescent="0.3">
      <c r="B339" s="16" t="s">
        <v>1100</v>
      </c>
      <c r="C339" s="57" t="s">
        <v>1720</v>
      </c>
      <c r="D339" s="16">
        <v>1</v>
      </c>
      <c r="E339" s="16">
        <v>0</v>
      </c>
      <c r="F339" s="7" t="s">
        <v>151</v>
      </c>
      <c r="G339" s="16" t="s">
        <v>185</v>
      </c>
      <c r="H339" s="7"/>
      <c r="I339" s="16" t="s">
        <v>383</v>
      </c>
      <c r="J339" s="16" t="s">
        <v>381</v>
      </c>
      <c r="K339" s="16" t="s">
        <v>380</v>
      </c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40" spans="2:19" x14ac:dyDescent="0.3">
      <c r="B340" s="16"/>
      <c r="C340" s="57" t="s">
        <v>1720</v>
      </c>
      <c r="D340" s="16">
        <v>2</v>
      </c>
      <c r="E340" s="16">
        <v>0</v>
      </c>
      <c r="F340" s="7" t="s">
        <v>151</v>
      </c>
      <c r="G340" s="16" t="s">
        <v>185</v>
      </c>
      <c r="H340" s="16" t="b">
        <v>1</v>
      </c>
      <c r="I340" s="16" t="s">
        <v>403</v>
      </c>
      <c r="J340" s="16" t="s">
        <v>384</v>
      </c>
      <c r="K340" s="16" t="s">
        <v>380</v>
      </c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三国-变态-[B]盾英+法英+法英</v>
      </c>
    </row>
    <row r="341" spans="2:19" x14ac:dyDescent="0.3">
      <c r="B341" s="16" t="s">
        <v>1101</v>
      </c>
      <c r="C341" s="57" t="s">
        <v>1720</v>
      </c>
      <c r="D341" s="16">
        <v>1</v>
      </c>
      <c r="E341" s="16">
        <v>0</v>
      </c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/>
      <c r="C342" s="57" t="s">
        <v>1720</v>
      </c>
      <c r="D342" s="16">
        <v>2</v>
      </c>
      <c r="E342" s="16">
        <v>0</v>
      </c>
      <c r="F342" s="7" t="s">
        <v>151</v>
      </c>
      <c r="G342" s="16" t="s">
        <v>180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43" spans="2:19" x14ac:dyDescent="0.3">
      <c r="B343" s="16" t="s">
        <v>1102</v>
      </c>
      <c r="C343" s="57" t="s">
        <v>1720</v>
      </c>
      <c r="D343" s="16">
        <v>1</v>
      </c>
      <c r="E343" s="16">
        <v>0</v>
      </c>
      <c r="F343" s="7" t="s">
        <v>151</v>
      </c>
      <c r="G343" s="16" t="s">
        <v>180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44" spans="2:19" x14ac:dyDescent="0.3">
      <c r="B344" s="16"/>
      <c r="C344" s="57" t="s">
        <v>1720</v>
      </c>
      <c r="D344" s="16">
        <v>2</v>
      </c>
      <c r="E344" s="16">
        <v>0</v>
      </c>
      <c r="F344" s="7" t="s">
        <v>151</v>
      </c>
      <c r="G344" s="16" t="s">
        <v>180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57" t="s">
        <v>1720</v>
      </c>
      <c r="D345" s="16">
        <v>1</v>
      </c>
      <c r="E345" s="16">
        <v>0</v>
      </c>
      <c r="F345" s="7" t="s">
        <v>151</v>
      </c>
      <c r="G345" s="16" t="s">
        <v>180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/>
      <c r="C346" s="57" t="s">
        <v>1720</v>
      </c>
      <c r="D346" s="16">
        <v>2</v>
      </c>
      <c r="E346" s="16">
        <v>0</v>
      </c>
      <c r="F346" s="7" t="s">
        <v>151</v>
      </c>
      <c r="G346" s="16" t="s">
        <v>185</v>
      </c>
      <c r="H346" s="16" t="b">
        <v>1</v>
      </c>
      <c r="I346" s="16" t="s">
        <v>421</v>
      </c>
      <c r="J346" s="16" t="s">
        <v>382</v>
      </c>
      <c r="K346" s="16" t="s">
        <v>380</v>
      </c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47" spans="2:19" x14ac:dyDescent="0.3">
      <c r="B347" s="16" t="s">
        <v>1104</v>
      </c>
      <c r="C347" s="57" t="s">
        <v>1720</v>
      </c>
      <c r="D347" s="16">
        <v>1</v>
      </c>
      <c r="E347" s="16">
        <v>0</v>
      </c>
      <c r="F347" s="7" t="s">
        <v>151</v>
      </c>
      <c r="G347" s="16" t="s">
        <v>185</v>
      </c>
      <c r="H347" s="7"/>
      <c r="I347" s="16" t="s">
        <v>385</v>
      </c>
      <c r="J347" s="16" t="s">
        <v>380</v>
      </c>
      <c r="K347" s="16" t="s">
        <v>380</v>
      </c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三国-变态-盾英+盾英+刺英</v>
      </c>
    </row>
    <row r="348" spans="2:19" x14ac:dyDescent="0.3">
      <c r="B348" s="16"/>
      <c r="C348" s="57" t="s">
        <v>1720</v>
      </c>
      <c r="D348" s="16">
        <v>2</v>
      </c>
      <c r="E348" s="16">
        <v>0</v>
      </c>
      <c r="F348" s="7" t="s">
        <v>151</v>
      </c>
      <c r="G348" s="16" t="s">
        <v>185</v>
      </c>
      <c r="H348" s="16" t="b">
        <v>1</v>
      </c>
      <c r="I348" s="16" t="s">
        <v>415</v>
      </c>
      <c r="J348" s="16" t="s">
        <v>380</v>
      </c>
      <c r="K348" s="16" t="s">
        <v>380</v>
      </c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三国-变态-[B]盾英+盾英+法英</v>
      </c>
    </row>
    <row r="349" spans="2:19" x14ac:dyDescent="0.3">
      <c r="B349" s="16" t="s">
        <v>1105</v>
      </c>
      <c r="C349" s="57" t="s">
        <v>1720</v>
      </c>
      <c r="D349" s="16">
        <v>1</v>
      </c>
      <c r="E349" s="16">
        <v>0</v>
      </c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/>
      <c r="C350" s="57" t="s">
        <v>1720</v>
      </c>
      <c r="D350" s="16">
        <v>2</v>
      </c>
      <c r="E350" s="16">
        <v>0</v>
      </c>
      <c r="F350" s="7" t="s">
        <v>151</v>
      </c>
      <c r="G350" s="16" t="s">
        <v>180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51" spans="2:19" x14ac:dyDescent="0.3">
      <c r="B351" s="16" t="s">
        <v>1106</v>
      </c>
      <c r="C351" s="57" t="s">
        <v>1720</v>
      </c>
      <c r="D351" s="16">
        <v>1</v>
      </c>
      <c r="E351" s="16">
        <v>0</v>
      </c>
      <c r="F351" s="7" t="s">
        <v>151</v>
      </c>
      <c r="G351" s="16" t="s">
        <v>180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52" spans="2:19" x14ac:dyDescent="0.3">
      <c r="B352" s="16"/>
      <c r="C352" s="57" t="s">
        <v>1720</v>
      </c>
      <c r="D352" s="16">
        <v>2</v>
      </c>
      <c r="E352" s="16">
        <v>0</v>
      </c>
      <c r="F352" s="7" t="s">
        <v>151</v>
      </c>
      <c r="G352" s="16" t="s">
        <v>180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57" t="s">
        <v>1720</v>
      </c>
      <c r="D353" s="16">
        <v>1</v>
      </c>
      <c r="E353" s="16">
        <v>0</v>
      </c>
      <c r="F353" s="7" t="s">
        <v>151</v>
      </c>
      <c r="G353" s="16" t="s">
        <v>180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/>
      <c r="C354" s="57" t="s">
        <v>1720</v>
      </c>
      <c r="D354" s="16">
        <v>2</v>
      </c>
      <c r="E354" s="16">
        <v>0</v>
      </c>
      <c r="F354" s="7" t="s">
        <v>151</v>
      </c>
      <c r="G354" s="16" t="s">
        <v>185</v>
      </c>
      <c r="H354" s="16" t="b">
        <v>1</v>
      </c>
      <c r="I354" s="16" t="s">
        <v>426</v>
      </c>
      <c r="J354" s="16" t="s">
        <v>385</v>
      </c>
      <c r="K354" s="16" t="s">
        <v>380</v>
      </c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三国-变态-[B]铁英+盾英+刺英</v>
      </c>
    </row>
    <row r="355" spans="2:19" x14ac:dyDescent="0.3">
      <c r="B355" s="16" t="s">
        <v>1108</v>
      </c>
      <c r="C355" s="57" t="s">
        <v>1720</v>
      </c>
      <c r="D355" s="16">
        <v>1</v>
      </c>
      <c r="E355" s="16">
        <v>0</v>
      </c>
      <c r="F355" s="7" t="s">
        <v>151</v>
      </c>
      <c r="G355" s="16" t="s">
        <v>185</v>
      </c>
      <c r="H355" s="7"/>
      <c r="I355" s="16" t="s">
        <v>385</v>
      </c>
      <c r="J355" s="16" t="s">
        <v>382</v>
      </c>
      <c r="K355" s="16" t="s">
        <v>380</v>
      </c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三国-变态-铁英+盾英+刺英</v>
      </c>
    </row>
    <row r="356" spans="2:19" x14ac:dyDescent="0.3">
      <c r="B356" s="16"/>
      <c r="C356" s="57" t="s">
        <v>1720</v>
      </c>
      <c r="D356" s="16">
        <v>2</v>
      </c>
      <c r="E356" s="16">
        <v>0</v>
      </c>
      <c r="F356" s="7" t="s">
        <v>151</v>
      </c>
      <c r="G356" s="16" t="s">
        <v>185</v>
      </c>
      <c r="H356" s="16" t="b">
        <v>1</v>
      </c>
      <c r="I356" s="16" t="s">
        <v>414</v>
      </c>
      <c r="J356" s="16" t="s">
        <v>382</v>
      </c>
      <c r="K356" s="16" t="s">
        <v>380</v>
      </c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三国-变态-[B]铁英+盾英+炼英</v>
      </c>
    </row>
    <row r="357" spans="2:19" x14ac:dyDescent="0.3">
      <c r="B357" s="16" t="s">
        <v>1109</v>
      </c>
      <c r="C357" s="57" t="s">
        <v>1720</v>
      </c>
      <c r="D357" s="16">
        <v>1</v>
      </c>
      <c r="E357" s="16">
        <v>0</v>
      </c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/>
      <c r="C358" s="57" t="s">
        <v>1720</v>
      </c>
      <c r="D358" s="16">
        <v>2</v>
      </c>
      <c r="E358" s="16">
        <v>0</v>
      </c>
      <c r="F358" s="7" t="s">
        <v>151</v>
      </c>
      <c r="G358" s="16" t="s">
        <v>180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9" spans="2:19" x14ac:dyDescent="0.3">
      <c r="B359" s="16" t="s">
        <v>1110</v>
      </c>
      <c r="C359" s="57" t="s">
        <v>1720</v>
      </c>
      <c r="D359" s="16">
        <v>1</v>
      </c>
      <c r="E359" s="16">
        <v>0</v>
      </c>
      <c r="F359" s="7" t="s">
        <v>151</v>
      </c>
      <c r="G359" s="16" t="s">
        <v>180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60" spans="2:19" x14ac:dyDescent="0.3">
      <c r="B360" s="16"/>
      <c r="C360" s="57" t="s">
        <v>1720</v>
      </c>
      <c r="D360" s="16">
        <v>2</v>
      </c>
      <c r="E360" s="16">
        <v>0</v>
      </c>
      <c r="F360" s="7" t="s">
        <v>151</v>
      </c>
      <c r="G360" s="16" t="s">
        <v>180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57" t="s">
        <v>1720</v>
      </c>
      <c r="D361" s="16">
        <v>1</v>
      </c>
      <c r="E361" s="16">
        <v>0</v>
      </c>
      <c r="F361" s="7" t="s">
        <v>151</v>
      </c>
      <c r="G361" s="16" t="s">
        <v>180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/>
      <c r="C362" s="57" t="s">
        <v>1720</v>
      </c>
      <c r="D362" s="16">
        <v>2</v>
      </c>
      <c r="E362" s="16">
        <v>0</v>
      </c>
      <c r="F362" s="7" t="s">
        <v>151</v>
      </c>
      <c r="G362" s="16" t="s">
        <v>185</v>
      </c>
      <c r="H362" s="16" t="b">
        <v>1</v>
      </c>
      <c r="I362" s="16" t="s">
        <v>415</v>
      </c>
      <c r="J362" s="16" t="s">
        <v>381</v>
      </c>
      <c r="K362" s="16" t="s">
        <v>380</v>
      </c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三国-变态-[B]盾英+强英+法英</v>
      </c>
    </row>
    <row r="363" spans="2:19" x14ac:dyDescent="0.3">
      <c r="B363" s="16" t="s">
        <v>1112</v>
      </c>
      <c r="C363" s="57" t="s">
        <v>1720</v>
      </c>
      <c r="D363" s="16">
        <v>1</v>
      </c>
      <c r="E363" s="16">
        <v>0</v>
      </c>
      <c r="F363" s="7" t="s">
        <v>151</v>
      </c>
      <c r="G363" s="16" t="s">
        <v>185</v>
      </c>
      <c r="H363" s="7"/>
      <c r="I363" s="16" t="s">
        <v>381</v>
      </c>
      <c r="J363" s="16" t="s">
        <v>382</v>
      </c>
      <c r="K363" s="16" t="s">
        <v>380</v>
      </c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三国-变态-铁英+盾英+强英</v>
      </c>
    </row>
    <row r="364" spans="2:19" x14ac:dyDescent="0.3">
      <c r="B364" s="16"/>
      <c r="C364" s="57" t="s">
        <v>1720</v>
      </c>
      <c r="D364" s="16">
        <v>2</v>
      </c>
      <c r="E364" s="16">
        <v>0</v>
      </c>
      <c r="F364" s="7" t="s">
        <v>151</v>
      </c>
      <c r="G364" s="16" t="s">
        <v>185</v>
      </c>
      <c r="H364" s="16" t="b">
        <v>1</v>
      </c>
      <c r="I364" s="16" t="s">
        <v>391</v>
      </c>
      <c r="J364" s="16" t="s">
        <v>385</v>
      </c>
      <c r="K364" s="16" t="s">
        <v>380</v>
      </c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三国-变态-[B]盾英+刺英+刺英</v>
      </c>
    </row>
    <row r="365" spans="2:19" x14ac:dyDescent="0.3">
      <c r="B365" s="16" t="s">
        <v>1113</v>
      </c>
      <c r="C365" s="57" t="s">
        <v>1720</v>
      </c>
      <c r="D365" s="16">
        <v>1</v>
      </c>
      <c r="E365" s="16">
        <v>0</v>
      </c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/>
      <c r="C366" s="57" t="s">
        <v>1720</v>
      </c>
      <c r="D366" s="16">
        <v>2</v>
      </c>
      <c r="E366" s="16">
        <v>0</v>
      </c>
      <c r="F366" s="7" t="s">
        <v>151</v>
      </c>
      <c r="G366" s="16" t="s">
        <v>180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67" spans="2:19" x14ac:dyDescent="0.3">
      <c r="B367" s="16" t="s">
        <v>1114</v>
      </c>
      <c r="C367" s="57" t="s">
        <v>1720</v>
      </c>
      <c r="D367" s="16">
        <v>1</v>
      </c>
      <c r="E367" s="16">
        <v>0</v>
      </c>
      <c r="F367" s="7" t="s">
        <v>151</v>
      </c>
      <c r="G367" s="16" t="s">
        <v>180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68" spans="2:19" x14ac:dyDescent="0.3">
      <c r="B368" s="16"/>
      <c r="C368" s="57" t="s">
        <v>1720</v>
      </c>
      <c r="D368" s="16">
        <v>2</v>
      </c>
      <c r="E368" s="16">
        <v>0</v>
      </c>
      <c r="F368" s="7" t="s">
        <v>151</v>
      </c>
      <c r="G368" s="16" t="s">
        <v>180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57" t="s">
        <v>1720</v>
      </c>
      <c r="D369" s="16">
        <v>1</v>
      </c>
      <c r="E369" s="16">
        <v>0</v>
      </c>
      <c r="F369" s="7" t="s">
        <v>151</v>
      </c>
      <c r="G369" s="16" t="s">
        <v>180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/>
      <c r="C370" s="57" t="s">
        <v>1720</v>
      </c>
      <c r="D370" s="16">
        <v>2</v>
      </c>
      <c r="E370" s="16">
        <v>0</v>
      </c>
      <c r="F370" s="7" t="s">
        <v>151</v>
      </c>
      <c r="G370" s="16" t="s">
        <v>185</v>
      </c>
      <c r="H370" s="16" t="b">
        <v>1</v>
      </c>
      <c r="I370" s="16" t="s">
        <v>417</v>
      </c>
      <c r="J370" s="16" t="s">
        <v>380</v>
      </c>
      <c r="K370" s="16" t="s">
        <v>381</v>
      </c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三国-变态-[B]铁英+盾英+强英</v>
      </c>
    </row>
    <row r="371" spans="2:19" x14ac:dyDescent="0.3">
      <c r="B371" s="16" t="s">
        <v>1116</v>
      </c>
      <c r="C371" s="57" t="s">
        <v>1720</v>
      </c>
      <c r="D371" s="16">
        <v>1</v>
      </c>
      <c r="E371" s="16">
        <v>0</v>
      </c>
      <c r="F371" s="7" t="s">
        <v>151</v>
      </c>
      <c r="G371" s="16" t="s">
        <v>185</v>
      </c>
      <c r="H371" s="7"/>
      <c r="I371" s="16" t="s">
        <v>384</v>
      </c>
      <c r="J371" s="16" t="s">
        <v>384</v>
      </c>
      <c r="K371" s="16" t="s">
        <v>380</v>
      </c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三国-变态-盾英+法英+法英</v>
      </c>
    </row>
    <row r="372" spans="2:19" x14ac:dyDescent="0.3">
      <c r="B372" s="16"/>
      <c r="C372" s="57" t="s">
        <v>1720</v>
      </c>
      <c r="D372" s="16">
        <v>2</v>
      </c>
      <c r="E372" s="16">
        <v>0</v>
      </c>
      <c r="F372" s="7" t="s">
        <v>151</v>
      </c>
      <c r="G372" s="16" t="s">
        <v>185</v>
      </c>
      <c r="H372" s="16" t="b">
        <v>1</v>
      </c>
      <c r="I372" s="16" t="s">
        <v>424</v>
      </c>
      <c r="J372" s="16" t="s">
        <v>380</v>
      </c>
      <c r="K372" s="16" t="s">
        <v>380</v>
      </c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三国-变态-[B]盾英+盾英+强英</v>
      </c>
    </row>
    <row r="373" spans="2:19" x14ac:dyDescent="0.3">
      <c r="B373" s="16" t="s">
        <v>1117</v>
      </c>
      <c r="C373" s="57" t="s">
        <v>1720</v>
      </c>
      <c r="D373" s="16">
        <v>1</v>
      </c>
      <c r="E373" s="16">
        <v>0</v>
      </c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/>
      <c r="C374" s="57" t="s">
        <v>1720</v>
      </c>
      <c r="D374" s="16">
        <v>2</v>
      </c>
      <c r="E374" s="16">
        <v>0</v>
      </c>
      <c r="F374" s="7" t="s">
        <v>151</v>
      </c>
      <c r="G374" s="16" t="s">
        <v>180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75" spans="2:19" x14ac:dyDescent="0.3">
      <c r="B375" s="16" t="s">
        <v>1118</v>
      </c>
      <c r="C375" s="57" t="s">
        <v>1720</v>
      </c>
      <c r="D375" s="16">
        <v>1</v>
      </c>
      <c r="E375" s="16">
        <v>0</v>
      </c>
      <c r="F375" s="7" t="s">
        <v>151</v>
      </c>
      <c r="G375" s="16" t="s">
        <v>180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376" spans="2:19" x14ac:dyDescent="0.3">
      <c r="B376" s="16"/>
      <c r="C376" s="57" t="s">
        <v>1720</v>
      </c>
      <c r="D376" s="16">
        <v>2</v>
      </c>
      <c r="E376" s="16">
        <v>0</v>
      </c>
      <c r="F376" s="7" t="s">
        <v>151</v>
      </c>
      <c r="G376" s="16" t="s">
        <v>180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57" t="s">
        <v>1720</v>
      </c>
      <c r="D377" s="16">
        <v>1</v>
      </c>
      <c r="E377" s="16">
        <v>0</v>
      </c>
      <c r="F377" s="7" t="s">
        <v>151</v>
      </c>
      <c r="G377" s="16" t="s">
        <v>180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/>
      <c r="C378" s="57" t="s">
        <v>1720</v>
      </c>
      <c r="D378" s="16">
        <v>2</v>
      </c>
      <c r="E378" s="16">
        <v>0</v>
      </c>
      <c r="F378" s="7" t="s">
        <v>151</v>
      </c>
      <c r="G378" s="16" t="s">
        <v>185</v>
      </c>
      <c r="H378" s="16" t="b">
        <v>1</v>
      </c>
      <c r="I378" s="16" t="s">
        <v>416</v>
      </c>
      <c r="J378" s="16" t="s">
        <v>381</v>
      </c>
      <c r="K378" s="16" t="s">
        <v>380</v>
      </c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三国-变态-[B]盾英+强英+刺英</v>
      </c>
    </row>
    <row r="379" spans="2:19" x14ac:dyDescent="0.3">
      <c r="B379" s="16" t="s">
        <v>1120</v>
      </c>
      <c r="C379" s="57" t="s">
        <v>1720</v>
      </c>
      <c r="D379" s="16">
        <v>1</v>
      </c>
      <c r="E379" s="16">
        <v>0</v>
      </c>
      <c r="F379" s="7" t="s">
        <v>151</v>
      </c>
      <c r="G379" s="16" t="s">
        <v>185</v>
      </c>
      <c r="H379" s="7"/>
      <c r="I379" s="16" t="s">
        <v>380</v>
      </c>
      <c r="J379" s="16" t="s">
        <v>380</v>
      </c>
      <c r="K379" s="16" t="s">
        <v>381</v>
      </c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三国-变态-盾英+盾英+强英</v>
      </c>
    </row>
    <row r="380" spans="2:19" x14ac:dyDescent="0.3">
      <c r="B380" s="16"/>
      <c r="C380" s="57" t="s">
        <v>1720</v>
      </c>
      <c r="D380" s="16">
        <v>2</v>
      </c>
      <c r="E380" s="16">
        <v>0</v>
      </c>
      <c r="F380" s="7" t="s">
        <v>151</v>
      </c>
      <c r="G380" s="16" t="s">
        <v>185</v>
      </c>
      <c r="H380" s="16" t="b">
        <v>1</v>
      </c>
      <c r="I380" s="16" t="s">
        <v>398</v>
      </c>
      <c r="J380" s="16" t="s">
        <v>381</v>
      </c>
      <c r="K380" s="16" t="s">
        <v>380</v>
      </c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三国-变态-[B]盾英+强英+炼英</v>
      </c>
    </row>
    <row r="381" spans="2:19" x14ac:dyDescent="0.3">
      <c r="B381" s="16" t="s">
        <v>1121</v>
      </c>
      <c r="C381" s="57" t="s">
        <v>1720</v>
      </c>
      <c r="D381" s="16">
        <v>1</v>
      </c>
      <c r="E381" s="16">
        <v>0</v>
      </c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/>
      <c r="C382" s="57" t="s">
        <v>1720</v>
      </c>
      <c r="D382" s="16">
        <v>2</v>
      </c>
      <c r="E382" s="16">
        <v>0</v>
      </c>
      <c r="F382" s="7" t="s">
        <v>151</v>
      </c>
      <c r="G382" s="16" t="s">
        <v>180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3" spans="2:19" x14ac:dyDescent="0.3">
      <c r="B383" s="16" t="s">
        <v>1122</v>
      </c>
      <c r="C383" s="57" t="s">
        <v>1720</v>
      </c>
      <c r="D383" s="16">
        <v>1</v>
      </c>
      <c r="E383" s="16">
        <v>0</v>
      </c>
      <c r="F383" s="7" t="s">
        <v>151</v>
      </c>
      <c r="G383" s="16" t="s">
        <v>180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84" spans="2:19" x14ac:dyDescent="0.3">
      <c r="B384" s="16"/>
      <c r="C384" s="57" t="s">
        <v>1720</v>
      </c>
      <c r="D384" s="16">
        <v>2</v>
      </c>
      <c r="E384" s="16">
        <v>0</v>
      </c>
      <c r="F384" s="7" t="s">
        <v>151</v>
      </c>
      <c r="G384" s="16" t="s">
        <v>180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57" t="s">
        <v>1720</v>
      </c>
      <c r="D385" s="16">
        <v>1</v>
      </c>
      <c r="E385" s="16">
        <v>0</v>
      </c>
      <c r="F385" s="7" t="s">
        <v>151</v>
      </c>
      <c r="G385" s="16" t="s">
        <v>180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/>
      <c r="C386" s="57" t="s">
        <v>1720</v>
      </c>
      <c r="D386" s="16">
        <v>2</v>
      </c>
      <c r="E386" s="16">
        <v>0</v>
      </c>
      <c r="F386" s="7" t="s">
        <v>151</v>
      </c>
      <c r="G386" s="16" t="s">
        <v>185</v>
      </c>
      <c r="H386" s="16" t="b">
        <v>1</v>
      </c>
      <c r="I386" s="16" t="s">
        <v>400</v>
      </c>
      <c r="J386" s="16" t="s">
        <v>383</v>
      </c>
      <c r="K386" s="16" t="s">
        <v>380</v>
      </c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三国-变态-[B]盾英+盾英+炼英</v>
      </c>
    </row>
    <row r="387" spans="2:19" x14ac:dyDescent="0.3">
      <c r="B387" s="16" t="s">
        <v>1124</v>
      </c>
      <c r="C387" s="57" t="s">
        <v>1720</v>
      </c>
      <c r="D387" s="16">
        <v>1</v>
      </c>
      <c r="E387" s="16">
        <v>0</v>
      </c>
      <c r="F387" s="7" t="s">
        <v>151</v>
      </c>
      <c r="G387" s="16" t="s">
        <v>185</v>
      </c>
      <c r="H387" s="7"/>
      <c r="I387" s="16" t="s">
        <v>383</v>
      </c>
      <c r="J387" s="16" t="s">
        <v>381</v>
      </c>
      <c r="K387" s="16" t="s">
        <v>380</v>
      </c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三国-变态-盾英+强英+炼英</v>
      </c>
    </row>
    <row r="388" spans="2:19" x14ac:dyDescent="0.3">
      <c r="B388" s="16"/>
      <c r="C388" s="57" t="s">
        <v>1720</v>
      </c>
      <c r="D388" s="16">
        <v>2</v>
      </c>
      <c r="E388" s="16">
        <v>0</v>
      </c>
      <c r="F388" s="7" t="s">
        <v>151</v>
      </c>
      <c r="G388" s="16" t="s">
        <v>185</v>
      </c>
      <c r="H388" s="16" t="b">
        <v>1</v>
      </c>
      <c r="I388" s="16" t="s">
        <v>396</v>
      </c>
      <c r="J388" s="16" t="s">
        <v>382</v>
      </c>
      <c r="K388" s="16" t="s">
        <v>381</v>
      </c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三国-变态-[B]铁英+铁英+强英</v>
      </c>
    </row>
  </sheetData>
  <phoneticPr fontId="38" type="noConversion"/>
  <conditionalFormatting sqref="P5:P388">
    <cfRule type="expression" dxfId="107" priority="2">
      <formula>P5&gt;O5</formula>
    </cfRule>
  </conditionalFormatting>
  <conditionalFormatting sqref="O5:O388">
    <cfRule type="cellIs" dxfId="106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pane ySplit="4" topLeftCell="A5" activePane="bottomLeft" state="frozen"/>
      <selection activeCell="A5" sqref="A5"/>
      <selection pane="bottomLeft" activeCell="C26" sqref="C2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1266</v>
      </c>
      <c r="D4" s="7" t="s">
        <v>482</v>
      </c>
      <c r="E4" s="36" t="s">
        <v>1286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1295</v>
      </c>
      <c r="C5" s="38" t="s">
        <v>1309</v>
      </c>
      <c r="D5" s="7">
        <v>1</v>
      </c>
      <c r="E5" s="7">
        <v>5</v>
      </c>
      <c r="F5" s="7" t="s">
        <v>597</v>
      </c>
      <c r="G5" s="16" t="s">
        <v>1311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/>
      <c r="C6" s="38" t="s">
        <v>1309</v>
      </c>
      <c r="D6" s="18">
        <v>2</v>
      </c>
      <c r="E6" s="18">
        <v>10</v>
      </c>
      <c r="F6" s="7" t="s">
        <v>597</v>
      </c>
      <c r="G6" s="18" t="s">
        <v>1312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/>
      <c r="C7" s="38" t="s">
        <v>1309</v>
      </c>
      <c r="D7" s="18">
        <v>3</v>
      </c>
      <c r="E7" s="18">
        <v>10</v>
      </c>
      <c r="F7" s="7" t="s">
        <v>597</v>
      </c>
      <c r="G7" s="18" t="s">
        <v>1312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/>
      <c r="C8" s="38" t="s">
        <v>1309</v>
      </c>
      <c r="D8" s="18">
        <v>4</v>
      </c>
      <c r="E8" s="18">
        <v>15</v>
      </c>
      <c r="F8" s="7" t="s">
        <v>597</v>
      </c>
      <c r="G8" s="18" t="s">
        <v>1151</v>
      </c>
      <c r="H8" s="18"/>
      <c r="I8" s="40" t="s">
        <v>1322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2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/>
      <c r="C9" s="38" t="s">
        <v>1309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1323</v>
      </c>
      <c r="J9" s="40" t="s">
        <v>1320</v>
      </c>
      <c r="K9" s="40" t="s">
        <v>1321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1165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1296</v>
      </c>
      <c r="C10" s="38" t="s">
        <v>1309</v>
      </c>
      <c r="D10" s="18">
        <v>1</v>
      </c>
      <c r="E10" s="18">
        <v>5</v>
      </c>
      <c r="F10" s="7" t="s">
        <v>151</v>
      </c>
      <c r="G10" s="16" t="s">
        <v>1313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/>
      <c r="C11" s="38" t="s">
        <v>1309</v>
      </c>
      <c r="D11" s="18">
        <v>2</v>
      </c>
      <c r="E11" s="18">
        <v>10</v>
      </c>
      <c r="F11" s="7" t="s">
        <v>151</v>
      </c>
      <c r="G11" s="18" t="s">
        <v>1312</v>
      </c>
      <c r="H11" s="18"/>
      <c r="I11" s="18"/>
      <c r="J11" s="18"/>
      <c r="K11" s="18"/>
      <c r="L11" s="40" t="s">
        <v>1352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/>
      <c r="C12" s="38" t="s">
        <v>1309</v>
      </c>
      <c r="D12" s="18">
        <v>3</v>
      </c>
      <c r="E12" s="18">
        <v>10</v>
      </c>
      <c r="F12" s="7" t="s">
        <v>151</v>
      </c>
      <c r="G12" s="18" t="s">
        <v>1312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/>
      <c r="C13" s="38" t="s">
        <v>1309</v>
      </c>
      <c r="D13" s="18">
        <v>4</v>
      </c>
      <c r="E13" s="18">
        <v>15</v>
      </c>
      <c r="F13" s="7" t="s">
        <v>151</v>
      </c>
      <c r="G13" s="18" t="s">
        <v>1151</v>
      </c>
      <c r="H13" s="18"/>
      <c r="I13" s="40" t="s">
        <v>1328</v>
      </c>
      <c r="J13" s="18"/>
      <c r="K13" s="18"/>
      <c r="L13" s="40" t="s">
        <v>1346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/>
      <c r="C14" s="38" t="s">
        <v>1309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1325</v>
      </c>
      <c r="J14" s="40" t="s">
        <v>1326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1324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1297</v>
      </c>
      <c r="C15" s="38" t="s">
        <v>1309</v>
      </c>
      <c r="D15" s="18">
        <v>1</v>
      </c>
      <c r="E15" s="18">
        <v>5</v>
      </c>
      <c r="F15" s="7" t="s">
        <v>151</v>
      </c>
      <c r="G15" s="16" t="s">
        <v>1313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/>
      <c r="C16" s="38" t="s">
        <v>1309</v>
      </c>
      <c r="D16" s="18">
        <v>2</v>
      </c>
      <c r="E16" s="18">
        <v>10</v>
      </c>
      <c r="F16" s="7" t="s">
        <v>151</v>
      </c>
      <c r="G16" s="18" t="s">
        <v>1312</v>
      </c>
      <c r="H16" s="18"/>
      <c r="I16" s="18"/>
      <c r="J16" s="18"/>
      <c r="K16" s="18"/>
      <c r="L16" s="40" t="s">
        <v>1346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/>
      <c r="C17" s="38" t="s">
        <v>1309</v>
      </c>
      <c r="D17" s="18">
        <v>3</v>
      </c>
      <c r="E17" s="18">
        <v>10</v>
      </c>
      <c r="F17" s="7" t="s">
        <v>151</v>
      </c>
      <c r="G17" s="18" t="s">
        <v>1312</v>
      </c>
      <c r="H17" s="18"/>
      <c r="I17" s="18"/>
      <c r="J17" s="18"/>
      <c r="K17" s="18"/>
      <c r="L17" s="18" t="s">
        <v>25</v>
      </c>
      <c r="M17" s="40" t="s">
        <v>1346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/>
      <c r="C18" s="38" t="s">
        <v>1309</v>
      </c>
      <c r="D18" s="18">
        <v>4</v>
      </c>
      <c r="E18" s="18">
        <v>15</v>
      </c>
      <c r="F18" s="7" t="s">
        <v>151</v>
      </c>
      <c r="G18" s="18" t="s">
        <v>1151</v>
      </c>
      <c r="H18" s="18"/>
      <c r="I18" s="40" t="s">
        <v>1347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/>
      <c r="C19" s="38" t="s">
        <v>1309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1327</v>
      </c>
      <c r="J19" s="40" t="s">
        <v>1328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1298</v>
      </c>
      <c r="C20" s="38" t="s">
        <v>1309</v>
      </c>
      <c r="D20" s="18">
        <v>1</v>
      </c>
      <c r="E20" s="18">
        <v>5</v>
      </c>
      <c r="F20" s="7" t="s">
        <v>151</v>
      </c>
      <c r="G20" s="16" t="s">
        <v>1313</v>
      </c>
      <c r="H20" s="7"/>
      <c r="I20" s="8"/>
      <c r="L20" s="40" t="s">
        <v>1353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/>
      <c r="C21" s="38" t="s">
        <v>1309</v>
      </c>
      <c r="D21" s="18">
        <v>2</v>
      </c>
      <c r="E21" s="18">
        <v>10</v>
      </c>
      <c r="F21" s="7" t="s">
        <v>151</v>
      </c>
      <c r="G21" s="18" t="s">
        <v>1312</v>
      </c>
      <c r="H21" s="18"/>
      <c r="I21" s="18"/>
      <c r="J21" s="18"/>
      <c r="K21" s="18"/>
      <c r="L21" s="40" t="s">
        <v>1349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/>
      <c r="C22" s="38" t="s">
        <v>1309</v>
      </c>
      <c r="D22" s="18">
        <v>3</v>
      </c>
      <c r="E22" s="18">
        <v>10</v>
      </c>
      <c r="F22" s="7" t="s">
        <v>151</v>
      </c>
      <c r="G22" s="18" t="s">
        <v>1312</v>
      </c>
      <c r="H22" s="18"/>
      <c r="I22" s="18"/>
      <c r="J22" s="18"/>
      <c r="K22" s="18"/>
      <c r="L22" s="40" t="s">
        <v>1349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/>
      <c r="C23" s="38" t="s">
        <v>1309</v>
      </c>
      <c r="D23" s="18">
        <v>4</v>
      </c>
      <c r="E23" s="18">
        <v>15</v>
      </c>
      <c r="F23" s="7" t="s">
        <v>151</v>
      </c>
      <c r="G23" s="18" t="s">
        <v>1151</v>
      </c>
      <c r="H23" s="18"/>
      <c r="I23" s="40" t="s">
        <v>1348</v>
      </c>
      <c r="J23" s="18"/>
      <c r="K23" s="18"/>
      <c r="L23" s="40" t="s">
        <v>1349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/>
      <c r="C24" s="38" t="s">
        <v>1309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1330</v>
      </c>
      <c r="J24" s="40" t="s">
        <v>1326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1329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1299</v>
      </c>
      <c r="C25" s="38" t="s">
        <v>1309</v>
      </c>
      <c r="D25" s="18">
        <v>1</v>
      </c>
      <c r="E25" s="18">
        <v>5</v>
      </c>
      <c r="F25" s="7" t="s">
        <v>151</v>
      </c>
      <c r="G25" s="16" t="s">
        <v>1313</v>
      </c>
      <c r="H25" s="7"/>
      <c r="I25" s="8"/>
      <c r="L25" s="40" t="s">
        <v>1351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/>
      <c r="C26" s="38" t="s">
        <v>1309</v>
      </c>
      <c r="D26" s="18">
        <v>2</v>
      </c>
      <c r="E26" s="18">
        <v>10</v>
      </c>
      <c r="F26" s="7" t="s">
        <v>151</v>
      </c>
      <c r="G26" s="18" t="s">
        <v>1312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/>
      <c r="C27" s="38" t="s">
        <v>1309</v>
      </c>
      <c r="D27" s="18">
        <v>3</v>
      </c>
      <c r="E27" s="18">
        <v>10</v>
      </c>
      <c r="F27" s="7" t="s">
        <v>151</v>
      </c>
      <c r="G27" s="18" t="s">
        <v>1312</v>
      </c>
      <c r="H27" s="18"/>
      <c r="I27" s="18"/>
      <c r="J27" s="18"/>
      <c r="K27" s="18"/>
      <c r="L27" s="18" t="s">
        <v>25</v>
      </c>
      <c r="M27" s="40" t="s">
        <v>1351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/>
      <c r="C28" s="38" t="s">
        <v>1309</v>
      </c>
      <c r="D28" s="18">
        <v>4</v>
      </c>
      <c r="E28" s="18">
        <v>15</v>
      </c>
      <c r="F28" s="7" t="s">
        <v>151</v>
      </c>
      <c r="G28" s="18" t="s">
        <v>1151</v>
      </c>
      <c r="H28" s="18"/>
      <c r="I28" s="40" t="s">
        <v>1332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/>
      <c r="C29" s="38" t="s">
        <v>1309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1331</v>
      </c>
      <c r="J29" s="40" t="s">
        <v>1332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1300</v>
      </c>
      <c r="C30" s="38" t="s">
        <v>1309</v>
      </c>
      <c r="D30" s="18">
        <v>1</v>
      </c>
      <c r="E30" s="18">
        <v>5</v>
      </c>
      <c r="F30" s="7" t="s">
        <v>151</v>
      </c>
      <c r="G30" s="16" t="s">
        <v>1313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/>
      <c r="C31" s="38" t="s">
        <v>1309</v>
      </c>
      <c r="D31" s="18">
        <v>2</v>
      </c>
      <c r="E31" s="18">
        <v>10</v>
      </c>
      <c r="F31" s="7" t="s">
        <v>151</v>
      </c>
      <c r="G31" s="18" t="s">
        <v>1312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/>
      <c r="C32" s="38" t="s">
        <v>1309</v>
      </c>
      <c r="D32" s="18">
        <v>3</v>
      </c>
      <c r="E32" s="18">
        <v>10</v>
      </c>
      <c r="F32" s="7" t="s">
        <v>151</v>
      </c>
      <c r="G32" s="18" t="s">
        <v>1312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/>
      <c r="C33" s="38" t="s">
        <v>1309</v>
      </c>
      <c r="D33" s="18">
        <v>4</v>
      </c>
      <c r="E33" s="18">
        <v>15</v>
      </c>
      <c r="F33" s="7" t="s">
        <v>151</v>
      </c>
      <c r="G33" s="18" t="s">
        <v>1151</v>
      </c>
      <c r="H33" s="18"/>
      <c r="I33" s="40" t="s">
        <v>1350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/>
      <c r="C34" s="38" t="s">
        <v>1309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414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414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1301</v>
      </c>
      <c r="C35" s="38" t="s">
        <v>1309</v>
      </c>
      <c r="D35" s="18">
        <v>1</v>
      </c>
      <c r="E35" s="18">
        <v>5</v>
      </c>
      <c r="F35" s="7" t="s">
        <v>151</v>
      </c>
      <c r="G35" s="16" t="s">
        <v>1313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/>
      <c r="C36" s="38" t="s">
        <v>1309</v>
      </c>
      <c r="D36" s="18">
        <v>2</v>
      </c>
      <c r="E36" s="18">
        <v>10</v>
      </c>
      <c r="F36" s="7" t="s">
        <v>151</v>
      </c>
      <c r="G36" s="18" t="s">
        <v>1312</v>
      </c>
      <c r="H36" s="18"/>
      <c r="I36" s="18"/>
      <c r="J36" s="18"/>
      <c r="K36" s="18"/>
      <c r="L36" s="40" t="s">
        <v>1346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/>
      <c r="C37" s="38" t="s">
        <v>1309</v>
      </c>
      <c r="D37" s="18">
        <v>3</v>
      </c>
      <c r="E37" s="18">
        <v>10</v>
      </c>
      <c r="F37" s="7" t="s">
        <v>151</v>
      </c>
      <c r="G37" s="18" t="s">
        <v>1312</v>
      </c>
      <c r="H37" s="18"/>
      <c r="I37" s="18"/>
      <c r="J37" s="18"/>
      <c r="K37" s="18"/>
      <c r="L37" s="18" t="s">
        <v>25</v>
      </c>
      <c r="M37" s="40" t="s">
        <v>1346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/>
      <c r="C38" s="38" t="s">
        <v>1309</v>
      </c>
      <c r="D38" s="18">
        <v>4</v>
      </c>
      <c r="E38" s="18">
        <v>15</v>
      </c>
      <c r="F38" s="7" t="s">
        <v>151</v>
      </c>
      <c r="G38" s="18" t="s">
        <v>1151</v>
      </c>
      <c r="H38" s="18"/>
      <c r="I38" s="40" t="s">
        <v>1328</v>
      </c>
      <c r="J38" s="18"/>
      <c r="K38" s="18"/>
      <c r="L38" s="40" t="s">
        <v>1346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/>
      <c r="C39" s="38" t="s">
        <v>1309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1333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1302</v>
      </c>
      <c r="C40" s="38" t="s">
        <v>1309</v>
      </c>
      <c r="D40" s="18">
        <v>1</v>
      </c>
      <c r="E40" s="18">
        <v>5</v>
      </c>
      <c r="F40" s="7" t="s">
        <v>151</v>
      </c>
      <c r="G40" s="16" t="s">
        <v>1313</v>
      </c>
      <c r="H40" s="7"/>
      <c r="I40" s="8"/>
      <c r="L40" s="40" t="s">
        <v>1349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/>
      <c r="C41" s="38" t="s">
        <v>1309</v>
      </c>
      <c r="D41" s="18">
        <v>2</v>
      </c>
      <c r="E41" s="18">
        <v>10</v>
      </c>
      <c r="F41" s="7" t="s">
        <v>151</v>
      </c>
      <c r="G41" s="18" t="s">
        <v>1312</v>
      </c>
      <c r="H41" s="18"/>
      <c r="I41" s="18"/>
      <c r="J41" s="18"/>
      <c r="K41" s="18"/>
      <c r="L41" s="40" t="s">
        <v>1346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/>
      <c r="C42" s="38" t="s">
        <v>1309</v>
      </c>
      <c r="D42" s="18">
        <v>3</v>
      </c>
      <c r="E42" s="18">
        <v>10</v>
      </c>
      <c r="F42" s="7" t="s">
        <v>151</v>
      </c>
      <c r="G42" s="18" t="s">
        <v>1312</v>
      </c>
      <c r="H42" s="18"/>
      <c r="I42" s="18"/>
      <c r="J42" s="18"/>
      <c r="K42" s="18"/>
      <c r="L42" s="40" t="s">
        <v>1349</v>
      </c>
      <c r="M42" s="40" t="s">
        <v>1346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/>
      <c r="C43" s="38" t="s">
        <v>1309</v>
      </c>
      <c r="D43" s="18">
        <v>4</v>
      </c>
      <c r="E43" s="18">
        <v>15</v>
      </c>
      <c r="F43" s="7" t="s">
        <v>151</v>
      </c>
      <c r="G43" s="18" t="s">
        <v>1151</v>
      </c>
      <c r="H43" s="18"/>
      <c r="I43" s="40" t="s">
        <v>1347</v>
      </c>
      <c r="J43" s="18"/>
      <c r="K43" s="18"/>
      <c r="L43" s="40" t="s">
        <v>1349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/>
      <c r="C44" s="38" t="s">
        <v>1309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1334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1334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1303</v>
      </c>
      <c r="C45" s="38" t="s">
        <v>1309</v>
      </c>
      <c r="D45" s="18">
        <v>1</v>
      </c>
      <c r="E45" s="18">
        <v>5</v>
      </c>
      <c r="F45" s="7" t="s">
        <v>151</v>
      </c>
      <c r="G45" s="16" t="s">
        <v>1313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/>
      <c r="C46" s="38" t="s">
        <v>1309</v>
      </c>
      <c r="D46" s="18">
        <v>2</v>
      </c>
      <c r="E46" s="18">
        <v>10</v>
      </c>
      <c r="F46" s="7" t="s">
        <v>151</v>
      </c>
      <c r="G46" s="18" t="s">
        <v>1312</v>
      </c>
      <c r="H46" s="18"/>
      <c r="I46" s="18"/>
      <c r="J46" s="18"/>
      <c r="K46" s="18"/>
      <c r="L46" s="40" t="s">
        <v>1353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/>
      <c r="C47" s="38" t="s">
        <v>1309</v>
      </c>
      <c r="D47" s="18">
        <v>3</v>
      </c>
      <c r="E47" s="18">
        <v>10</v>
      </c>
      <c r="F47" s="7" t="s">
        <v>151</v>
      </c>
      <c r="G47" s="18" t="s">
        <v>1312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/>
      <c r="C48" s="38" t="s">
        <v>1309</v>
      </c>
      <c r="D48" s="18">
        <v>4</v>
      </c>
      <c r="E48" s="18">
        <v>15</v>
      </c>
      <c r="F48" s="7" t="s">
        <v>151</v>
      </c>
      <c r="G48" s="18" t="s">
        <v>1151</v>
      </c>
      <c r="H48" s="18"/>
      <c r="I48" s="40" t="s">
        <v>1326</v>
      </c>
      <c r="J48" s="18"/>
      <c r="K48" s="18"/>
      <c r="L48" s="40" t="s">
        <v>1353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/>
      <c r="C49" s="38" t="s">
        <v>1309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1335</v>
      </c>
      <c r="J49" s="40" t="s">
        <v>1336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1335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1304</v>
      </c>
      <c r="C50" s="38" t="s">
        <v>1309</v>
      </c>
      <c r="D50" s="18">
        <v>1</v>
      </c>
      <c r="E50" s="18">
        <v>5</v>
      </c>
      <c r="F50" s="7" t="s">
        <v>151</v>
      </c>
      <c r="G50" s="16" t="s">
        <v>1313</v>
      </c>
      <c r="H50" s="7"/>
      <c r="I50" s="8"/>
      <c r="L50" s="40" t="s">
        <v>1349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/>
      <c r="C51" s="38" t="s">
        <v>1309</v>
      </c>
      <c r="D51" s="18">
        <v>2</v>
      </c>
      <c r="E51" s="18">
        <v>10</v>
      </c>
      <c r="F51" s="7" t="s">
        <v>151</v>
      </c>
      <c r="G51" s="18" t="s">
        <v>1312</v>
      </c>
      <c r="H51" s="18"/>
      <c r="I51" s="18"/>
      <c r="J51" s="18"/>
      <c r="K51" s="18"/>
      <c r="L51" s="40" t="s">
        <v>1354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/>
      <c r="C52" s="38" t="s">
        <v>1309</v>
      </c>
      <c r="D52" s="18">
        <v>3</v>
      </c>
      <c r="E52" s="18">
        <v>10</v>
      </c>
      <c r="F52" s="7" t="s">
        <v>151</v>
      </c>
      <c r="G52" s="18" t="s">
        <v>1312</v>
      </c>
      <c r="H52" s="18"/>
      <c r="I52" s="18"/>
      <c r="J52" s="18"/>
      <c r="K52" s="18"/>
      <c r="L52" s="40" t="s">
        <v>1349</v>
      </c>
      <c r="M52" s="40" t="s">
        <v>1354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/>
      <c r="C53" s="38" t="s">
        <v>1309</v>
      </c>
      <c r="D53" s="18">
        <v>4</v>
      </c>
      <c r="E53" s="18">
        <v>15</v>
      </c>
      <c r="F53" s="7" t="s">
        <v>151</v>
      </c>
      <c r="G53" s="18" t="s">
        <v>1151</v>
      </c>
      <c r="H53" s="18"/>
      <c r="I53" s="40" t="s">
        <v>1350</v>
      </c>
      <c r="J53" s="18"/>
      <c r="K53" s="18"/>
      <c r="L53" s="40" t="s">
        <v>1349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/>
      <c r="C54" s="38" t="s">
        <v>1309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1337</v>
      </c>
      <c r="J54" s="40" t="s">
        <v>1328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1305</v>
      </c>
      <c r="C55" s="38" t="s">
        <v>1309</v>
      </c>
      <c r="D55" s="18">
        <v>1</v>
      </c>
      <c r="E55" s="18">
        <v>5</v>
      </c>
      <c r="F55" s="7" t="s">
        <v>151</v>
      </c>
      <c r="G55" s="16" t="s">
        <v>1313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/>
      <c r="C56" s="38" t="s">
        <v>1309</v>
      </c>
      <c r="D56" s="18">
        <v>2</v>
      </c>
      <c r="E56" s="18">
        <v>10</v>
      </c>
      <c r="F56" s="7" t="s">
        <v>151</v>
      </c>
      <c r="G56" s="18" t="s">
        <v>1312</v>
      </c>
      <c r="H56" s="18"/>
      <c r="I56" s="18"/>
      <c r="J56" s="18"/>
      <c r="K56" s="18"/>
      <c r="L56" s="40" t="s">
        <v>1351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/>
      <c r="C57" s="38" t="s">
        <v>1309</v>
      </c>
      <c r="D57" s="18">
        <v>3</v>
      </c>
      <c r="E57" s="18">
        <v>10</v>
      </c>
      <c r="F57" s="7" t="s">
        <v>151</v>
      </c>
      <c r="G57" s="18" t="s">
        <v>1312</v>
      </c>
      <c r="H57" s="18"/>
      <c r="I57" s="18"/>
      <c r="J57" s="18"/>
      <c r="K57" s="18"/>
      <c r="L57" s="18" t="s">
        <v>25</v>
      </c>
      <c r="M57" s="40" t="s">
        <v>1351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/>
      <c r="C58" s="38" t="s">
        <v>1309</v>
      </c>
      <c r="D58" s="18">
        <v>4</v>
      </c>
      <c r="E58" s="18">
        <v>15</v>
      </c>
      <c r="F58" s="7" t="s">
        <v>151</v>
      </c>
      <c r="G58" s="18" t="s">
        <v>1151</v>
      </c>
      <c r="H58" s="18"/>
      <c r="I58" s="40" t="s">
        <v>1332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/>
      <c r="C59" s="38" t="s">
        <v>1309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1339</v>
      </c>
      <c r="J59" s="40" t="s">
        <v>1326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1338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1306</v>
      </c>
      <c r="C60" s="38" t="s">
        <v>1309</v>
      </c>
      <c r="D60" s="18">
        <v>1</v>
      </c>
      <c r="E60" s="18">
        <v>5</v>
      </c>
      <c r="F60" s="7" t="s">
        <v>151</v>
      </c>
      <c r="G60" s="16" t="s">
        <v>1313</v>
      </c>
      <c r="H60" s="7"/>
      <c r="I60" s="8"/>
      <c r="L60" s="40" t="s">
        <v>1349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/>
      <c r="C61" s="38" t="s">
        <v>1309</v>
      </c>
      <c r="D61" s="18">
        <v>2</v>
      </c>
      <c r="E61" s="18">
        <v>10</v>
      </c>
      <c r="F61" s="7" t="s">
        <v>151</v>
      </c>
      <c r="G61" s="18" t="s">
        <v>1312</v>
      </c>
      <c r="H61" s="18"/>
      <c r="I61" s="18"/>
      <c r="J61" s="18"/>
      <c r="K61" s="18"/>
      <c r="L61" s="40" t="s">
        <v>1351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/>
      <c r="C62" s="38" t="s">
        <v>1309</v>
      </c>
      <c r="D62" s="18">
        <v>3</v>
      </c>
      <c r="E62" s="18">
        <v>10</v>
      </c>
      <c r="F62" s="7" t="s">
        <v>151</v>
      </c>
      <c r="G62" s="18" t="s">
        <v>1312</v>
      </c>
      <c r="H62" s="18"/>
      <c r="I62" s="18"/>
      <c r="J62" s="18"/>
      <c r="K62" s="18"/>
      <c r="L62" s="40" t="s">
        <v>1349</v>
      </c>
      <c r="M62" s="40" t="s">
        <v>1351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/>
      <c r="C63" s="38" t="s">
        <v>1309</v>
      </c>
      <c r="D63" s="18">
        <v>4</v>
      </c>
      <c r="E63" s="18">
        <v>15</v>
      </c>
      <c r="F63" s="7" t="s">
        <v>151</v>
      </c>
      <c r="G63" s="18" t="s">
        <v>1151</v>
      </c>
      <c r="H63" s="18"/>
      <c r="I63" s="40" t="s">
        <v>1332</v>
      </c>
      <c r="J63" s="18"/>
      <c r="K63" s="18"/>
      <c r="L63" s="40" t="s">
        <v>1349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/>
      <c r="C64" s="38" t="s">
        <v>1309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1341</v>
      </c>
      <c r="J64" s="40" t="s">
        <v>1328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1340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1307</v>
      </c>
      <c r="C65" s="38" t="s">
        <v>1309</v>
      </c>
      <c r="D65" s="18">
        <v>1</v>
      </c>
      <c r="E65" s="18">
        <v>5</v>
      </c>
      <c r="F65" s="7" t="s">
        <v>151</v>
      </c>
      <c r="G65" s="16" t="s">
        <v>1313</v>
      </c>
      <c r="H65" s="7"/>
      <c r="I65" s="8"/>
      <c r="L65" s="40" t="s">
        <v>1355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/>
      <c r="C66" s="38" t="s">
        <v>1309</v>
      </c>
      <c r="D66" s="18">
        <v>2</v>
      </c>
      <c r="E66" s="18">
        <v>10</v>
      </c>
      <c r="F66" s="7" t="s">
        <v>151</v>
      </c>
      <c r="G66" s="18" t="s">
        <v>1312</v>
      </c>
      <c r="H66" s="18"/>
      <c r="I66" s="18"/>
      <c r="J66" s="18"/>
      <c r="K66" s="18"/>
      <c r="L66" s="40" t="s">
        <v>1353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/>
      <c r="C67" s="38" t="s">
        <v>1309</v>
      </c>
      <c r="D67" s="18">
        <v>3</v>
      </c>
      <c r="E67" s="18">
        <v>10</v>
      </c>
      <c r="F67" s="7" t="s">
        <v>151</v>
      </c>
      <c r="G67" s="18" t="s">
        <v>1312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/>
      <c r="C68" s="38" t="s">
        <v>1309</v>
      </c>
      <c r="D68" s="18">
        <v>4</v>
      </c>
      <c r="E68" s="18">
        <v>15</v>
      </c>
      <c r="F68" s="7" t="s">
        <v>151</v>
      </c>
      <c r="G68" s="18" t="s">
        <v>1151</v>
      </c>
      <c r="H68" s="18"/>
      <c r="I68" s="40" t="s">
        <v>1348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/>
      <c r="C69" s="38" t="s">
        <v>1309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1342</v>
      </c>
      <c r="J69" s="40" t="s">
        <v>1326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1342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8" type="noConversion"/>
  <conditionalFormatting sqref="P5:P69">
    <cfRule type="expression" dxfId="85" priority="2">
      <formula>P5&gt;O5</formula>
    </cfRule>
  </conditionalFormatting>
  <conditionalFormatting sqref="O5:O69">
    <cfRule type="cellIs" dxfId="84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pane ySplit="4" topLeftCell="A11" activePane="bottomLeft" state="frozen"/>
      <selection pane="bottomLeft" activeCell="E21" sqref="E21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1286</v>
      </c>
      <c r="E4" s="43" t="s">
        <v>1395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1257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/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1262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/>
      <c r="C8" s="7">
        <v>2</v>
      </c>
      <c r="F8" s="34" t="s">
        <v>172</v>
      </c>
      <c r="G8" s="7" t="s">
        <v>35</v>
      </c>
      <c r="I8" s="34" t="s">
        <v>1155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1263</v>
      </c>
      <c r="C9" s="7">
        <v>1</v>
      </c>
      <c r="F9" s="34" t="s">
        <v>172</v>
      </c>
      <c r="G9" s="7" t="s">
        <v>35</v>
      </c>
      <c r="I9" s="34" t="s">
        <v>1155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/>
      <c r="C10" s="7">
        <v>2</v>
      </c>
      <c r="F10" s="34" t="s">
        <v>172</v>
      </c>
      <c r="G10" s="7" t="s">
        <v>36</v>
      </c>
      <c r="I10" s="34" t="s">
        <v>1155</v>
      </c>
      <c r="J10" s="34" t="s">
        <v>1149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1264</v>
      </c>
      <c r="C11" s="7">
        <v>1</v>
      </c>
      <c r="F11" s="34" t="s">
        <v>172</v>
      </c>
      <c r="G11" s="7" t="s">
        <v>36</v>
      </c>
      <c r="I11" s="34" t="s">
        <v>1155</v>
      </c>
      <c r="J11" s="34" t="s">
        <v>1149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/>
      <c r="C12" s="7">
        <v>2</v>
      </c>
      <c r="F12" s="34" t="s">
        <v>172</v>
      </c>
      <c r="G12" s="7" t="s">
        <v>36</v>
      </c>
      <c r="I12" s="34" t="s">
        <v>1155</v>
      </c>
      <c r="J12" s="34" t="s">
        <v>1149</v>
      </c>
      <c r="K12" s="34" t="s">
        <v>1161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1258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/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/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1148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1259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/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/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1149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1260</v>
      </c>
      <c r="C19" s="20">
        <v>1</v>
      </c>
      <c r="D19" s="20"/>
      <c r="E19" s="20"/>
      <c r="F19" s="7" t="s">
        <v>151</v>
      </c>
      <c r="G19" s="20" t="s">
        <v>1150</v>
      </c>
      <c r="H19" s="20"/>
      <c r="I19" s="20"/>
      <c r="J19" s="20"/>
      <c r="K19" s="20"/>
      <c r="L19" s="20" t="s">
        <v>1153</v>
      </c>
      <c r="M19" s="20" t="s">
        <v>1154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/>
      <c r="C20" s="20">
        <v>2</v>
      </c>
      <c r="D20" s="20"/>
      <c r="E20" s="20"/>
      <c r="F20" s="7" t="s">
        <v>151</v>
      </c>
      <c r="G20" s="20" t="s">
        <v>1151</v>
      </c>
      <c r="H20" s="20" t="b">
        <v>1</v>
      </c>
      <c r="I20" s="20" t="s">
        <v>1148</v>
      </c>
      <c r="J20" s="20"/>
      <c r="K20" s="20"/>
      <c r="L20" s="20" t="s">
        <v>1156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/>
      <c r="C21" s="20">
        <v>3</v>
      </c>
      <c r="D21" s="20"/>
      <c r="E21" s="20"/>
      <c r="F21" s="7" t="s">
        <v>151</v>
      </c>
      <c r="G21" s="20" t="s">
        <v>1152</v>
      </c>
      <c r="H21" s="20" t="b">
        <v>1</v>
      </c>
      <c r="I21" s="20" t="s">
        <v>1155</v>
      </c>
      <c r="J21" s="20" t="s">
        <v>1149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1261</v>
      </c>
      <c r="C22" s="20">
        <v>1</v>
      </c>
      <c r="D22" s="20"/>
      <c r="E22" s="20"/>
      <c r="F22" s="7" t="s">
        <v>151</v>
      </c>
      <c r="G22" s="20" t="s">
        <v>1151</v>
      </c>
      <c r="H22" s="20"/>
      <c r="I22" s="20"/>
      <c r="J22" s="20"/>
      <c r="K22" s="20"/>
      <c r="L22" s="20" t="s">
        <v>1156</v>
      </c>
      <c r="M22" s="20" t="s">
        <v>1157</v>
      </c>
      <c r="N22" s="20" t="s">
        <v>1158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/>
      <c r="C23" s="20">
        <v>2</v>
      </c>
      <c r="D23" s="20"/>
      <c r="E23" s="20"/>
      <c r="F23" s="7" t="s">
        <v>151</v>
      </c>
      <c r="G23" s="20" t="s">
        <v>1151</v>
      </c>
      <c r="H23" s="20"/>
      <c r="I23" s="20"/>
      <c r="J23" s="20"/>
      <c r="K23" s="20"/>
      <c r="L23" s="20" t="s">
        <v>1156</v>
      </c>
      <c r="M23" s="20" t="s">
        <v>1157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/>
      <c r="C24" s="20">
        <v>3</v>
      </c>
      <c r="D24" s="20"/>
      <c r="E24" s="20"/>
      <c r="F24" s="7" t="s">
        <v>151</v>
      </c>
      <c r="G24" s="20" t="s">
        <v>1152</v>
      </c>
      <c r="H24" s="20" t="b">
        <v>1</v>
      </c>
      <c r="I24" s="20" t="s">
        <v>1155</v>
      </c>
      <c r="J24" s="20" t="s">
        <v>1159</v>
      </c>
      <c r="K24" s="20" t="s">
        <v>1160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1128</v>
      </c>
      <c r="C25" s="20">
        <v>1</v>
      </c>
      <c r="D25" s="20"/>
      <c r="E25" s="20"/>
      <c r="F25" s="7" t="s">
        <v>151</v>
      </c>
      <c r="G25" s="20" t="s">
        <v>1151</v>
      </c>
      <c r="H25" s="20" t="b">
        <v>1</v>
      </c>
      <c r="I25" s="20" t="s">
        <v>1149</v>
      </c>
      <c r="J25" s="20" t="s">
        <v>1148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1277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/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1159</v>
      </c>
      <c r="J26" s="20" t="s">
        <v>1160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1277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1129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1159</v>
      </c>
      <c r="J27" s="20" t="s">
        <v>1161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1277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/>
      <c r="C28" s="20">
        <v>2</v>
      </c>
      <c r="D28" s="20"/>
      <c r="E28" s="20"/>
      <c r="F28" s="7" t="s">
        <v>151</v>
      </c>
      <c r="G28" s="20" t="s">
        <v>1152</v>
      </c>
      <c r="H28" s="20" t="b">
        <v>1</v>
      </c>
      <c r="I28" s="20" t="s">
        <v>1155</v>
      </c>
      <c r="J28" s="20" t="s">
        <v>1148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1277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1130</v>
      </c>
      <c r="C29" s="20">
        <v>1</v>
      </c>
      <c r="D29" s="20"/>
      <c r="E29" s="20"/>
      <c r="F29" s="7" t="s">
        <v>151</v>
      </c>
      <c r="G29" s="20" t="s">
        <v>1152</v>
      </c>
      <c r="H29" s="20"/>
      <c r="I29" s="20" t="s">
        <v>1161</v>
      </c>
      <c r="J29" s="20" t="s">
        <v>1160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1277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/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1159</v>
      </c>
      <c r="J30" s="20" t="s">
        <v>1161</v>
      </c>
      <c r="K30" s="42" t="s">
        <v>1356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1277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1131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1148</v>
      </c>
      <c r="J31" s="20" t="s">
        <v>1160</v>
      </c>
      <c r="K31" s="42" t="s">
        <v>1357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1277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/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1155</v>
      </c>
      <c r="J32" s="20" t="s">
        <v>1159</v>
      </c>
      <c r="K32" s="20" t="s">
        <v>1149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1277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1278</v>
      </c>
      <c r="C33" s="20">
        <v>1</v>
      </c>
      <c r="D33" s="20">
        <v>5</v>
      </c>
      <c r="E33" s="20"/>
      <c r="F33" s="7" t="s">
        <v>151</v>
      </c>
      <c r="G33" s="20" t="s">
        <v>1162</v>
      </c>
      <c r="H33" s="20"/>
      <c r="I33" s="20"/>
      <c r="J33" s="20"/>
      <c r="K33" s="20"/>
      <c r="L33" s="20" t="s">
        <v>1163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/>
      <c r="C34" s="20">
        <v>2</v>
      </c>
      <c r="D34" s="20">
        <v>15</v>
      </c>
      <c r="E34" s="20"/>
      <c r="F34" s="7" t="s">
        <v>151</v>
      </c>
      <c r="G34" s="20" t="s">
        <v>1162</v>
      </c>
      <c r="H34" s="20"/>
      <c r="I34" s="20"/>
      <c r="J34" s="20"/>
      <c r="K34" s="20"/>
      <c r="L34" s="20" t="s">
        <v>1158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/>
      <c r="C35" s="20">
        <v>3</v>
      </c>
      <c r="D35" s="20">
        <v>15</v>
      </c>
      <c r="E35" s="20"/>
      <c r="F35" s="7" t="s">
        <v>151</v>
      </c>
      <c r="G35" s="20" t="s">
        <v>1150</v>
      </c>
      <c r="H35" s="20"/>
      <c r="I35" s="20"/>
      <c r="J35" s="20"/>
      <c r="K35" s="20"/>
      <c r="L35" s="20" t="s">
        <v>1157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/>
      <c r="C36" s="20">
        <v>4</v>
      </c>
      <c r="D36" s="20">
        <v>15</v>
      </c>
      <c r="E36" s="20"/>
      <c r="F36" s="7" t="s">
        <v>151</v>
      </c>
      <c r="G36" s="20" t="s">
        <v>1162</v>
      </c>
      <c r="H36" s="20"/>
      <c r="I36" s="20"/>
      <c r="J36" s="20"/>
      <c r="K36" s="20"/>
      <c r="L36" s="20" t="s">
        <v>1164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/>
      <c r="C37" s="20">
        <v>5</v>
      </c>
      <c r="D37" s="20">
        <v>15</v>
      </c>
      <c r="E37" s="20"/>
      <c r="F37" s="7" t="s">
        <v>151</v>
      </c>
      <c r="G37" s="20" t="s">
        <v>1162</v>
      </c>
      <c r="H37" s="20"/>
      <c r="I37" s="20"/>
      <c r="J37" s="20"/>
      <c r="K37" s="20"/>
      <c r="L37" s="20" t="s">
        <v>1153</v>
      </c>
      <c r="M37" s="20" t="s">
        <v>1157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/>
      <c r="C38" s="20">
        <v>6</v>
      </c>
      <c r="D38" s="20">
        <v>15</v>
      </c>
      <c r="E38" s="20"/>
      <c r="F38" s="7" t="s">
        <v>151</v>
      </c>
      <c r="G38" s="20" t="s">
        <v>1150</v>
      </c>
      <c r="H38" s="20"/>
      <c r="I38" s="20"/>
      <c r="J38" s="20"/>
      <c r="K38" s="20"/>
      <c r="L38" s="20" t="s">
        <v>1153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/>
      <c r="C39" s="20">
        <v>7</v>
      </c>
      <c r="D39" s="20">
        <v>15</v>
      </c>
      <c r="E39" s="20"/>
      <c r="F39" s="7" t="s">
        <v>151</v>
      </c>
      <c r="G39" s="20" t="s">
        <v>1162</v>
      </c>
      <c r="H39" s="20"/>
      <c r="I39" s="20"/>
      <c r="J39" s="20"/>
      <c r="K39" s="20"/>
      <c r="L39" s="20" t="s">
        <v>1157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/>
      <c r="C40" s="20">
        <v>8</v>
      </c>
      <c r="D40" s="20">
        <v>15</v>
      </c>
      <c r="E40" s="20"/>
      <c r="F40" s="7" t="s">
        <v>151</v>
      </c>
      <c r="G40" s="20" t="s">
        <v>1162</v>
      </c>
      <c r="H40" s="20"/>
      <c r="I40" s="20"/>
      <c r="J40" s="20"/>
      <c r="K40" s="20"/>
      <c r="L40" s="20" t="s">
        <v>1164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/>
      <c r="C41" s="20">
        <v>9</v>
      </c>
      <c r="D41" s="20">
        <v>15</v>
      </c>
      <c r="E41" s="20"/>
      <c r="F41" s="7" t="s">
        <v>151</v>
      </c>
      <c r="G41" s="20" t="s">
        <v>1151</v>
      </c>
      <c r="H41" s="20"/>
      <c r="I41" s="20" t="s">
        <v>1155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1279</v>
      </c>
      <c r="C42" s="20">
        <v>1</v>
      </c>
      <c r="D42" s="20">
        <v>5</v>
      </c>
      <c r="E42" s="20"/>
      <c r="F42" s="7" t="s">
        <v>151</v>
      </c>
      <c r="G42" s="20" t="s">
        <v>1162</v>
      </c>
      <c r="H42" s="20"/>
      <c r="I42" s="20"/>
      <c r="J42" s="20"/>
      <c r="K42" s="20"/>
      <c r="L42" s="20" t="s">
        <v>1157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/>
      <c r="C43" s="20">
        <v>2</v>
      </c>
      <c r="D43" s="20">
        <v>15</v>
      </c>
      <c r="E43" s="20"/>
      <c r="F43" s="7" t="s">
        <v>151</v>
      </c>
      <c r="G43" s="20" t="s">
        <v>1162</v>
      </c>
      <c r="H43" s="20"/>
      <c r="I43" s="20"/>
      <c r="J43" s="20"/>
      <c r="K43" s="20"/>
      <c r="L43" s="20" t="s">
        <v>1157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/>
      <c r="C44" s="20">
        <v>3</v>
      </c>
      <c r="D44" s="20">
        <v>15</v>
      </c>
      <c r="E44" s="20"/>
      <c r="F44" s="7" t="s">
        <v>151</v>
      </c>
      <c r="G44" s="20" t="s">
        <v>1150</v>
      </c>
      <c r="H44" s="20"/>
      <c r="I44" s="20"/>
      <c r="J44" s="20"/>
      <c r="K44" s="20"/>
      <c r="L44" s="20" t="s">
        <v>1164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/>
      <c r="C45" s="20">
        <v>4</v>
      </c>
      <c r="D45" s="20">
        <v>15</v>
      </c>
      <c r="E45" s="20"/>
      <c r="F45" s="7" t="s">
        <v>151</v>
      </c>
      <c r="G45" s="20" t="s">
        <v>1162</v>
      </c>
      <c r="H45" s="20"/>
      <c r="I45" s="20"/>
      <c r="J45" s="20"/>
      <c r="K45" s="20"/>
      <c r="L45" s="20" t="s">
        <v>1158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/>
      <c r="C46" s="20">
        <v>5</v>
      </c>
      <c r="D46" s="20">
        <v>15</v>
      </c>
      <c r="E46" s="20"/>
      <c r="F46" s="7" t="s">
        <v>151</v>
      </c>
      <c r="G46" s="20" t="s">
        <v>1150</v>
      </c>
      <c r="H46" s="20"/>
      <c r="I46" s="20"/>
      <c r="J46" s="20"/>
      <c r="K46" s="20"/>
      <c r="L46" s="20" t="s">
        <v>1153</v>
      </c>
      <c r="M46" s="20" t="s">
        <v>1154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/>
      <c r="C47" s="20">
        <v>6</v>
      </c>
      <c r="D47" s="20">
        <v>15</v>
      </c>
      <c r="E47" s="20"/>
      <c r="F47" s="7" t="s">
        <v>151</v>
      </c>
      <c r="G47" s="20" t="s">
        <v>1150</v>
      </c>
      <c r="H47" s="20"/>
      <c r="I47" s="20"/>
      <c r="J47" s="20"/>
      <c r="K47" s="20"/>
      <c r="L47" s="20" t="s">
        <v>1157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/>
      <c r="C48" s="20">
        <v>7</v>
      </c>
      <c r="D48" s="20">
        <v>15</v>
      </c>
      <c r="E48" s="20"/>
      <c r="F48" s="7" t="s">
        <v>151</v>
      </c>
      <c r="G48" s="20" t="s">
        <v>1162</v>
      </c>
      <c r="H48" s="20"/>
      <c r="I48" s="20"/>
      <c r="J48" s="20"/>
      <c r="K48" s="20"/>
      <c r="L48" s="20" t="s">
        <v>1154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/>
      <c r="C49" s="20">
        <v>8</v>
      </c>
      <c r="D49" s="20">
        <v>15</v>
      </c>
      <c r="E49" s="20"/>
      <c r="F49" s="7" t="s">
        <v>151</v>
      </c>
      <c r="G49" s="20" t="s">
        <v>1150</v>
      </c>
      <c r="H49" s="20"/>
      <c r="I49" s="20"/>
      <c r="J49" s="20"/>
      <c r="K49" s="20"/>
      <c r="L49" s="20" t="s">
        <v>1158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/>
      <c r="C50" s="20">
        <v>9</v>
      </c>
      <c r="D50" s="20">
        <v>15</v>
      </c>
      <c r="E50" s="20"/>
      <c r="F50" s="7" t="s">
        <v>151</v>
      </c>
      <c r="G50" s="20" t="s">
        <v>1151</v>
      </c>
      <c r="H50" s="20"/>
      <c r="I50" s="20" t="s">
        <v>1155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1280</v>
      </c>
      <c r="C51" s="20">
        <v>1</v>
      </c>
      <c r="D51" s="20">
        <v>5</v>
      </c>
      <c r="E51" s="20"/>
      <c r="F51" s="7" t="s">
        <v>151</v>
      </c>
      <c r="G51" s="20" t="s">
        <v>1162</v>
      </c>
      <c r="H51" s="20"/>
      <c r="I51" s="20"/>
      <c r="J51" s="20"/>
      <c r="K51" s="20"/>
      <c r="L51" s="20" t="s">
        <v>1157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/>
      <c r="C52" s="20">
        <v>2</v>
      </c>
      <c r="D52" s="20">
        <v>15</v>
      </c>
      <c r="E52" s="20"/>
      <c r="F52" s="7" t="s">
        <v>151</v>
      </c>
      <c r="G52" s="20" t="s">
        <v>1150</v>
      </c>
      <c r="H52" s="20"/>
      <c r="I52" s="20"/>
      <c r="J52" s="20"/>
      <c r="K52" s="20"/>
      <c r="L52" s="20" t="s">
        <v>1164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/>
      <c r="C53" s="20">
        <v>3</v>
      </c>
      <c r="D53" s="20">
        <v>15</v>
      </c>
      <c r="E53" s="20"/>
      <c r="F53" s="7" t="s">
        <v>151</v>
      </c>
      <c r="G53" s="20" t="s">
        <v>1150</v>
      </c>
      <c r="H53" s="20"/>
      <c r="I53" s="20"/>
      <c r="J53" s="20"/>
      <c r="K53" s="20"/>
      <c r="L53" s="20" t="s">
        <v>1164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/>
      <c r="C54" s="20">
        <v>4</v>
      </c>
      <c r="D54" s="20">
        <v>15</v>
      </c>
      <c r="E54" s="20"/>
      <c r="F54" s="7" t="s">
        <v>151</v>
      </c>
      <c r="G54" s="20" t="s">
        <v>1162</v>
      </c>
      <c r="H54" s="20"/>
      <c r="I54" s="20"/>
      <c r="J54" s="20"/>
      <c r="K54" s="20"/>
      <c r="L54" s="20" t="s">
        <v>1164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/>
      <c r="C55" s="20">
        <v>5</v>
      </c>
      <c r="D55" s="20">
        <v>15</v>
      </c>
      <c r="E55" s="20"/>
      <c r="F55" s="7" t="s">
        <v>151</v>
      </c>
      <c r="G55" s="20" t="s">
        <v>1150</v>
      </c>
      <c r="H55" s="20"/>
      <c r="I55" s="20"/>
      <c r="J55" s="20"/>
      <c r="K55" s="20"/>
      <c r="L55" s="20" t="s">
        <v>1163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/>
      <c r="C56" s="20">
        <v>6</v>
      </c>
      <c r="D56" s="20">
        <v>15</v>
      </c>
      <c r="E56" s="20"/>
      <c r="F56" s="7" t="s">
        <v>151</v>
      </c>
      <c r="G56" s="20" t="s">
        <v>1151</v>
      </c>
      <c r="H56" s="20"/>
      <c r="I56" s="20" t="s">
        <v>1160</v>
      </c>
      <c r="J56" s="20" t="s">
        <v>1155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/>
      <c r="C57" s="20">
        <v>7</v>
      </c>
      <c r="D57" s="20">
        <v>15</v>
      </c>
      <c r="E57" s="20"/>
      <c r="F57" s="7" t="s">
        <v>151</v>
      </c>
      <c r="G57" s="20" t="s">
        <v>1162</v>
      </c>
      <c r="H57" s="20"/>
      <c r="I57" s="20"/>
      <c r="J57" s="20"/>
      <c r="K57" s="20"/>
      <c r="L57" s="20" t="s">
        <v>1154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/>
      <c r="C58" s="20">
        <v>8</v>
      </c>
      <c r="D58" s="20">
        <v>15</v>
      </c>
      <c r="E58" s="20"/>
      <c r="F58" s="7" t="s">
        <v>151</v>
      </c>
      <c r="G58" s="20" t="s">
        <v>1150</v>
      </c>
      <c r="H58" s="20"/>
      <c r="I58" s="20"/>
      <c r="J58" s="20"/>
      <c r="K58" s="20"/>
      <c r="L58" s="20" t="s">
        <v>1158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/>
      <c r="C59" s="20">
        <v>9</v>
      </c>
      <c r="D59" s="20">
        <v>15</v>
      </c>
      <c r="E59" s="20"/>
      <c r="F59" s="7" t="s">
        <v>151</v>
      </c>
      <c r="G59" s="20" t="s">
        <v>1151</v>
      </c>
      <c r="H59" s="20"/>
      <c r="I59" s="20" t="s">
        <v>1161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1281</v>
      </c>
      <c r="C60" s="20">
        <v>1</v>
      </c>
      <c r="D60" s="20">
        <v>5</v>
      </c>
      <c r="E60" s="20"/>
      <c r="F60" s="7" t="s">
        <v>151</v>
      </c>
      <c r="G60" s="20" t="s">
        <v>1162</v>
      </c>
      <c r="H60" s="20"/>
      <c r="I60" s="20"/>
      <c r="J60" s="20"/>
      <c r="K60" s="20"/>
      <c r="L60" s="20" t="s">
        <v>1153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/>
      <c r="C61" s="20">
        <v>2</v>
      </c>
      <c r="D61" s="20">
        <v>15</v>
      </c>
      <c r="E61" s="20"/>
      <c r="F61" s="7" t="s">
        <v>151</v>
      </c>
      <c r="G61" s="20" t="s">
        <v>1150</v>
      </c>
      <c r="H61" s="20"/>
      <c r="I61" s="20"/>
      <c r="J61" s="20"/>
      <c r="K61" s="20"/>
      <c r="L61" s="20" t="s">
        <v>1153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/>
      <c r="C62" s="20">
        <v>3</v>
      </c>
      <c r="D62" s="20">
        <v>15</v>
      </c>
      <c r="E62" s="20"/>
      <c r="F62" s="7" t="s">
        <v>151</v>
      </c>
      <c r="G62" s="20" t="s">
        <v>1151</v>
      </c>
      <c r="H62" s="20"/>
      <c r="I62" s="20" t="s">
        <v>1161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/>
      <c r="C63" s="20">
        <v>4</v>
      </c>
      <c r="D63" s="20">
        <v>15</v>
      </c>
      <c r="E63" s="20"/>
      <c r="F63" s="7" t="s">
        <v>151</v>
      </c>
      <c r="G63" s="20" t="s">
        <v>1150</v>
      </c>
      <c r="H63" s="20"/>
      <c r="I63" s="20"/>
      <c r="J63" s="20"/>
      <c r="K63" s="20"/>
      <c r="L63" s="20" t="s">
        <v>1163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/>
      <c r="C64" s="20">
        <v>5</v>
      </c>
      <c r="D64" s="20">
        <v>15</v>
      </c>
      <c r="E64" s="20"/>
      <c r="F64" s="7" t="s">
        <v>151</v>
      </c>
      <c r="G64" s="20" t="s">
        <v>1150</v>
      </c>
      <c r="H64" s="20"/>
      <c r="I64" s="20"/>
      <c r="J64" s="20"/>
      <c r="K64" s="20"/>
      <c r="L64" s="20" t="s">
        <v>1153</v>
      </c>
      <c r="M64" s="20" t="s">
        <v>1157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/>
      <c r="C65" s="20">
        <v>6</v>
      </c>
      <c r="D65" s="20">
        <v>15</v>
      </c>
      <c r="E65" s="20"/>
      <c r="F65" s="7" t="s">
        <v>151</v>
      </c>
      <c r="G65" s="20" t="s">
        <v>1151</v>
      </c>
      <c r="H65" s="20"/>
      <c r="I65" s="20" t="s">
        <v>1159</v>
      </c>
      <c r="J65" s="20" t="s">
        <v>1148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/>
      <c r="C66" s="20">
        <v>7</v>
      </c>
      <c r="D66" s="20">
        <v>15</v>
      </c>
      <c r="E66" s="20"/>
      <c r="F66" s="7" t="s">
        <v>151</v>
      </c>
      <c r="G66" s="20" t="s">
        <v>1150</v>
      </c>
      <c r="H66" s="20"/>
      <c r="I66" s="20"/>
      <c r="J66" s="20"/>
      <c r="K66" s="20"/>
      <c r="L66" s="20" t="s">
        <v>1157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/>
      <c r="C67" s="20">
        <v>8</v>
      </c>
      <c r="D67" s="20">
        <v>15</v>
      </c>
      <c r="E67" s="20"/>
      <c r="F67" s="7" t="s">
        <v>151</v>
      </c>
      <c r="G67" s="20" t="s">
        <v>1151</v>
      </c>
      <c r="H67" s="20"/>
      <c r="I67" s="20"/>
      <c r="J67" s="20"/>
      <c r="K67" s="20"/>
      <c r="L67" s="20" t="s">
        <v>1158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/>
      <c r="C68" s="20">
        <v>9</v>
      </c>
      <c r="D68" s="20">
        <v>15</v>
      </c>
      <c r="E68" s="20"/>
      <c r="F68" s="7" t="s">
        <v>151</v>
      </c>
      <c r="G68" s="20" t="s">
        <v>1152</v>
      </c>
      <c r="H68" s="20"/>
      <c r="I68" s="20" t="s">
        <v>1159</v>
      </c>
      <c r="J68" s="20" t="s">
        <v>1149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1282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/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/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/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/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1292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1283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/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1288</v>
      </c>
      <c r="M75" s="38" t="s">
        <v>1290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/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1288</v>
      </c>
      <c r="M76" s="38" t="s">
        <v>1289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/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1288</v>
      </c>
      <c r="M77" s="38" t="s">
        <v>1290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/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1287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1284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/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/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/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/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1291</v>
      </c>
      <c r="J83" s="37" t="s">
        <v>1287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1285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/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/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/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1293</v>
      </c>
      <c r="J87" s="38" t="s">
        <v>1294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/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1132</v>
      </c>
      <c r="C89" s="20">
        <v>1</v>
      </c>
      <c r="D89" s="20"/>
      <c r="E89" s="20"/>
      <c r="F89" s="7" t="s">
        <v>151</v>
      </c>
      <c r="G89" s="20" t="s">
        <v>1162</v>
      </c>
      <c r="H89" s="20"/>
      <c r="I89" s="20"/>
      <c r="J89" s="20"/>
      <c r="K89" s="20"/>
      <c r="L89" s="20" t="s">
        <v>1153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/>
      <c r="C90" s="20">
        <v>2</v>
      </c>
      <c r="D90" s="20"/>
      <c r="E90" s="20"/>
      <c r="F90" s="7" t="s">
        <v>151</v>
      </c>
      <c r="G90" s="20" t="s">
        <v>1150</v>
      </c>
      <c r="H90" s="20"/>
      <c r="I90" s="20"/>
      <c r="J90" s="20"/>
      <c r="K90" s="20"/>
      <c r="L90" s="20" t="s">
        <v>1156</v>
      </c>
      <c r="M90" s="20" t="s">
        <v>1158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/>
      <c r="C91" s="20">
        <v>3</v>
      </c>
      <c r="D91" s="20"/>
      <c r="E91" s="20"/>
      <c r="F91" s="7" t="s">
        <v>151</v>
      </c>
      <c r="G91" s="20" t="s">
        <v>1151</v>
      </c>
      <c r="H91" s="20"/>
      <c r="I91" s="20" t="s">
        <v>1155</v>
      </c>
      <c r="J91" s="20" t="s">
        <v>1149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/>
      <c r="C92" s="20">
        <v>4</v>
      </c>
      <c r="D92" s="20"/>
      <c r="E92" s="20"/>
      <c r="F92" s="7" t="s">
        <v>151</v>
      </c>
      <c r="G92" s="20" t="s">
        <v>1162</v>
      </c>
      <c r="H92" s="20"/>
      <c r="I92" s="20"/>
      <c r="J92" s="20"/>
      <c r="K92" s="20"/>
      <c r="L92" s="20" t="s">
        <v>1153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1133</v>
      </c>
      <c r="C93" s="20">
        <v>1</v>
      </c>
      <c r="D93" s="20"/>
      <c r="E93" s="20"/>
      <c r="F93" s="7" t="s">
        <v>151</v>
      </c>
      <c r="G93" s="20" t="s">
        <v>1150</v>
      </c>
      <c r="H93" s="20"/>
      <c r="I93" s="20"/>
      <c r="J93" s="20"/>
      <c r="K93" s="20"/>
      <c r="L93" s="20" t="s">
        <v>1156</v>
      </c>
      <c r="M93" s="20" t="s">
        <v>1158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/>
      <c r="C94" s="20">
        <v>2</v>
      </c>
      <c r="D94" s="20"/>
      <c r="E94" s="20"/>
      <c r="F94" s="7" t="s">
        <v>151</v>
      </c>
      <c r="G94" s="20" t="s">
        <v>1150</v>
      </c>
      <c r="H94" s="20"/>
      <c r="I94" s="20"/>
      <c r="J94" s="20"/>
      <c r="K94" s="20"/>
      <c r="L94" s="20" t="s">
        <v>1153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/>
      <c r="C95" s="20">
        <v>3</v>
      </c>
      <c r="D95" s="20"/>
      <c r="E95" s="20"/>
      <c r="F95" s="7" t="s">
        <v>151</v>
      </c>
      <c r="G95" s="20" t="s">
        <v>1150</v>
      </c>
      <c r="H95" s="20"/>
      <c r="I95" s="20"/>
      <c r="J95" s="20"/>
      <c r="K95" s="20"/>
      <c r="L95" s="20" t="s">
        <v>1153</v>
      </c>
      <c r="M95" s="20" t="s">
        <v>1157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/>
      <c r="C96" s="20">
        <v>4</v>
      </c>
      <c r="D96" s="20"/>
      <c r="E96" s="20"/>
      <c r="F96" s="7" t="s">
        <v>151</v>
      </c>
      <c r="G96" s="20" t="s">
        <v>1150</v>
      </c>
      <c r="H96" s="20"/>
      <c r="I96" s="20"/>
      <c r="J96" s="20"/>
      <c r="K96" s="20"/>
      <c r="L96" s="20" t="s">
        <v>1153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1134</v>
      </c>
      <c r="C97" s="20">
        <v>1</v>
      </c>
      <c r="D97" s="20"/>
      <c r="E97" s="20"/>
      <c r="F97" s="7" t="s">
        <v>151</v>
      </c>
      <c r="G97" s="20" t="s">
        <v>1150</v>
      </c>
      <c r="H97" s="20"/>
      <c r="I97" s="20"/>
      <c r="J97" s="20"/>
      <c r="K97" s="20"/>
      <c r="L97" s="20" t="s">
        <v>1156</v>
      </c>
      <c r="M97" s="20" t="s">
        <v>1158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/>
      <c r="C98" s="20">
        <v>2</v>
      </c>
      <c r="D98" s="20"/>
      <c r="E98" s="20"/>
      <c r="F98" s="7" t="s">
        <v>151</v>
      </c>
      <c r="G98" s="20" t="s">
        <v>1151</v>
      </c>
      <c r="H98" s="20"/>
      <c r="I98" s="20"/>
      <c r="J98" s="20"/>
      <c r="K98" s="20"/>
      <c r="L98" s="20" t="s">
        <v>1153</v>
      </c>
      <c r="M98" s="20" t="s">
        <v>1157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/>
      <c r="C99" s="20">
        <v>3</v>
      </c>
      <c r="D99" s="20"/>
      <c r="E99" s="20"/>
      <c r="F99" s="7" t="s">
        <v>151</v>
      </c>
      <c r="G99" s="20" t="s">
        <v>1150</v>
      </c>
      <c r="H99" s="20"/>
      <c r="I99" s="20"/>
      <c r="J99" s="20"/>
      <c r="K99" s="20"/>
      <c r="L99" s="20" t="s">
        <v>1153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/>
      <c r="C100" s="20">
        <v>4</v>
      </c>
      <c r="D100" s="20"/>
      <c r="E100" s="20"/>
      <c r="F100" s="7" t="s">
        <v>151</v>
      </c>
      <c r="G100" s="20" t="s">
        <v>1150</v>
      </c>
      <c r="H100" s="20"/>
      <c r="I100" s="20"/>
      <c r="J100" s="20"/>
      <c r="K100" s="20"/>
      <c r="L100" s="20" t="s">
        <v>1153</v>
      </c>
      <c r="M100" s="20" t="s">
        <v>1157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1135</v>
      </c>
      <c r="C101" s="20">
        <v>1</v>
      </c>
      <c r="D101" s="20"/>
      <c r="E101" s="20"/>
      <c r="F101" s="7" t="s">
        <v>151</v>
      </c>
      <c r="G101" s="20" t="s">
        <v>1150</v>
      </c>
      <c r="H101" s="20"/>
      <c r="I101" s="20"/>
      <c r="J101" s="20"/>
      <c r="K101" s="20"/>
      <c r="L101" s="20" t="s">
        <v>1156</v>
      </c>
      <c r="M101" s="20" t="s">
        <v>1158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/>
      <c r="C102" s="20">
        <v>2</v>
      </c>
      <c r="D102" s="20"/>
      <c r="E102" s="20"/>
      <c r="F102" s="7" t="s">
        <v>151</v>
      </c>
      <c r="G102" s="20" t="s">
        <v>1151</v>
      </c>
      <c r="H102" s="20"/>
      <c r="I102" s="20"/>
      <c r="J102" s="20"/>
      <c r="K102" s="20"/>
      <c r="L102" s="20" t="s">
        <v>1153</v>
      </c>
      <c r="M102" s="20" t="s">
        <v>1157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/>
      <c r="C103" s="20">
        <v>3</v>
      </c>
      <c r="D103" s="20"/>
      <c r="E103" s="20"/>
      <c r="F103" s="7" t="s">
        <v>151</v>
      </c>
      <c r="G103" s="20" t="s">
        <v>1151</v>
      </c>
      <c r="H103" s="20"/>
      <c r="I103" s="20"/>
      <c r="J103" s="20"/>
      <c r="K103" s="20"/>
      <c r="L103" s="20" t="s">
        <v>1153</v>
      </c>
      <c r="M103" s="20" t="s">
        <v>1157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/>
      <c r="C104" s="20">
        <v>4</v>
      </c>
      <c r="D104" s="20"/>
      <c r="E104" s="20"/>
      <c r="F104" s="7" t="s">
        <v>151</v>
      </c>
      <c r="G104" s="20" t="s">
        <v>1150</v>
      </c>
      <c r="H104" s="20"/>
      <c r="I104" s="20"/>
      <c r="J104" s="20"/>
      <c r="K104" s="20"/>
      <c r="L104" s="20" t="s">
        <v>1153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1136</v>
      </c>
      <c r="C105" s="20">
        <v>1</v>
      </c>
      <c r="D105" s="20"/>
      <c r="E105" s="20"/>
      <c r="F105" s="7" t="s">
        <v>151</v>
      </c>
      <c r="G105" s="20" t="s">
        <v>1162</v>
      </c>
      <c r="H105" s="20"/>
      <c r="I105" s="20"/>
      <c r="J105" s="20"/>
      <c r="K105" s="20"/>
      <c r="L105" s="20" t="s">
        <v>1153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/>
      <c r="C106" s="20">
        <v>2</v>
      </c>
      <c r="D106" s="20"/>
      <c r="E106" s="20"/>
      <c r="F106" s="7" t="s">
        <v>151</v>
      </c>
      <c r="G106" s="20" t="s">
        <v>1150</v>
      </c>
      <c r="H106" s="20"/>
      <c r="I106" s="20" t="s">
        <v>1155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/>
      <c r="C107" s="20">
        <v>3</v>
      </c>
      <c r="D107" s="20"/>
      <c r="E107" s="20"/>
      <c r="F107" s="7" t="s">
        <v>151</v>
      </c>
      <c r="G107" s="20" t="s">
        <v>1151</v>
      </c>
      <c r="H107" s="20"/>
      <c r="I107" s="20" t="s">
        <v>1155</v>
      </c>
      <c r="J107" s="20" t="s">
        <v>1149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1137</v>
      </c>
      <c r="C108" s="20">
        <v>1</v>
      </c>
      <c r="D108" s="20"/>
      <c r="E108" s="20"/>
      <c r="F108" s="7" t="s">
        <v>151</v>
      </c>
      <c r="G108" s="20" t="s">
        <v>1150</v>
      </c>
      <c r="H108" s="20"/>
      <c r="I108" s="20"/>
      <c r="J108" s="20"/>
      <c r="K108" s="20"/>
      <c r="L108" s="20" t="s">
        <v>1156</v>
      </c>
      <c r="M108" s="20" t="s">
        <v>1158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/>
      <c r="C109" s="20">
        <v>2</v>
      </c>
      <c r="D109" s="20"/>
      <c r="E109" s="20"/>
      <c r="F109" s="7" t="s">
        <v>151</v>
      </c>
      <c r="G109" s="20" t="s">
        <v>1150</v>
      </c>
      <c r="H109" s="20"/>
      <c r="I109" s="20" t="s">
        <v>1155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/>
      <c r="C110" s="20">
        <v>3</v>
      </c>
      <c r="D110" s="20"/>
      <c r="E110" s="20"/>
      <c r="F110" s="7" t="s">
        <v>151</v>
      </c>
      <c r="G110" s="20" t="s">
        <v>1151</v>
      </c>
      <c r="H110" s="20"/>
      <c r="I110" s="20" t="s">
        <v>1155</v>
      </c>
      <c r="J110" s="20" t="s">
        <v>1149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1138</v>
      </c>
      <c r="C111" s="20">
        <v>1</v>
      </c>
      <c r="D111" s="20"/>
      <c r="E111" s="20"/>
      <c r="F111" s="7" t="s">
        <v>151</v>
      </c>
      <c r="G111" s="20" t="s">
        <v>1150</v>
      </c>
      <c r="H111" s="20"/>
      <c r="I111" s="20" t="s">
        <v>1155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/>
      <c r="C112" s="20">
        <v>2</v>
      </c>
      <c r="D112" s="20"/>
      <c r="E112" s="20"/>
      <c r="F112" s="7" t="s">
        <v>151</v>
      </c>
      <c r="G112" s="20" t="s">
        <v>1151</v>
      </c>
      <c r="H112" s="20"/>
      <c r="I112" s="20" t="s">
        <v>1155</v>
      </c>
      <c r="J112" s="20" t="s">
        <v>1149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/>
      <c r="C113" s="20">
        <v>3</v>
      </c>
      <c r="D113" s="20"/>
      <c r="E113" s="20"/>
      <c r="F113" s="7" t="s">
        <v>151</v>
      </c>
      <c r="G113" s="20" t="s">
        <v>1152</v>
      </c>
      <c r="H113" s="20"/>
      <c r="I113" s="20" t="s">
        <v>1155</v>
      </c>
      <c r="J113" s="20" t="s">
        <v>1148</v>
      </c>
      <c r="K113" s="20" t="s">
        <v>1161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1139</v>
      </c>
      <c r="C114" s="20">
        <v>1</v>
      </c>
      <c r="D114" s="20"/>
      <c r="E114" s="20"/>
      <c r="F114" s="7" t="s">
        <v>151</v>
      </c>
      <c r="G114" s="20" t="s">
        <v>1151</v>
      </c>
      <c r="H114" s="20"/>
      <c r="I114" s="20" t="s">
        <v>1149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/>
      <c r="C115" s="20">
        <v>2</v>
      </c>
      <c r="D115" s="20"/>
      <c r="E115" s="20"/>
      <c r="F115" s="7" t="s">
        <v>151</v>
      </c>
      <c r="G115" s="20" t="s">
        <v>1151</v>
      </c>
      <c r="H115" s="20"/>
      <c r="I115" s="20" t="s">
        <v>1155</v>
      </c>
      <c r="J115" s="20" t="s">
        <v>1149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/>
      <c r="C116" s="20">
        <v>3</v>
      </c>
      <c r="D116" s="20"/>
      <c r="E116" s="20"/>
      <c r="F116" s="7" t="s">
        <v>151</v>
      </c>
      <c r="G116" s="20" t="s">
        <v>1152</v>
      </c>
      <c r="H116" s="20"/>
      <c r="I116" s="20" t="s">
        <v>1159</v>
      </c>
      <c r="J116" s="20" t="s">
        <v>1149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1391</v>
      </c>
      <c r="C117" s="20">
        <v>1</v>
      </c>
      <c r="D117" s="20"/>
      <c r="E117" s="20"/>
      <c r="F117" s="7" t="s">
        <v>151</v>
      </c>
      <c r="G117" s="43" t="s">
        <v>1380</v>
      </c>
      <c r="H117" s="20"/>
      <c r="I117" s="43"/>
      <c r="J117" s="20"/>
      <c r="K117" s="20"/>
      <c r="L117" s="20" t="s">
        <v>34</v>
      </c>
      <c r="M117" s="43" t="s">
        <v>1382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/>
      <c r="C118" s="20">
        <v>2</v>
      </c>
      <c r="D118" s="20"/>
      <c r="E118" s="20"/>
      <c r="F118" s="7" t="s">
        <v>151</v>
      </c>
      <c r="G118" s="43" t="s">
        <v>1392</v>
      </c>
      <c r="H118" s="20" t="b">
        <v>1</v>
      </c>
      <c r="I118" s="20" t="s">
        <v>1159</v>
      </c>
      <c r="J118" s="20"/>
      <c r="K118" s="20"/>
      <c r="L118" s="20" t="s">
        <v>1157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1140</v>
      </c>
      <c r="C119" s="20">
        <v>1</v>
      </c>
      <c r="D119" s="20"/>
      <c r="E119" s="20"/>
      <c r="F119" s="7" t="s">
        <v>151</v>
      </c>
      <c r="G119" s="20" t="s">
        <v>1151</v>
      </c>
      <c r="H119" s="20" t="b">
        <v>1</v>
      </c>
      <c r="I119" s="20" t="s">
        <v>1161</v>
      </c>
      <c r="J119" s="20" t="s">
        <v>1161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/>
      <c r="C120" s="20">
        <v>2</v>
      </c>
      <c r="D120" s="20"/>
      <c r="E120" s="20"/>
      <c r="F120" s="7" t="s">
        <v>151</v>
      </c>
      <c r="G120" s="20" t="s">
        <v>1151</v>
      </c>
      <c r="H120" s="20" t="b">
        <v>1</v>
      </c>
      <c r="I120" s="20" t="s">
        <v>1159</v>
      </c>
      <c r="J120" s="20"/>
      <c r="K120" s="20"/>
      <c r="L120" s="20" t="s">
        <v>1157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1141</v>
      </c>
      <c r="C121" s="20">
        <v>1</v>
      </c>
      <c r="D121" s="20"/>
      <c r="E121" s="20"/>
      <c r="F121" s="7" t="s">
        <v>151</v>
      </c>
      <c r="G121" s="20" t="s">
        <v>1151</v>
      </c>
      <c r="H121" s="20" t="b">
        <v>1</v>
      </c>
      <c r="I121" s="20" t="s">
        <v>1148</v>
      </c>
      <c r="J121" s="20"/>
      <c r="K121" s="20"/>
      <c r="L121" s="20" t="s">
        <v>1153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/>
      <c r="C122" s="20">
        <v>2</v>
      </c>
      <c r="D122" s="20"/>
      <c r="E122" s="20"/>
      <c r="F122" s="7" t="s">
        <v>151</v>
      </c>
      <c r="G122" s="20" t="s">
        <v>1152</v>
      </c>
      <c r="H122" s="20" t="b">
        <v>1</v>
      </c>
      <c r="I122" s="20" t="s">
        <v>1155</v>
      </c>
      <c r="J122" s="20" t="s">
        <v>1161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1393</v>
      </c>
      <c r="C123" s="20">
        <v>1</v>
      </c>
      <c r="D123" s="20"/>
      <c r="E123" s="20"/>
      <c r="F123" s="7" t="s">
        <v>151</v>
      </c>
      <c r="G123" s="43" t="s">
        <v>1394</v>
      </c>
      <c r="H123" s="20" t="b">
        <v>1</v>
      </c>
      <c r="I123" s="20" t="s">
        <v>1155</v>
      </c>
      <c r="J123" s="20" t="s">
        <v>1161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/>
      <c r="C124" s="20">
        <v>2</v>
      </c>
      <c r="D124" s="20"/>
      <c r="E124" s="20"/>
      <c r="F124" s="7" t="s">
        <v>151</v>
      </c>
      <c r="G124" s="43" t="s">
        <v>1390</v>
      </c>
      <c r="H124" s="20" t="b">
        <v>1</v>
      </c>
      <c r="I124" s="20" t="s">
        <v>1155</v>
      </c>
      <c r="J124" s="20" t="s">
        <v>1161</v>
      </c>
      <c r="K124" s="43" t="s">
        <v>1387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1379</v>
      </c>
      <c r="C125" s="20">
        <v>1</v>
      </c>
      <c r="D125" s="20"/>
      <c r="E125" s="20"/>
      <c r="F125" s="7" t="s">
        <v>151</v>
      </c>
      <c r="G125" s="43" t="s">
        <v>1380</v>
      </c>
      <c r="H125" s="20"/>
      <c r="I125" s="43" t="s">
        <v>1381</v>
      </c>
      <c r="J125" s="20"/>
      <c r="K125" s="20"/>
      <c r="L125" s="43" t="s">
        <v>1382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1142</v>
      </c>
      <c r="C126" s="20">
        <v>1</v>
      </c>
      <c r="D126" s="20"/>
      <c r="E126" s="20"/>
      <c r="F126" s="7" t="s">
        <v>151</v>
      </c>
      <c r="G126" s="20" t="s">
        <v>1151</v>
      </c>
      <c r="H126" s="20" t="b">
        <v>1</v>
      </c>
      <c r="I126" s="20" t="s">
        <v>1159</v>
      </c>
      <c r="J126" s="20" t="s">
        <v>1160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1143</v>
      </c>
      <c r="C127" s="20">
        <v>1</v>
      </c>
      <c r="D127" s="20"/>
      <c r="E127" s="20"/>
      <c r="F127" s="7" t="s">
        <v>151</v>
      </c>
      <c r="G127" s="20" t="s">
        <v>1152</v>
      </c>
      <c r="H127" s="20" t="b">
        <v>1</v>
      </c>
      <c r="I127" s="20" t="s">
        <v>1155</v>
      </c>
      <c r="J127" s="20" t="s">
        <v>1161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1383</v>
      </c>
      <c r="C128" s="20">
        <v>1</v>
      </c>
      <c r="D128" s="20"/>
      <c r="E128" s="20"/>
      <c r="F128" s="43" t="s">
        <v>1384</v>
      </c>
      <c r="G128" s="20" t="s">
        <v>194</v>
      </c>
      <c r="H128" s="20" t="b">
        <v>1</v>
      </c>
      <c r="I128" s="43" t="s">
        <v>1385</v>
      </c>
      <c r="J128" s="43" t="s">
        <v>1386</v>
      </c>
      <c r="K128" s="43" t="s">
        <v>1387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1388</v>
      </c>
      <c r="C129" s="20">
        <v>1</v>
      </c>
      <c r="D129" s="20"/>
      <c r="E129" s="20"/>
      <c r="F129" s="7" t="s">
        <v>151</v>
      </c>
      <c r="G129" s="43" t="s">
        <v>1380</v>
      </c>
      <c r="H129" s="20"/>
      <c r="I129" s="43" t="s">
        <v>1381</v>
      </c>
      <c r="J129" s="20"/>
      <c r="K129" s="20"/>
      <c r="L129" s="43" t="s">
        <v>1382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1144</v>
      </c>
      <c r="C130" s="20">
        <v>1</v>
      </c>
      <c r="D130" s="20"/>
      <c r="E130" s="20"/>
      <c r="F130" s="7" t="s">
        <v>151</v>
      </c>
      <c r="G130" s="20" t="s">
        <v>1151</v>
      </c>
      <c r="H130" s="20" t="b">
        <v>1</v>
      </c>
      <c r="I130" s="20" t="s">
        <v>1159</v>
      </c>
      <c r="J130" s="20" t="s">
        <v>1160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1145</v>
      </c>
      <c r="C131" s="20">
        <v>1</v>
      </c>
      <c r="D131" s="20"/>
      <c r="E131" s="20"/>
      <c r="F131" s="7" t="s">
        <v>151</v>
      </c>
      <c r="G131" s="20" t="s">
        <v>1152</v>
      </c>
      <c r="H131" s="20" t="b">
        <v>1</v>
      </c>
      <c r="I131" s="20" t="s">
        <v>1155</v>
      </c>
      <c r="J131" s="20" t="s">
        <v>1161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1389</v>
      </c>
      <c r="C132" s="20">
        <v>1</v>
      </c>
      <c r="D132" s="20"/>
      <c r="E132" s="20"/>
      <c r="F132" s="7" t="s">
        <v>151</v>
      </c>
      <c r="G132" s="43" t="s">
        <v>1390</v>
      </c>
      <c r="H132" s="20" t="b">
        <v>1</v>
      </c>
      <c r="I132" s="43" t="s">
        <v>1385</v>
      </c>
      <c r="J132" s="43" t="s">
        <v>1386</v>
      </c>
      <c r="K132" s="43" t="s">
        <v>1387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1401</v>
      </c>
      <c r="C133" s="20">
        <v>1</v>
      </c>
      <c r="D133" s="20"/>
      <c r="E133" s="19" t="s">
        <v>1396</v>
      </c>
      <c r="F133" s="7" t="s">
        <v>151</v>
      </c>
      <c r="G133" s="43" t="s">
        <v>1380</v>
      </c>
      <c r="H133" s="20"/>
      <c r="I133" s="20"/>
      <c r="J133" s="20"/>
      <c r="K133" s="20"/>
      <c r="L133" s="20" t="s">
        <v>1156</v>
      </c>
      <c r="M133" s="20" t="s">
        <v>1157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/>
      <c r="C134" s="20">
        <v>2</v>
      </c>
      <c r="D134" s="20"/>
      <c r="E134" s="19" t="s">
        <v>1397</v>
      </c>
      <c r="F134" s="7" t="s">
        <v>151</v>
      </c>
      <c r="G134" s="43" t="s">
        <v>1380</v>
      </c>
      <c r="H134" s="20"/>
      <c r="I134" s="20" t="s">
        <v>1155</v>
      </c>
      <c r="J134" s="20"/>
      <c r="K134" s="20"/>
      <c r="L134" s="43" t="s">
        <v>1403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/>
      <c r="C135" s="20">
        <v>3</v>
      </c>
      <c r="D135" s="20"/>
      <c r="E135" s="19" t="s">
        <v>1398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/>
      <c r="C136" s="20">
        <v>4</v>
      </c>
      <c r="D136" s="20"/>
      <c r="E136" s="19" t="s">
        <v>1399</v>
      </c>
      <c r="F136" s="7" t="s">
        <v>151</v>
      </c>
      <c r="G136" s="28" t="s">
        <v>33</v>
      </c>
      <c r="H136" s="20"/>
      <c r="I136" s="20" t="s">
        <v>1155</v>
      </c>
      <c r="J136" s="20"/>
      <c r="K136" s="20"/>
      <c r="L136" s="43" t="s">
        <v>1404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/>
      <c r="C137" s="20">
        <v>5</v>
      </c>
      <c r="D137" s="20"/>
      <c r="E137" s="19" t="s">
        <v>1400</v>
      </c>
      <c r="F137" s="7" t="s">
        <v>151</v>
      </c>
      <c r="G137" s="28" t="s">
        <v>1125</v>
      </c>
      <c r="H137" s="20"/>
      <c r="I137" s="20" t="s">
        <v>1155</v>
      </c>
      <c r="J137" s="20" t="s">
        <v>1148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1146</v>
      </c>
      <c r="C138" s="20">
        <v>1</v>
      </c>
      <c r="D138" s="20"/>
      <c r="E138" s="19" t="s">
        <v>1396</v>
      </c>
      <c r="F138" s="7" t="s">
        <v>151</v>
      </c>
      <c r="G138" s="28" t="s">
        <v>1151</v>
      </c>
      <c r="H138" s="20"/>
      <c r="I138" s="20"/>
      <c r="J138" s="20"/>
      <c r="K138" s="20"/>
      <c r="L138" s="20" t="s">
        <v>1156</v>
      </c>
      <c r="M138" s="20" t="s">
        <v>1157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/>
      <c r="C139" s="20">
        <v>2</v>
      </c>
      <c r="D139" s="20"/>
      <c r="E139" s="19" t="s">
        <v>1397</v>
      </c>
      <c r="F139" s="7" t="s">
        <v>151</v>
      </c>
      <c r="G139" s="28" t="s">
        <v>1151</v>
      </c>
      <c r="H139" s="20"/>
      <c r="I139" s="20" t="s">
        <v>1155</v>
      </c>
      <c r="J139" s="20" t="s">
        <v>1148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/>
      <c r="C140" s="20">
        <v>3</v>
      </c>
      <c r="D140" s="20"/>
      <c r="E140" s="19" t="s">
        <v>1398</v>
      </c>
      <c r="F140" s="7" t="s">
        <v>151</v>
      </c>
      <c r="G140" s="28" t="s">
        <v>1150</v>
      </c>
      <c r="H140" s="20"/>
      <c r="I140" s="20"/>
      <c r="J140" s="20"/>
      <c r="K140" s="20"/>
      <c r="L140" s="20" t="s">
        <v>1153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/>
      <c r="C141" s="20">
        <v>4</v>
      </c>
      <c r="D141" s="20"/>
      <c r="E141" s="19" t="s">
        <v>1399</v>
      </c>
      <c r="F141" s="7" t="s">
        <v>151</v>
      </c>
      <c r="G141" s="28" t="s">
        <v>1151</v>
      </c>
      <c r="H141" s="20"/>
      <c r="I141" s="20" t="s">
        <v>1155</v>
      </c>
      <c r="J141" s="20" t="s">
        <v>1149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/>
      <c r="C142" s="20">
        <v>5</v>
      </c>
      <c r="D142" s="20"/>
      <c r="E142" s="19" t="s">
        <v>1400</v>
      </c>
      <c r="F142" s="7" t="s">
        <v>151</v>
      </c>
      <c r="G142" s="28" t="s">
        <v>1151</v>
      </c>
      <c r="H142" s="20"/>
      <c r="I142" s="20" t="s">
        <v>1155</v>
      </c>
      <c r="J142" s="20" t="s">
        <v>1148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1147</v>
      </c>
      <c r="C143" s="20">
        <v>1</v>
      </c>
      <c r="D143" s="20"/>
      <c r="E143" s="19" t="s">
        <v>1396</v>
      </c>
      <c r="F143" s="7" t="s">
        <v>151</v>
      </c>
      <c r="G143" s="28" t="s">
        <v>1151</v>
      </c>
      <c r="H143" s="20"/>
      <c r="I143" s="20"/>
      <c r="J143" s="20"/>
      <c r="K143" s="20"/>
      <c r="L143" s="20" t="s">
        <v>1156</v>
      </c>
      <c r="M143" s="20" t="s">
        <v>1157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/>
      <c r="C144" s="20">
        <v>2</v>
      </c>
      <c r="D144" s="20"/>
      <c r="E144" s="19" t="s">
        <v>1397</v>
      </c>
      <c r="F144" s="7" t="s">
        <v>151</v>
      </c>
      <c r="G144" s="28" t="s">
        <v>1152</v>
      </c>
      <c r="H144" s="20" t="b">
        <v>1</v>
      </c>
      <c r="I144" s="20" t="s">
        <v>1159</v>
      </c>
      <c r="J144" s="20" t="s">
        <v>1161</v>
      </c>
      <c r="K144" s="20" t="s">
        <v>1161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/>
      <c r="C145" s="20">
        <v>3</v>
      </c>
      <c r="D145" s="20"/>
      <c r="E145" s="19" t="s">
        <v>1398</v>
      </c>
      <c r="F145" s="7" t="s">
        <v>151</v>
      </c>
      <c r="G145" s="28" t="s">
        <v>1150</v>
      </c>
      <c r="H145" s="20"/>
      <c r="I145" s="20"/>
      <c r="J145" s="20"/>
      <c r="K145" s="20"/>
      <c r="L145" s="20" t="s">
        <v>1156</v>
      </c>
      <c r="M145" s="20" t="s">
        <v>1164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/>
      <c r="C146" s="20">
        <v>4</v>
      </c>
      <c r="D146" s="20"/>
      <c r="E146" s="19" t="s">
        <v>1399</v>
      </c>
      <c r="F146" s="7" t="s">
        <v>151</v>
      </c>
      <c r="G146" s="28" t="s">
        <v>1151</v>
      </c>
      <c r="H146" s="20"/>
      <c r="I146" s="20" t="s">
        <v>1155</v>
      </c>
      <c r="J146" s="20" t="s">
        <v>1149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/>
      <c r="C147" s="20">
        <v>5</v>
      </c>
      <c r="D147" s="20"/>
      <c r="E147" s="19" t="s">
        <v>1400</v>
      </c>
      <c r="F147" s="7" t="s">
        <v>151</v>
      </c>
      <c r="G147" s="28" t="s">
        <v>1152</v>
      </c>
      <c r="H147" s="20" t="b">
        <v>1</v>
      </c>
      <c r="I147" s="20" t="s">
        <v>1159</v>
      </c>
      <c r="J147" s="20" t="s">
        <v>1161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1402</v>
      </c>
      <c r="C148" s="20">
        <v>1</v>
      </c>
      <c r="D148" s="43"/>
      <c r="E148" s="19" t="s">
        <v>1396</v>
      </c>
      <c r="F148" s="7" t="s">
        <v>151</v>
      </c>
      <c r="G148" s="28" t="s">
        <v>1394</v>
      </c>
      <c r="H148" s="20" t="b">
        <v>1</v>
      </c>
      <c r="I148" s="20" t="s">
        <v>1159</v>
      </c>
      <c r="J148" s="20" t="s">
        <v>1161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/>
      <c r="C149" s="20">
        <v>2</v>
      </c>
      <c r="D149" s="43"/>
      <c r="E149" s="19" t="s">
        <v>1397</v>
      </c>
      <c r="F149" s="7" t="s">
        <v>151</v>
      </c>
      <c r="G149" s="28" t="s">
        <v>1390</v>
      </c>
      <c r="H149" s="20" t="b">
        <v>1</v>
      </c>
      <c r="I149" s="20" t="s">
        <v>1159</v>
      </c>
      <c r="J149" s="20" t="s">
        <v>1161</v>
      </c>
      <c r="K149" s="20" t="s">
        <v>1161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/>
      <c r="C150" s="20">
        <v>3</v>
      </c>
      <c r="D150" s="43"/>
      <c r="E150" s="19" t="s">
        <v>1398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1156</v>
      </c>
      <c r="M150" s="20" t="s">
        <v>1164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/>
      <c r="C151" s="20">
        <v>4</v>
      </c>
      <c r="D151" s="43"/>
      <c r="E151" s="19" t="s">
        <v>1399</v>
      </c>
      <c r="F151" s="7" t="s">
        <v>151</v>
      </c>
      <c r="G151" s="28" t="s">
        <v>35</v>
      </c>
      <c r="H151" s="20"/>
      <c r="I151" s="20" t="s">
        <v>1155</v>
      </c>
      <c r="J151" s="20" t="s">
        <v>1149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/>
      <c r="C152" s="20">
        <v>5</v>
      </c>
      <c r="D152" s="43"/>
      <c r="E152" s="19" t="s">
        <v>1400</v>
      </c>
      <c r="F152" s="7" t="s">
        <v>151</v>
      </c>
      <c r="G152" s="28" t="s">
        <v>194</v>
      </c>
      <c r="H152" s="20" t="b">
        <v>1</v>
      </c>
      <c r="I152" s="20" t="s">
        <v>1159</v>
      </c>
      <c r="J152" s="20" t="s">
        <v>1161</v>
      </c>
      <c r="K152" s="43" t="s">
        <v>1387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8" type="noConversion"/>
  <conditionalFormatting sqref="P5:P152">
    <cfRule type="expression" dxfId="63" priority="2">
      <formula>P5&gt;O5</formula>
    </cfRule>
  </conditionalFormatting>
  <conditionalFormatting sqref="O5:O152">
    <cfRule type="cellIs" dxfId="6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407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1" sqref="D21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1180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1182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1181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1183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7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7</v>
      </c>
      <c r="C4" s="8" t="s">
        <v>1246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7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/>
      <c r="Q5" s="8"/>
      <c r="R5" s="8"/>
      <c r="S5" s="8"/>
    </row>
    <row r="6" spans="1:27" x14ac:dyDescent="0.3">
      <c r="A6" s="1" t="s">
        <v>45</v>
      </c>
      <c r="B6" s="1">
        <v>7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7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/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7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32</v>
      </c>
      <c r="H8" s="8" t="s">
        <v>32</v>
      </c>
      <c r="I8" s="8" t="s">
        <v>32</v>
      </c>
      <c r="J8" s="8" t="s">
        <v>32</v>
      </c>
      <c r="K8" s="8"/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7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7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7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/>
      <c r="O11" s="8"/>
      <c r="P11" s="8"/>
      <c r="Q11" s="8"/>
      <c r="R11" s="8"/>
      <c r="S11" s="8"/>
    </row>
    <row r="12" spans="1:27" x14ac:dyDescent="0.3">
      <c r="A12" s="1" t="s">
        <v>599</v>
      </c>
      <c r="B12" s="1">
        <v>7</v>
      </c>
      <c r="C12" s="8" t="s">
        <v>40</v>
      </c>
      <c r="D12" s="8" t="s">
        <v>617</v>
      </c>
      <c r="E12" s="8" t="s">
        <v>307</v>
      </c>
      <c r="F12" s="8" t="s">
        <v>307</v>
      </c>
      <c r="G12" s="8" t="s">
        <v>307</v>
      </c>
      <c r="H12" s="8" t="s">
        <v>307</v>
      </c>
      <c r="I12" s="8" t="s">
        <v>307</v>
      </c>
      <c r="J12" s="8" t="s">
        <v>307</v>
      </c>
      <c r="K12" s="8"/>
      <c r="L12" s="8"/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7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/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7</v>
      </c>
      <c r="C14" s="8" t="s">
        <v>40</v>
      </c>
      <c r="D14" s="8" t="s">
        <v>618</v>
      </c>
      <c r="E14" s="8" t="s">
        <v>617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/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7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/>
      <c r="R15" s="8"/>
      <c r="S15" s="8"/>
    </row>
    <row r="16" spans="1:27" x14ac:dyDescent="0.3">
      <c r="A16" s="1" t="s">
        <v>41</v>
      </c>
      <c r="B16" s="1">
        <v>7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/>
      <c r="P16" s="8"/>
      <c r="Q16" s="8"/>
      <c r="R16" s="8"/>
      <c r="S16" s="8"/>
    </row>
    <row r="17" spans="1:19" x14ac:dyDescent="0.3">
      <c r="A17" s="1" t="s">
        <v>42</v>
      </c>
      <c r="B17" s="1">
        <v>7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/>
      <c r="Q17" s="8"/>
      <c r="R17" s="8"/>
      <c r="S17" s="8"/>
    </row>
    <row r="18" spans="1:19" x14ac:dyDescent="0.3">
      <c r="A18" s="1" t="s">
        <v>63</v>
      </c>
      <c r="B18" s="1">
        <v>7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7</v>
      </c>
      <c r="C19" s="1" t="s">
        <v>40</v>
      </c>
      <c r="D19" s="1" t="s">
        <v>34</v>
      </c>
      <c r="E19" s="1" t="s">
        <v>34</v>
      </c>
      <c r="F19" s="1" t="s">
        <v>34</v>
      </c>
      <c r="G19" s="1" t="s">
        <v>34</v>
      </c>
    </row>
    <row r="20" spans="1:19" x14ac:dyDescent="0.3">
      <c r="A20" s="1" t="s">
        <v>62</v>
      </c>
      <c r="B20" s="1">
        <v>7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7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7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7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7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7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7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7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7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7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7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7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  <c r="H31" s="1" t="s">
        <v>25</v>
      </c>
    </row>
    <row r="32" spans="1:19" x14ac:dyDescent="0.3">
      <c r="A32" s="1" t="s">
        <v>98</v>
      </c>
      <c r="B32" s="1">
        <v>7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</row>
    <row r="33" spans="1:8" x14ac:dyDescent="0.3">
      <c r="A33" s="1" t="s">
        <v>113</v>
      </c>
      <c r="B33" s="1">
        <v>7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8" x14ac:dyDescent="0.3">
      <c r="A34" s="1" t="s">
        <v>110</v>
      </c>
      <c r="B34" s="1">
        <v>7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8" x14ac:dyDescent="0.3">
      <c r="A35" s="1" t="s">
        <v>106</v>
      </c>
      <c r="B35" s="1">
        <v>7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8" x14ac:dyDescent="0.3">
      <c r="A36" s="1" t="s">
        <v>97</v>
      </c>
      <c r="B36" s="1">
        <v>7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8" x14ac:dyDescent="0.3">
      <c r="A37" s="1" t="s">
        <v>109</v>
      </c>
      <c r="B37" s="1">
        <v>7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</row>
    <row r="38" spans="1:8" x14ac:dyDescent="0.3">
      <c r="A38" s="1" t="s">
        <v>119</v>
      </c>
      <c r="B38" s="1">
        <v>7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8" x14ac:dyDescent="0.3">
      <c r="A39" s="1" t="s">
        <v>120</v>
      </c>
      <c r="B39" s="1">
        <v>7</v>
      </c>
      <c r="C39" s="1" t="s">
        <v>40</v>
      </c>
      <c r="D39" s="1" t="s">
        <v>25</v>
      </c>
      <c r="E39" s="1" t="s">
        <v>25</v>
      </c>
      <c r="F39" s="1" t="s">
        <v>25</v>
      </c>
      <c r="G39" s="1" t="s">
        <v>26</v>
      </c>
      <c r="H39" s="1" t="s">
        <v>26</v>
      </c>
    </row>
    <row r="40" spans="1:8" x14ac:dyDescent="0.3">
      <c r="A40" s="1" t="s">
        <v>118</v>
      </c>
      <c r="B40" s="1">
        <v>7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28</v>
      </c>
      <c r="H40" s="1" t="s">
        <v>28</v>
      </c>
    </row>
    <row r="41" spans="1:8" x14ac:dyDescent="0.3">
      <c r="A41" s="1" t="s">
        <v>100</v>
      </c>
      <c r="B41" s="1">
        <v>7</v>
      </c>
      <c r="C41" s="1" t="s">
        <v>40</v>
      </c>
      <c r="D41" s="1" t="s">
        <v>34</v>
      </c>
      <c r="E41" s="1" t="s">
        <v>34</v>
      </c>
      <c r="F41" s="1" t="s">
        <v>34</v>
      </c>
      <c r="G41" s="1" t="s">
        <v>447</v>
      </c>
      <c r="H41" s="1" t="s">
        <v>447</v>
      </c>
    </row>
    <row r="42" spans="1:8" x14ac:dyDescent="0.3">
      <c r="A42" s="1" t="s">
        <v>101</v>
      </c>
      <c r="B42" s="1">
        <v>7</v>
      </c>
      <c r="C42" s="1" t="s">
        <v>40</v>
      </c>
      <c r="D42" s="1" t="s">
        <v>34</v>
      </c>
      <c r="E42" s="1" t="s">
        <v>34</v>
      </c>
      <c r="F42" s="1" t="s">
        <v>34</v>
      </c>
      <c r="G42" s="1" t="s">
        <v>26</v>
      </c>
      <c r="H42" s="1" t="s">
        <v>26</v>
      </c>
    </row>
    <row r="43" spans="1:8" x14ac:dyDescent="0.3">
      <c r="A43" s="1" t="s">
        <v>99</v>
      </c>
      <c r="B43" s="1">
        <v>7</v>
      </c>
      <c r="C43" s="1" t="s">
        <v>40</v>
      </c>
      <c r="D43" s="1" t="s">
        <v>34</v>
      </c>
      <c r="E43" s="1" t="s">
        <v>34</v>
      </c>
      <c r="F43" s="1" t="s">
        <v>34</v>
      </c>
      <c r="G43" s="1" t="s">
        <v>28</v>
      </c>
      <c r="H43" s="1" t="s">
        <v>28</v>
      </c>
    </row>
    <row r="44" spans="1:8" x14ac:dyDescent="0.3">
      <c r="A44" s="1" t="s">
        <v>121</v>
      </c>
      <c r="B44" s="1">
        <v>7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8" x14ac:dyDescent="0.3">
      <c r="A45" s="1" t="s">
        <v>102</v>
      </c>
      <c r="B45" s="1">
        <v>7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8" x14ac:dyDescent="0.3">
      <c r="A46" s="1" t="s">
        <v>114</v>
      </c>
      <c r="B46" s="1">
        <v>7</v>
      </c>
      <c r="C46" s="1" t="s">
        <v>40</v>
      </c>
      <c r="D46" s="1" t="s">
        <v>381</v>
      </c>
      <c r="E46" s="1" t="s">
        <v>26</v>
      </c>
      <c r="F46" s="1" t="s">
        <v>26</v>
      </c>
    </row>
    <row r="47" spans="1:8" x14ac:dyDescent="0.3">
      <c r="A47" s="1" t="s">
        <v>200</v>
      </c>
      <c r="B47" s="1">
        <v>7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8" x14ac:dyDescent="0.3">
      <c r="A48" s="1" t="s">
        <v>201</v>
      </c>
      <c r="B48" s="1">
        <v>7</v>
      </c>
      <c r="C48" s="1" t="s">
        <v>40</v>
      </c>
      <c r="D48" s="1" t="s">
        <v>384</v>
      </c>
      <c r="E48" s="1" t="s">
        <v>28</v>
      </c>
      <c r="F48" s="1" t="s">
        <v>28</v>
      </c>
    </row>
    <row r="49" spans="1:10" x14ac:dyDescent="0.3">
      <c r="A49" s="1" t="s">
        <v>202</v>
      </c>
      <c r="B49" s="1">
        <v>7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0" x14ac:dyDescent="0.3">
      <c r="A50" s="1" t="s">
        <v>124</v>
      </c>
      <c r="B50" s="1">
        <v>7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0" x14ac:dyDescent="0.3">
      <c r="A51" s="1" t="s">
        <v>123</v>
      </c>
      <c r="B51" s="1">
        <v>7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0" x14ac:dyDescent="0.3">
      <c r="A52" s="1" t="s">
        <v>122</v>
      </c>
      <c r="B52" s="1">
        <v>7</v>
      </c>
      <c r="C52" s="1" t="s">
        <v>40</v>
      </c>
      <c r="D52" s="1" t="s">
        <v>382</v>
      </c>
      <c r="E52" s="1" t="s">
        <v>28</v>
      </c>
      <c r="F52" s="1" t="s">
        <v>28</v>
      </c>
      <c r="G52" s="1" t="s">
        <v>28</v>
      </c>
    </row>
    <row r="53" spans="1:10" x14ac:dyDescent="0.3">
      <c r="A53" s="1" t="s">
        <v>105</v>
      </c>
      <c r="B53" s="1">
        <v>7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0" x14ac:dyDescent="0.3">
      <c r="A54" s="1" t="s">
        <v>104</v>
      </c>
      <c r="B54" s="1">
        <v>7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  <c r="H54" s="1" t="s">
        <v>447</v>
      </c>
    </row>
    <row r="55" spans="1:10" x14ac:dyDescent="0.3">
      <c r="A55" s="1" t="s">
        <v>103</v>
      </c>
      <c r="B55" s="1">
        <v>7</v>
      </c>
      <c r="C55" s="1" t="s">
        <v>40</v>
      </c>
      <c r="D55" s="1" t="s">
        <v>380</v>
      </c>
      <c r="E55" s="1" t="s">
        <v>28</v>
      </c>
      <c r="F55" s="1" t="s">
        <v>28</v>
      </c>
      <c r="G55" s="1" t="s">
        <v>28</v>
      </c>
    </row>
    <row r="56" spans="1:10" x14ac:dyDescent="0.3">
      <c r="A56" s="1" t="s">
        <v>116</v>
      </c>
      <c r="B56" s="1">
        <v>7</v>
      </c>
      <c r="C56" s="1" t="s">
        <v>40</v>
      </c>
      <c r="D56" s="1" t="s">
        <v>381</v>
      </c>
      <c r="E56" s="1" t="s">
        <v>25</v>
      </c>
      <c r="F56" s="1" t="s">
        <v>25</v>
      </c>
      <c r="G56" s="1" t="s">
        <v>25</v>
      </c>
      <c r="H56" s="1" t="s">
        <v>25</v>
      </c>
    </row>
    <row r="57" spans="1:10" x14ac:dyDescent="0.3">
      <c r="A57" s="1" t="s">
        <v>115</v>
      </c>
      <c r="B57" s="1">
        <v>7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</row>
    <row r="58" spans="1:10" x14ac:dyDescent="0.3">
      <c r="A58" s="1" t="s">
        <v>108</v>
      </c>
      <c r="B58" s="1">
        <v>7</v>
      </c>
      <c r="C58" s="1" t="s">
        <v>40</v>
      </c>
      <c r="D58" s="1" t="s">
        <v>384</v>
      </c>
      <c r="E58" s="1" t="s">
        <v>25</v>
      </c>
      <c r="F58" s="1" t="s">
        <v>25</v>
      </c>
      <c r="G58" s="1" t="s">
        <v>25</v>
      </c>
      <c r="H58" s="1" t="s">
        <v>25</v>
      </c>
    </row>
    <row r="59" spans="1:10" x14ac:dyDescent="0.3">
      <c r="A59" s="1" t="s">
        <v>107</v>
      </c>
      <c r="B59" s="1">
        <v>7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</row>
    <row r="60" spans="1:10" x14ac:dyDescent="0.3">
      <c r="A60" s="1" t="s">
        <v>112</v>
      </c>
      <c r="B60" s="1">
        <v>7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</row>
    <row r="61" spans="1:10" x14ac:dyDescent="0.3">
      <c r="A61" s="1" t="s">
        <v>111</v>
      </c>
      <c r="B61" s="1">
        <v>7</v>
      </c>
      <c r="C61" s="1" t="s">
        <v>40</v>
      </c>
      <c r="D61" s="1" t="s">
        <v>383</v>
      </c>
      <c r="E61" s="1" t="s">
        <v>34</v>
      </c>
      <c r="F61" s="1" t="s">
        <v>34</v>
      </c>
      <c r="G61" s="1" t="s">
        <v>34</v>
      </c>
    </row>
    <row r="62" spans="1:10" x14ac:dyDescent="0.3">
      <c r="A62" s="1" t="s">
        <v>86</v>
      </c>
      <c r="B62" s="1">
        <v>7</v>
      </c>
      <c r="C62" s="1" t="s">
        <v>40</v>
      </c>
      <c r="D62" s="1" t="s">
        <v>25</v>
      </c>
      <c r="E62" s="1" t="s">
        <v>25</v>
      </c>
      <c r="F62" s="1" t="s">
        <v>447</v>
      </c>
      <c r="G62" s="1" t="s">
        <v>447</v>
      </c>
      <c r="H62" s="1" t="s">
        <v>447</v>
      </c>
      <c r="I62" s="1" t="s">
        <v>447</v>
      </c>
      <c r="J62" s="1" t="s">
        <v>447</v>
      </c>
    </row>
    <row r="63" spans="1:10" x14ac:dyDescent="0.3">
      <c r="A63" s="1" t="s">
        <v>87</v>
      </c>
      <c r="B63" s="1">
        <v>7</v>
      </c>
      <c r="C63" s="1" t="s">
        <v>40</v>
      </c>
      <c r="D63" s="1" t="s">
        <v>25</v>
      </c>
      <c r="E63" s="1" t="s">
        <v>25</v>
      </c>
      <c r="F63" s="1" t="s">
        <v>26</v>
      </c>
      <c r="G63" s="1" t="s">
        <v>26</v>
      </c>
      <c r="H63" s="1" t="s">
        <v>26</v>
      </c>
      <c r="I63" s="1" t="s">
        <v>26</v>
      </c>
      <c r="J63" s="1" t="s">
        <v>26</v>
      </c>
    </row>
    <row r="64" spans="1:10" x14ac:dyDescent="0.3">
      <c r="A64" s="1" t="s">
        <v>85</v>
      </c>
      <c r="B64" s="1">
        <v>7</v>
      </c>
      <c r="C64" s="1" t="s">
        <v>40</v>
      </c>
      <c r="D64" s="1" t="s">
        <v>25</v>
      </c>
      <c r="E64" s="1" t="s">
        <v>25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</row>
    <row r="65" spans="1:11" x14ac:dyDescent="0.3">
      <c r="A65" s="1" t="s">
        <v>203</v>
      </c>
      <c r="B65" s="1">
        <v>7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447</v>
      </c>
      <c r="I65" s="1" t="s">
        <v>447</v>
      </c>
      <c r="J65" s="1" t="s">
        <v>447</v>
      </c>
    </row>
    <row r="66" spans="1:11" x14ac:dyDescent="0.3">
      <c r="A66" s="1" t="s">
        <v>68</v>
      </c>
      <c r="B66" s="1">
        <v>7</v>
      </c>
      <c r="C66" s="1" t="s">
        <v>40</v>
      </c>
      <c r="D66" s="1" t="s">
        <v>34</v>
      </c>
      <c r="E66" s="1" t="s">
        <v>34</v>
      </c>
      <c r="F66" s="1" t="s">
        <v>26</v>
      </c>
      <c r="G66" s="1" t="s">
        <v>26</v>
      </c>
      <c r="H66" s="1" t="s">
        <v>26</v>
      </c>
      <c r="I66" s="1" t="s">
        <v>26</v>
      </c>
      <c r="J66" s="1" t="s">
        <v>26</v>
      </c>
    </row>
    <row r="67" spans="1:11" x14ac:dyDescent="0.3">
      <c r="A67" s="1" t="s">
        <v>67</v>
      </c>
      <c r="B67" s="1">
        <v>7</v>
      </c>
      <c r="C67" s="1" t="s">
        <v>40</v>
      </c>
      <c r="D67" s="1" t="s">
        <v>34</v>
      </c>
      <c r="E67" s="1" t="s">
        <v>34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</row>
    <row r="68" spans="1:11" x14ac:dyDescent="0.3">
      <c r="A68" s="1" t="s">
        <v>204</v>
      </c>
      <c r="B68" s="1">
        <v>7</v>
      </c>
      <c r="C68" s="1" t="s">
        <v>40</v>
      </c>
      <c r="D68" s="1" t="s">
        <v>25</v>
      </c>
      <c r="E68" s="1" t="s">
        <v>34</v>
      </c>
      <c r="F68" s="1" t="s">
        <v>26</v>
      </c>
      <c r="G68" s="1" t="s">
        <v>26</v>
      </c>
      <c r="H68" s="1" t="s">
        <v>26</v>
      </c>
      <c r="I68" s="1" t="s">
        <v>26</v>
      </c>
      <c r="J68" s="1" t="s">
        <v>26</v>
      </c>
    </row>
    <row r="69" spans="1:11" x14ac:dyDescent="0.3">
      <c r="A69" s="1" t="s">
        <v>205</v>
      </c>
      <c r="B69" s="1">
        <v>7</v>
      </c>
      <c r="C69" s="1" t="s">
        <v>40</v>
      </c>
      <c r="D69" s="1" t="s">
        <v>25</v>
      </c>
      <c r="E69" s="1" t="s">
        <v>34</v>
      </c>
      <c r="F69" s="1" t="s">
        <v>34</v>
      </c>
      <c r="G69" s="1" t="s">
        <v>447</v>
      </c>
      <c r="H69" s="1" t="s">
        <v>447</v>
      </c>
      <c r="I69" s="1" t="s">
        <v>447</v>
      </c>
      <c r="J69" s="1" t="s">
        <v>447</v>
      </c>
    </row>
    <row r="70" spans="1:11" x14ac:dyDescent="0.3">
      <c r="A70" s="1" t="s">
        <v>206</v>
      </c>
      <c r="B70" s="1">
        <v>7</v>
      </c>
      <c r="C70" s="1" t="s">
        <v>40</v>
      </c>
      <c r="D70" s="1" t="s">
        <v>25</v>
      </c>
      <c r="E70" s="1" t="s">
        <v>34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</row>
    <row r="71" spans="1:11" x14ac:dyDescent="0.3">
      <c r="A71" s="1" t="s">
        <v>207</v>
      </c>
      <c r="B71" s="1">
        <v>7</v>
      </c>
      <c r="C71" s="1" t="s">
        <v>40</v>
      </c>
      <c r="D71" s="1" t="s">
        <v>34</v>
      </c>
      <c r="E71" s="1" t="s">
        <v>26</v>
      </c>
      <c r="F71" s="1" t="s">
        <v>26</v>
      </c>
      <c r="G71" s="1" t="s">
        <v>447</v>
      </c>
      <c r="H71" s="1" t="s">
        <v>447</v>
      </c>
      <c r="I71" s="1" t="s">
        <v>447</v>
      </c>
      <c r="J71" s="1" t="s">
        <v>447</v>
      </c>
    </row>
    <row r="72" spans="1:11" x14ac:dyDescent="0.3">
      <c r="A72" s="1" t="s">
        <v>208</v>
      </c>
      <c r="B72" s="1">
        <v>7</v>
      </c>
      <c r="C72" s="1" t="s">
        <v>40</v>
      </c>
      <c r="D72" s="1" t="s">
        <v>34</v>
      </c>
      <c r="E72" s="1" t="s">
        <v>26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</row>
    <row r="73" spans="1:11" x14ac:dyDescent="0.3">
      <c r="A73" s="1" t="s">
        <v>209</v>
      </c>
      <c r="B73" s="1">
        <v>7</v>
      </c>
      <c r="C73" s="1" t="s">
        <v>40</v>
      </c>
      <c r="D73" s="1" t="s">
        <v>34</v>
      </c>
      <c r="E73" s="1" t="s">
        <v>447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</row>
    <row r="74" spans="1:11" x14ac:dyDescent="0.3">
      <c r="A74" s="1" t="s">
        <v>210</v>
      </c>
      <c r="B74" s="1">
        <v>7</v>
      </c>
      <c r="C74" s="1" t="s">
        <v>40</v>
      </c>
      <c r="D74" s="1" t="s">
        <v>25</v>
      </c>
      <c r="E74" s="1" t="s">
        <v>26</v>
      </c>
      <c r="F74" s="1" t="s">
        <v>447</v>
      </c>
      <c r="G74" s="1" t="s">
        <v>447</v>
      </c>
      <c r="H74" s="1" t="s">
        <v>447</v>
      </c>
      <c r="I74" s="1" t="s">
        <v>447</v>
      </c>
      <c r="J74" s="1" t="s">
        <v>447</v>
      </c>
    </row>
    <row r="75" spans="1:11" x14ac:dyDescent="0.3">
      <c r="A75" s="1" t="s">
        <v>88</v>
      </c>
      <c r="B75" s="1">
        <v>7</v>
      </c>
      <c r="C75" s="1" t="s">
        <v>40</v>
      </c>
      <c r="D75" s="1" t="s">
        <v>25</v>
      </c>
      <c r="E75" s="1" t="s">
        <v>26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7</v>
      </c>
      <c r="C76" s="1" t="s">
        <v>40</v>
      </c>
      <c r="D76" s="1" t="s">
        <v>25</v>
      </c>
      <c r="E76" s="1" t="s">
        <v>447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7</v>
      </c>
      <c r="C77" s="1" t="s">
        <v>40</v>
      </c>
      <c r="D77" s="1" t="s">
        <v>382</v>
      </c>
      <c r="E77" s="1" t="s">
        <v>26</v>
      </c>
      <c r="F77" s="1" t="s">
        <v>26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7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7</v>
      </c>
      <c r="C79" s="1" t="s">
        <v>40</v>
      </c>
      <c r="D79" s="1" t="s">
        <v>382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7</v>
      </c>
      <c r="C80" s="1" t="s">
        <v>40</v>
      </c>
      <c r="D80" s="1" t="s">
        <v>380</v>
      </c>
      <c r="E80" s="1" t="s">
        <v>26</v>
      </c>
      <c r="F80" s="1" t="s">
        <v>26</v>
      </c>
      <c r="G80" s="1" t="s">
        <v>26</v>
      </c>
      <c r="H80" s="1" t="s">
        <v>26</v>
      </c>
      <c r="I80" s="1" t="s">
        <v>26</v>
      </c>
      <c r="J80" s="1" t="s">
        <v>26</v>
      </c>
    </row>
    <row r="81" spans="1:10" x14ac:dyDescent="0.3">
      <c r="A81" s="1" t="s">
        <v>73</v>
      </c>
      <c r="B81" s="1">
        <v>7</v>
      </c>
      <c r="C81" s="1" t="s">
        <v>40</v>
      </c>
      <c r="D81" s="1" t="s">
        <v>380</v>
      </c>
      <c r="E81" s="1" t="s">
        <v>447</v>
      </c>
      <c r="F81" s="1" t="s">
        <v>447</v>
      </c>
      <c r="G81" s="1" t="s">
        <v>447</v>
      </c>
      <c r="H81" s="1" t="s">
        <v>447</v>
      </c>
      <c r="I81" s="1" t="s">
        <v>447</v>
      </c>
    </row>
    <row r="82" spans="1:10" x14ac:dyDescent="0.3">
      <c r="A82" s="1" t="s">
        <v>71</v>
      </c>
      <c r="B82" s="1">
        <v>7</v>
      </c>
      <c r="C82" s="1" t="s">
        <v>40</v>
      </c>
      <c r="D82" s="1" t="s">
        <v>380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</row>
    <row r="83" spans="1:10" x14ac:dyDescent="0.3">
      <c r="A83" s="1" t="s">
        <v>212</v>
      </c>
      <c r="B83" s="1">
        <v>7</v>
      </c>
      <c r="C83" s="1" t="s">
        <v>40</v>
      </c>
      <c r="D83" s="1" t="s">
        <v>880</v>
      </c>
      <c r="E83" s="1" t="s">
        <v>26</v>
      </c>
      <c r="F83" s="1" t="s">
        <v>26</v>
      </c>
      <c r="G83" s="1" t="s">
        <v>26</v>
      </c>
      <c r="H83" s="1" t="s">
        <v>26</v>
      </c>
    </row>
    <row r="84" spans="1:10" x14ac:dyDescent="0.3">
      <c r="A84" s="1" t="s">
        <v>213</v>
      </c>
      <c r="B84" s="1">
        <v>7</v>
      </c>
      <c r="C84" s="1" t="s">
        <v>40</v>
      </c>
      <c r="D84" s="1" t="s">
        <v>880</v>
      </c>
      <c r="E84" s="1" t="s">
        <v>447</v>
      </c>
      <c r="F84" s="1" t="s">
        <v>447</v>
      </c>
      <c r="G84" s="1" t="s">
        <v>447</v>
      </c>
    </row>
    <row r="85" spans="1:10" x14ac:dyDescent="0.3">
      <c r="A85" s="1" t="s">
        <v>214</v>
      </c>
      <c r="B85" s="1">
        <v>7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0" x14ac:dyDescent="0.3">
      <c r="A86" s="1" t="s">
        <v>215</v>
      </c>
      <c r="B86" s="1">
        <v>7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34</v>
      </c>
      <c r="H86" s="1" t="s">
        <v>34</v>
      </c>
      <c r="I86" s="1" t="s">
        <v>26</v>
      </c>
      <c r="J86" s="1" t="s">
        <v>26</v>
      </c>
    </row>
    <row r="87" spans="1:10" x14ac:dyDescent="0.3">
      <c r="A87" s="1" t="s">
        <v>216</v>
      </c>
      <c r="B87" s="1">
        <v>7</v>
      </c>
      <c r="C87" s="1" t="s">
        <v>40</v>
      </c>
      <c r="D87" s="1" t="s">
        <v>619</v>
      </c>
      <c r="E87" s="1" t="s">
        <v>447</v>
      </c>
      <c r="F87" s="1" t="s">
        <v>447</v>
      </c>
      <c r="G87" s="1" t="s">
        <v>447</v>
      </c>
      <c r="H87" s="1" t="s">
        <v>447</v>
      </c>
    </row>
    <row r="88" spans="1:10" x14ac:dyDescent="0.3">
      <c r="A88" s="1" t="s">
        <v>217</v>
      </c>
      <c r="B88" s="1">
        <v>7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28</v>
      </c>
      <c r="H88" s="1" t="s">
        <v>28</v>
      </c>
      <c r="I88" s="1" t="s">
        <v>28</v>
      </c>
    </row>
    <row r="89" spans="1:10" x14ac:dyDescent="0.3">
      <c r="A89" s="1" t="s">
        <v>84</v>
      </c>
      <c r="B89" s="1">
        <v>7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25</v>
      </c>
      <c r="H89" s="1" t="s">
        <v>25</v>
      </c>
      <c r="I89" s="1" t="s">
        <v>25</v>
      </c>
      <c r="J89" s="1" t="s">
        <v>25</v>
      </c>
    </row>
    <row r="90" spans="1:10" x14ac:dyDescent="0.3">
      <c r="A90" s="1" t="s">
        <v>82</v>
      </c>
      <c r="B90" s="1">
        <v>7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34</v>
      </c>
      <c r="H90" s="1" t="s">
        <v>34</v>
      </c>
      <c r="I90" s="1" t="s">
        <v>34</v>
      </c>
      <c r="J90" s="1" t="s">
        <v>34</v>
      </c>
    </row>
    <row r="91" spans="1:10" x14ac:dyDescent="0.3">
      <c r="A91" s="1" t="s">
        <v>78</v>
      </c>
      <c r="B91" s="1">
        <v>7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0" x14ac:dyDescent="0.3">
      <c r="A92" s="1" t="s">
        <v>76</v>
      </c>
      <c r="B92" s="1">
        <v>7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34</v>
      </c>
      <c r="H92" s="1" t="s">
        <v>34</v>
      </c>
      <c r="I92" s="1" t="s">
        <v>34</v>
      </c>
      <c r="J92" s="1" t="s">
        <v>34</v>
      </c>
    </row>
    <row r="93" spans="1:10" x14ac:dyDescent="0.3">
      <c r="A93" s="1" t="s">
        <v>81</v>
      </c>
      <c r="B93" s="1">
        <v>7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0" x14ac:dyDescent="0.3">
      <c r="A94" s="1" t="s">
        <v>79</v>
      </c>
      <c r="B94" s="1">
        <v>7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0" x14ac:dyDescent="0.3">
      <c r="A95" s="1" t="s">
        <v>218</v>
      </c>
      <c r="B95" s="1">
        <v>7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0" x14ac:dyDescent="0.3">
      <c r="A96" s="1" t="s">
        <v>219</v>
      </c>
      <c r="B96" s="1">
        <v>7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1" x14ac:dyDescent="0.3">
      <c r="A97" s="1" t="s">
        <v>220</v>
      </c>
      <c r="B97" s="1">
        <v>7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25</v>
      </c>
      <c r="H97" s="1" t="s">
        <v>25</v>
      </c>
      <c r="I97" s="1" t="s">
        <v>25</v>
      </c>
      <c r="J97" s="1" t="s">
        <v>25</v>
      </c>
    </row>
    <row r="98" spans="1:11" x14ac:dyDescent="0.3">
      <c r="A98" s="1" t="s">
        <v>221</v>
      </c>
      <c r="B98" s="1">
        <v>7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34</v>
      </c>
      <c r="H98" s="1" t="s">
        <v>34</v>
      </c>
      <c r="I98" s="1" t="s">
        <v>34</v>
      </c>
      <c r="J98" s="1" t="s">
        <v>34</v>
      </c>
    </row>
    <row r="99" spans="1:11" x14ac:dyDescent="0.3">
      <c r="A99" s="1" t="s">
        <v>222</v>
      </c>
      <c r="B99" s="1">
        <v>7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1" x14ac:dyDescent="0.3">
      <c r="A100" s="1" t="s">
        <v>223</v>
      </c>
      <c r="B100" s="1">
        <v>7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1" x14ac:dyDescent="0.3">
      <c r="A101" s="1" t="s">
        <v>96</v>
      </c>
      <c r="B101" s="1">
        <v>7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</row>
    <row r="102" spans="1:11" x14ac:dyDescent="0.3">
      <c r="A102" s="1" t="s">
        <v>224</v>
      </c>
      <c r="B102" s="1">
        <v>7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25</v>
      </c>
      <c r="H102" s="1" t="s">
        <v>380</v>
      </c>
      <c r="I102" s="1" t="s">
        <v>34</v>
      </c>
      <c r="J102" s="1" t="s">
        <v>34</v>
      </c>
      <c r="K102" s="1" t="s">
        <v>34</v>
      </c>
    </row>
    <row r="103" spans="1:11" x14ac:dyDescent="0.3">
      <c r="A103" s="1" t="s">
        <v>95</v>
      </c>
      <c r="B103" s="1">
        <v>7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</row>
    <row r="104" spans="1:11" x14ac:dyDescent="0.3">
      <c r="A104" s="1" t="s">
        <v>93</v>
      </c>
      <c r="B104" s="1">
        <v>7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1" x14ac:dyDescent="0.3">
      <c r="A105" s="1" t="s">
        <v>91</v>
      </c>
      <c r="B105" s="1">
        <v>7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25</v>
      </c>
      <c r="H105" s="1" t="s">
        <v>25</v>
      </c>
      <c r="I105" s="1" t="s">
        <v>384</v>
      </c>
      <c r="J105" s="1" t="s">
        <v>28</v>
      </c>
      <c r="K105" s="1" t="s">
        <v>28</v>
      </c>
    </row>
    <row r="106" spans="1:11" x14ac:dyDescent="0.3">
      <c r="A106" s="1" t="s">
        <v>89</v>
      </c>
      <c r="B106" s="1">
        <v>7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1" x14ac:dyDescent="0.3">
      <c r="A107" s="1" t="s">
        <v>70</v>
      </c>
      <c r="B107" s="1">
        <v>7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1" x14ac:dyDescent="0.3">
      <c r="A108" s="1" t="s">
        <v>75</v>
      </c>
      <c r="B108" s="1">
        <v>7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1" x14ac:dyDescent="0.3">
      <c r="A109" s="1" t="s">
        <v>225</v>
      </c>
      <c r="B109" s="1">
        <v>7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1" x14ac:dyDescent="0.3">
      <c r="A110" s="1" t="s">
        <v>72</v>
      </c>
      <c r="B110" s="1">
        <v>7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1" x14ac:dyDescent="0.3">
      <c r="A111" s="1" t="s">
        <v>69</v>
      </c>
      <c r="B111" s="1">
        <v>7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1" x14ac:dyDescent="0.3">
      <c r="A112" s="1" t="s">
        <v>83</v>
      </c>
      <c r="B112" s="1">
        <v>7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7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7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7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7</v>
      </c>
      <c r="C116" s="1" t="s">
        <v>40</v>
      </c>
      <c r="D116" s="1" t="s">
        <v>383</v>
      </c>
      <c r="E116" s="1" t="s">
        <v>447</v>
      </c>
      <c r="F116" s="1" t="s">
        <v>383</v>
      </c>
      <c r="G116" s="1" t="s">
        <v>447</v>
      </c>
      <c r="H116" s="1" t="s">
        <v>447</v>
      </c>
      <c r="I116" s="1" t="s">
        <v>447</v>
      </c>
    </row>
    <row r="117" spans="1:11" x14ac:dyDescent="0.3">
      <c r="A117" s="1" t="s">
        <v>229</v>
      </c>
      <c r="B117" s="1">
        <v>7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447</v>
      </c>
      <c r="H117" s="1" t="s">
        <v>384</v>
      </c>
      <c r="I117" s="1" t="s">
        <v>28</v>
      </c>
      <c r="J117" s="1" t="s">
        <v>28</v>
      </c>
      <c r="K117" s="1" t="s">
        <v>28</v>
      </c>
    </row>
    <row r="118" spans="1:11" x14ac:dyDescent="0.3">
      <c r="A118" s="1" t="s">
        <v>230</v>
      </c>
      <c r="B118" s="1">
        <v>7</v>
      </c>
      <c r="C118" s="1" t="s">
        <v>40</v>
      </c>
      <c r="D118" s="1" t="s">
        <v>383</v>
      </c>
      <c r="E118" s="1" t="s">
        <v>447</v>
      </c>
      <c r="F118" s="1" t="s">
        <v>385</v>
      </c>
      <c r="G118" s="1" t="s">
        <v>448</v>
      </c>
    </row>
    <row r="119" spans="1:11" x14ac:dyDescent="0.3">
      <c r="A119" s="1" t="s">
        <v>77</v>
      </c>
      <c r="B119" s="1">
        <v>7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7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7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7</v>
      </c>
      <c r="C122" s="1" t="s">
        <v>40</v>
      </c>
      <c r="D122" s="1" t="s">
        <v>880</v>
      </c>
      <c r="E122" s="1" t="s">
        <v>25</v>
      </c>
      <c r="F122" s="1" t="s">
        <v>25</v>
      </c>
      <c r="G122" s="1" t="s">
        <v>880</v>
      </c>
    </row>
    <row r="123" spans="1:11" x14ac:dyDescent="0.3">
      <c r="A123" s="1" t="s">
        <v>498</v>
      </c>
      <c r="B123" s="1">
        <v>7</v>
      </c>
      <c r="C123" s="1" t="s">
        <v>40</v>
      </c>
      <c r="D123" s="1" t="s">
        <v>880</v>
      </c>
      <c r="E123" s="1" t="s">
        <v>25</v>
      </c>
      <c r="F123" s="1" t="s">
        <v>25</v>
      </c>
      <c r="G123" s="1" t="s">
        <v>619</v>
      </c>
      <c r="H123" s="1" t="s">
        <v>34</v>
      </c>
      <c r="I123" s="1" t="s">
        <v>34</v>
      </c>
    </row>
    <row r="124" spans="1:11" x14ac:dyDescent="0.3">
      <c r="A124" s="1" t="s">
        <v>499</v>
      </c>
      <c r="B124" s="1">
        <v>7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7</v>
      </c>
      <c r="C125" s="1" t="s">
        <v>40</v>
      </c>
      <c r="D125" s="1" t="s">
        <v>880</v>
      </c>
      <c r="E125" s="1" t="s">
        <v>882</v>
      </c>
      <c r="F125" s="1" t="s">
        <v>447</v>
      </c>
      <c r="G125" s="1" t="s">
        <v>447</v>
      </c>
    </row>
    <row r="126" spans="1:11" x14ac:dyDescent="0.3">
      <c r="A126" s="1" t="s">
        <v>501</v>
      </c>
      <c r="B126" s="1">
        <v>7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7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7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4" x14ac:dyDescent="0.3">
      <c r="A129" s="1" t="s">
        <v>504</v>
      </c>
      <c r="B129" s="1">
        <v>7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4" x14ac:dyDescent="0.3">
      <c r="A130" s="1" t="s">
        <v>505</v>
      </c>
      <c r="B130" s="1">
        <v>7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4" x14ac:dyDescent="0.3">
      <c r="A131" s="1" t="s">
        <v>506</v>
      </c>
      <c r="B131" s="1">
        <v>7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4" x14ac:dyDescent="0.3">
      <c r="A132" s="1" t="s">
        <v>507</v>
      </c>
      <c r="B132" s="1">
        <v>7</v>
      </c>
      <c r="C132" s="1" t="s">
        <v>40</v>
      </c>
      <c r="D132" s="1" t="s">
        <v>619</v>
      </c>
      <c r="E132" s="1" t="s">
        <v>621</v>
      </c>
      <c r="F132" s="1" t="s">
        <v>448</v>
      </c>
      <c r="G132" s="1" t="s">
        <v>448</v>
      </c>
    </row>
    <row r="133" spans="1:14" x14ac:dyDescent="0.3">
      <c r="A133" s="1" t="s">
        <v>508</v>
      </c>
      <c r="B133" s="1">
        <v>7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4" x14ac:dyDescent="0.3">
      <c r="A134" s="1" t="s">
        <v>509</v>
      </c>
      <c r="B134" s="1">
        <v>7</v>
      </c>
      <c r="C134" s="1" t="s">
        <v>40</v>
      </c>
      <c r="D134" s="1" t="s">
        <v>881</v>
      </c>
      <c r="E134" s="1" t="s">
        <v>882</v>
      </c>
    </row>
    <row r="135" spans="1:14" x14ac:dyDescent="0.3">
      <c r="A135" s="1" t="s">
        <v>510</v>
      </c>
      <c r="B135" s="1">
        <v>7</v>
      </c>
      <c r="C135" s="1" t="s">
        <v>40</v>
      </c>
      <c r="D135" s="1" t="s">
        <v>881</v>
      </c>
      <c r="E135" s="1" t="s">
        <v>620</v>
      </c>
    </row>
    <row r="136" spans="1:14" x14ac:dyDescent="0.3">
      <c r="A136" s="1" t="s">
        <v>511</v>
      </c>
      <c r="B136" s="1">
        <v>7</v>
      </c>
      <c r="C136" s="1" t="s">
        <v>40</v>
      </c>
      <c r="D136" s="1" t="s">
        <v>881</v>
      </c>
      <c r="E136" s="1" t="s">
        <v>621</v>
      </c>
    </row>
    <row r="137" spans="1:14" x14ac:dyDescent="0.3">
      <c r="A137" s="1" t="s">
        <v>512</v>
      </c>
      <c r="B137" s="1">
        <v>7</v>
      </c>
      <c r="C137" s="1" t="s">
        <v>40</v>
      </c>
      <c r="D137" s="1" t="s">
        <v>882</v>
      </c>
      <c r="E137" s="1" t="s">
        <v>882</v>
      </c>
    </row>
    <row r="138" spans="1:14" x14ac:dyDescent="0.3">
      <c r="A138" s="1" t="s">
        <v>513</v>
      </c>
      <c r="B138" s="1">
        <v>7</v>
      </c>
      <c r="C138" s="1" t="s">
        <v>40</v>
      </c>
      <c r="D138" s="1" t="s">
        <v>882</v>
      </c>
      <c r="E138" s="1" t="s">
        <v>620</v>
      </c>
    </row>
    <row r="139" spans="1:14" x14ac:dyDescent="0.3">
      <c r="A139" s="1" t="s">
        <v>514</v>
      </c>
      <c r="B139" s="1">
        <v>7</v>
      </c>
      <c r="C139" s="1" t="s">
        <v>40</v>
      </c>
      <c r="D139" s="1" t="s">
        <v>882</v>
      </c>
      <c r="E139" s="1" t="s">
        <v>621</v>
      </c>
    </row>
    <row r="140" spans="1:14" x14ac:dyDescent="0.3">
      <c r="A140" s="1" t="s">
        <v>515</v>
      </c>
      <c r="B140" s="1">
        <v>7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</row>
    <row r="141" spans="1:14" x14ac:dyDescent="0.3">
      <c r="A141" s="1" t="s">
        <v>516</v>
      </c>
      <c r="B141" s="1">
        <v>7</v>
      </c>
      <c r="C141" s="1" t="s">
        <v>40</v>
      </c>
      <c r="D141" s="1" t="s">
        <v>620</v>
      </c>
      <c r="E141" s="1" t="s">
        <v>621</v>
      </c>
    </row>
    <row r="142" spans="1:14" x14ac:dyDescent="0.3">
      <c r="A142" s="1" t="s">
        <v>517</v>
      </c>
      <c r="B142" s="1">
        <v>7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4" x14ac:dyDescent="0.3">
      <c r="A143" s="1" t="s">
        <v>233</v>
      </c>
      <c r="B143" s="1">
        <v>7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  <c r="N143" s="1" t="s">
        <v>25</v>
      </c>
    </row>
    <row r="144" spans="1:14" x14ac:dyDescent="0.3">
      <c r="A144" s="1" t="s">
        <v>234</v>
      </c>
      <c r="B144" s="1">
        <v>7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  <c r="N144" s="1" t="s">
        <v>34</v>
      </c>
    </row>
    <row r="145" spans="1:16" x14ac:dyDescent="0.3">
      <c r="A145" s="1" t="s">
        <v>235</v>
      </c>
      <c r="B145" s="1">
        <v>7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6" x14ac:dyDescent="0.3">
      <c r="A146" s="1" t="s">
        <v>236</v>
      </c>
      <c r="B146" s="1">
        <v>7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  <c r="N146" s="1" t="s">
        <v>447</v>
      </c>
      <c r="O146" s="1" t="s">
        <v>447</v>
      </c>
    </row>
    <row r="147" spans="1:16" x14ac:dyDescent="0.3">
      <c r="A147" s="1" t="s">
        <v>51</v>
      </c>
      <c r="B147" s="1">
        <v>7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6" x14ac:dyDescent="0.3">
      <c r="A148" s="1" t="s">
        <v>237</v>
      </c>
      <c r="B148" s="1">
        <v>7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6" x14ac:dyDescent="0.3">
      <c r="A149" s="1" t="s">
        <v>238</v>
      </c>
      <c r="B149" s="1">
        <v>7</v>
      </c>
      <c r="C149" s="1" t="s">
        <v>40</v>
      </c>
      <c r="D149" s="1" t="s">
        <v>380</v>
      </c>
      <c r="E149" s="1" t="s">
        <v>34</v>
      </c>
      <c r="F149" s="1" t="s">
        <v>380</v>
      </c>
      <c r="G149" s="1" t="s">
        <v>34</v>
      </c>
      <c r="H149" s="1" t="s">
        <v>34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</row>
    <row r="150" spans="1:16" x14ac:dyDescent="0.3">
      <c r="A150" s="1" t="s">
        <v>239</v>
      </c>
      <c r="B150" s="1">
        <v>7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6" x14ac:dyDescent="0.3">
      <c r="A151" s="1" t="s">
        <v>240</v>
      </c>
      <c r="B151" s="1">
        <v>7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6" x14ac:dyDescent="0.3">
      <c r="A152" s="1" t="s">
        <v>241</v>
      </c>
      <c r="B152" s="1">
        <v>7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6" x14ac:dyDescent="0.3">
      <c r="A153" s="1" t="s">
        <v>242</v>
      </c>
      <c r="B153" s="1">
        <v>7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6" x14ac:dyDescent="0.3">
      <c r="A154" s="1" t="s">
        <v>243</v>
      </c>
      <c r="B154" s="1">
        <v>7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  <c r="P154" s="1" t="s">
        <v>26</v>
      </c>
    </row>
    <row r="155" spans="1:16" x14ac:dyDescent="0.3">
      <c r="A155" s="1" t="s">
        <v>244</v>
      </c>
      <c r="B155" s="1">
        <v>7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6" x14ac:dyDescent="0.3">
      <c r="A156" s="1" t="s">
        <v>245</v>
      </c>
      <c r="B156" s="1">
        <v>7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</row>
    <row r="157" spans="1:16" x14ac:dyDescent="0.3">
      <c r="A157" s="1" t="s">
        <v>246</v>
      </c>
      <c r="B157" s="1">
        <v>7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  <c r="L157" s="1" t="s">
        <v>448</v>
      </c>
      <c r="M157" s="1" t="s">
        <v>448</v>
      </c>
    </row>
    <row r="158" spans="1:16" x14ac:dyDescent="0.3">
      <c r="A158" s="1" t="s">
        <v>247</v>
      </c>
      <c r="B158" s="1">
        <v>7</v>
      </c>
      <c r="C158" s="1" t="s">
        <v>40</v>
      </c>
      <c r="D158" s="1" t="s">
        <v>383</v>
      </c>
      <c r="E158" s="1" t="s">
        <v>447</v>
      </c>
      <c r="F158" s="1" t="s">
        <v>383</v>
      </c>
      <c r="G158" s="1" t="s">
        <v>447</v>
      </c>
      <c r="H158" s="1" t="s">
        <v>447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</row>
    <row r="159" spans="1:16" x14ac:dyDescent="0.3">
      <c r="A159" s="1" t="s">
        <v>248</v>
      </c>
      <c r="B159" s="1">
        <v>7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6" x14ac:dyDescent="0.3">
      <c r="A160" s="1" t="s">
        <v>249</v>
      </c>
      <c r="B160" s="1">
        <v>7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6" x14ac:dyDescent="0.3">
      <c r="A161" s="1" t="s">
        <v>250</v>
      </c>
      <c r="B161" s="1">
        <v>7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</row>
    <row r="162" spans="1:16" x14ac:dyDescent="0.3">
      <c r="A162" s="1" t="s">
        <v>251</v>
      </c>
      <c r="B162" s="1">
        <v>7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  <c r="L162" s="1" t="s">
        <v>448</v>
      </c>
      <c r="M162" s="1" t="s">
        <v>448</v>
      </c>
    </row>
    <row r="163" spans="1:16" x14ac:dyDescent="0.3">
      <c r="A163" s="1" t="s">
        <v>50</v>
      </c>
      <c r="B163" s="1">
        <v>7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6" x14ac:dyDescent="0.3">
      <c r="A164" s="1" t="s">
        <v>518</v>
      </c>
      <c r="B164" s="1">
        <v>7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6" x14ac:dyDescent="0.3">
      <c r="A165" s="1" t="s">
        <v>519</v>
      </c>
      <c r="B165" s="1">
        <v>7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6" x14ac:dyDescent="0.3">
      <c r="A166" s="1" t="s">
        <v>520</v>
      </c>
      <c r="B166" s="1">
        <v>7</v>
      </c>
      <c r="C166" s="1" t="s">
        <v>40</v>
      </c>
      <c r="D166" s="1" t="s">
        <v>880</v>
      </c>
      <c r="E166" s="1" t="s">
        <v>881</v>
      </c>
      <c r="F166" s="1" t="s">
        <v>26</v>
      </c>
      <c r="G166" s="1" t="s">
        <v>26</v>
      </c>
      <c r="H166" s="1" t="s">
        <v>26</v>
      </c>
      <c r="I166" s="1" t="s">
        <v>26</v>
      </c>
      <c r="J166" s="1" t="s">
        <v>26</v>
      </c>
      <c r="K166" s="1" t="s">
        <v>26</v>
      </c>
    </row>
    <row r="167" spans="1:16" x14ac:dyDescent="0.3">
      <c r="A167" s="1" t="s">
        <v>521</v>
      </c>
      <c r="B167" s="1">
        <v>7</v>
      </c>
      <c r="C167" s="1" t="s">
        <v>40</v>
      </c>
      <c r="D167" s="1" t="s">
        <v>880</v>
      </c>
      <c r="E167" s="1" t="s">
        <v>882</v>
      </c>
      <c r="F167" s="1" t="s">
        <v>447</v>
      </c>
      <c r="G167" s="1" t="s">
        <v>447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6" x14ac:dyDescent="0.3">
      <c r="A168" s="1" t="s">
        <v>522</v>
      </c>
      <c r="B168" s="1">
        <v>7</v>
      </c>
      <c r="C168" s="1" t="s">
        <v>40</v>
      </c>
      <c r="D168" s="1" t="s">
        <v>880</v>
      </c>
      <c r="E168" s="1" t="s">
        <v>620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6" x14ac:dyDescent="0.3">
      <c r="A169" s="1" t="s">
        <v>523</v>
      </c>
      <c r="B169" s="1">
        <v>7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6" x14ac:dyDescent="0.3">
      <c r="A170" s="1" t="s">
        <v>524</v>
      </c>
      <c r="B170" s="1">
        <v>7</v>
      </c>
      <c r="C170" s="1" t="s">
        <v>40</v>
      </c>
      <c r="D170" s="1" t="s">
        <v>619</v>
      </c>
      <c r="E170" s="1" t="s">
        <v>34</v>
      </c>
      <c r="F170" s="1" t="s">
        <v>619</v>
      </c>
      <c r="G170" s="1" t="s">
        <v>34</v>
      </c>
      <c r="H170" s="1" t="s">
        <v>34</v>
      </c>
      <c r="I170" s="1" t="s">
        <v>34</v>
      </c>
      <c r="J170" s="1" t="s">
        <v>34</v>
      </c>
      <c r="K170" s="1" t="s">
        <v>34</v>
      </c>
      <c r="L170" s="1" t="s">
        <v>34</v>
      </c>
    </row>
    <row r="171" spans="1:16" x14ac:dyDescent="0.3">
      <c r="A171" s="1" t="s">
        <v>525</v>
      </c>
      <c r="B171" s="1">
        <v>7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  <c r="J171" s="1" t="s">
        <v>26</v>
      </c>
      <c r="K171" s="1" t="s">
        <v>26</v>
      </c>
    </row>
    <row r="172" spans="1:16" x14ac:dyDescent="0.3">
      <c r="A172" s="1" t="s">
        <v>526</v>
      </c>
      <c r="B172" s="1">
        <v>7</v>
      </c>
      <c r="C172" s="1" t="s">
        <v>40</v>
      </c>
      <c r="D172" s="1" t="s">
        <v>619</v>
      </c>
      <c r="E172" s="1" t="s">
        <v>882</v>
      </c>
      <c r="F172" s="1" t="s">
        <v>447</v>
      </c>
      <c r="G172" s="1" t="s">
        <v>447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6" x14ac:dyDescent="0.3">
      <c r="A173" s="1" t="s">
        <v>527</v>
      </c>
      <c r="B173" s="1">
        <v>7</v>
      </c>
      <c r="C173" s="1" t="s">
        <v>40</v>
      </c>
      <c r="D173" s="1" t="s">
        <v>619</v>
      </c>
      <c r="E173" s="1" t="s">
        <v>620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</row>
    <row r="174" spans="1:16" x14ac:dyDescent="0.3">
      <c r="A174" s="1" t="s">
        <v>528</v>
      </c>
      <c r="B174" s="1">
        <v>7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6" x14ac:dyDescent="0.3">
      <c r="A175" s="1" t="s">
        <v>529</v>
      </c>
      <c r="B175" s="1">
        <v>7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  <c r="L175" s="1" t="s">
        <v>26</v>
      </c>
    </row>
    <row r="176" spans="1:16" x14ac:dyDescent="0.3">
      <c r="A176" s="1" t="s">
        <v>530</v>
      </c>
      <c r="B176" s="1">
        <v>7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5" x14ac:dyDescent="0.3">
      <c r="A177" s="1" t="s">
        <v>531</v>
      </c>
      <c r="B177" s="1">
        <v>7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</row>
    <row r="178" spans="1:15" x14ac:dyDescent="0.3">
      <c r="A178" s="1" t="s">
        <v>532</v>
      </c>
      <c r="B178" s="1">
        <v>7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5" x14ac:dyDescent="0.3">
      <c r="A179" s="1" t="s">
        <v>533</v>
      </c>
      <c r="B179" s="1">
        <v>7</v>
      </c>
      <c r="C179" s="1" t="s">
        <v>40</v>
      </c>
      <c r="D179" s="1" t="s">
        <v>882</v>
      </c>
      <c r="E179" s="1" t="s">
        <v>447</v>
      </c>
      <c r="F179" s="1" t="s">
        <v>882</v>
      </c>
      <c r="G179" s="1" t="s">
        <v>447</v>
      </c>
      <c r="H179" s="1" t="s">
        <v>447</v>
      </c>
      <c r="I179" s="1" t="s">
        <v>447</v>
      </c>
      <c r="J179" s="1" t="s">
        <v>447</v>
      </c>
      <c r="K179" s="1" t="s">
        <v>447</v>
      </c>
    </row>
    <row r="180" spans="1:15" x14ac:dyDescent="0.3">
      <c r="A180" s="1" t="s">
        <v>534</v>
      </c>
      <c r="B180" s="1">
        <v>7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5" x14ac:dyDescent="0.3">
      <c r="A181" s="1" t="s">
        <v>535</v>
      </c>
      <c r="B181" s="1">
        <v>7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5" x14ac:dyDescent="0.3">
      <c r="A182" s="1" t="s">
        <v>536</v>
      </c>
      <c r="B182" s="1">
        <v>7</v>
      </c>
      <c r="C182" s="1" t="s">
        <v>40</v>
      </c>
      <c r="D182" s="1" t="s">
        <v>620</v>
      </c>
      <c r="E182" s="1" t="s">
        <v>28</v>
      </c>
      <c r="F182" s="1" t="s">
        <v>620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</row>
    <row r="183" spans="1:15" x14ac:dyDescent="0.3">
      <c r="A183" s="1" t="s">
        <v>537</v>
      </c>
      <c r="B183" s="1">
        <v>7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5" x14ac:dyDescent="0.3">
      <c r="A184" s="1" t="s">
        <v>538</v>
      </c>
      <c r="B184" s="1">
        <v>7</v>
      </c>
      <c r="C184" s="1" t="s">
        <v>40</v>
      </c>
      <c r="D184" s="1" t="s">
        <v>621</v>
      </c>
      <c r="E184" s="1" t="s">
        <v>448</v>
      </c>
      <c r="F184" s="1" t="s">
        <v>448</v>
      </c>
      <c r="G184" s="1" t="s">
        <v>621</v>
      </c>
      <c r="H184" s="1" t="s">
        <v>448</v>
      </c>
      <c r="I184" s="1" t="s">
        <v>448</v>
      </c>
    </row>
    <row r="185" spans="1:15" x14ac:dyDescent="0.3">
      <c r="A185" s="1" t="s">
        <v>252</v>
      </c>
      <c r="B185" s="1">
        <v>7</v>
      </c>
      <c r="C185" s="1" t="s">
        <v>40</v>
      </c>
      <c r="D185" s="1" t="s">
        <v>382</v>
      </c>
      <c r="E185" s="1" t="s">
        <v>382</v>
      </c>
      <c r="F185" s="1" t="s">
        <v>381</v>
      </c>
      <c r="G185" s="1" t="s">
        <v>26</v>
      </c>
      <c r="H185" s="1" t="s">
        <v>26</v>
      </c>
      <c r="I185" s="1" t="s">
        <v>26</v>
      </c>
      <c r="J185" s="1" t="s">
        <v>26</v>
      </c>
      <c r="K185" s="1" t="s">
        <v>26</v>
      </c>
      <c r="L185" s="1" t="s">
        <v>26</v>
      </c>
      <c r="M185" s="1" t="s">
        <v>26</v>
      </c>
      <c r="N185" s="1" t="s">
        <v>26</v>
      </c>
      <c r="O185" s="1" t="s">
        <v>26</v>
      </c>
    </row>
    <row r="186" spans="1:15" x14ac:dyDescent="0.3">
      <c r="A186" s="1" t="s">
        <v>253</v>
      </c>
      <c r="B186" s="1">
        <v>7</v>
      </c>
      <c r="C186" s="1" t="s">
        <v>40</v>
      </c>
      <c r="D186" s="1" t="s">
        <v>382</v>
      </c>
      <c r="E186" s="1" t="s">
        <v>382</v>
      </c>
      <c r="F186" s="1" t="s">
        <v>383</v>
      </c>
      <c r="G186" s="1" t="s">
        <v>447</v>
      </c>
      <c r="H186" s="1" t="s">
        <v>447</v>
      </c>
      <c r="I186" s="1" t="s">
        <v>447</v>
      </c>
      <c r="J186" s="1" t="s">
        <v>447</v>
      </c>
      <c r="K186" s="1" t="s">
        <v>447</v>
      </c>
      <c r="L186" s="1" t="s">
        <v>447</v>
      </c>
      <c r="M186" s="1" t="s">
        <v>447</v>
      </c>
      <c r="N186" s="1" t="s">
        <v>447</v>
      </c>
    </row>
    <row r="187" spans="1:15" x14ac:dyDescent="0.3">
      <c r="A187" s="1" t="s">
        <v>54</v>
      </c>
      <c r="B187" s="1">
        <v>7</v>
      </c>
      <c r="C187" s="1" t="s">
        <v>40</v>
      </c>
      <c r="D187" s="1" t="s">
        <v>382</v>
      </c>
      <c r="E187" s="1" t="s">
        <v>382</v>
      </c>
      <c r="F187" s="1" t="s">
        <v>384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</row>
    <row r="188" spans="1:15" x14ac:dyDescent="0.3">
      <c r="A188" s="1" t="s">
        <v>254</v>
      </c>
      <c r="B188" s="1">
        <v>7</v>
      </c>
      <c r="C188" s="1" t="s">
        <v>40</v>
      </c>
      <c r="D188" s="1" t="s">
        <v>382</v>
      </c>
      <c r="E188" s="1" t="s">
        <v>382</v>
      </c>
      <c r="F188" s="1" t="s">
        <v>385</v>
      </c>
      <c r="G188" s="1" t="s">
        <v>448</v>
      </c>
      <c r="H188" s="1" t="s">
        <v>448</v>
      </c>
      <c r="I188" s="1" t="s">
        <v>448</v>
      </c>
      <c r="J188" s="1" t="s">
        <v>448</v>
      </c>
      <c r="K188" s="1" t="s">
        <v>448</v>
      </c>
      <c r="L188" s="1" t="s">
        <v>448</v>
      </c>
    </row>
    <row r="189" spans="1:15" x14ac:dyDescent="0.3">
      <c r="A189" s="1" t="s">
        <v>255</v>
      </c>
      <c r="B189" s="1">
        <v>7</v>
      </c>
      <c r="C189" s="1" t="s">
        <v>40</v>
      </c>
      <c r="D189" s="1" t="s">
        <v>380</v>
      </c>
      <c r="E189" s="1" t="s">
        <v>380</v>
      </c>
      <c r="F189" s="1" t="s">
        <v>381</v>
      </c>
      <c r="G189" s="1" t="s">
        <v>26</v>
      </c>
      <c r="H189" s="1" t="s">
        <v>26</v>
      </c>
      <c r="I189" s="1" t="s">
        <v>26</v>
      </c>
      <c r="J189" s="1" t="s">
        <v>26</v>
      </c>
      <c r="K189" s="1" t="s">
        <v>26</v>
      </c>
      <c r="L189" s="1" t="s">
        <v>26</v>
      </c>
      <c r="M189" s="1" t="s">
        <v>26</v>
      </c>
      <c r="N189" s="1" t="s">
        <v>26</v>
      </c>
    </row>
    <row r="190" spans="1:15" x14ac:dyDescent="0.3">
      <c r="A190" s="1" t="s">
        <v>256</v>
      </c>
      <c r="B190" s="1">
        <v>7</v>
      </c>
      <c r="C190" s="1" t="s">
        <v>40</v>
      </c>
      <c r="D190" s="1" t="s">
        <v>380</v>
      </c>
      <c r="E190" s="1" t="s">
        <v>380</v>
      </c>
      <c r="F190" s="1" t="s">
        <v>383</v>
      </c>
      <c r="G190" s="1" t="s">
        <v>447</v>
      </c>
      <c r="H190" s="1" t="s">
        <v>447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5" x14ac:dyDescent="0.3">
      <c r="A191" s="1" t="s">
        <v>257</v>
      </c>
      <c r="B191" s="1">
        <v>7</v>
      </c>
      <c r="C191" s="1" t="s">
        <v>40</v>
      </c>
      <c r="D191" s="1" t="s">
        <v>380</v>
      </c>
      <c r="E191" s="1" t="s">
        <v>380</v>
      </c>
      <c r="F191" s="1" t="s">
        <v>384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</row>
    <row r="192" spans="1:15" x14ac:dyDescent="0.3">
      <c r="A192" s="1" t="s">
        <v>258</v>
      </c>
      <c r="B192" s="1">
        <v>7</v>
      </c>
      <c r="C192" s="1" t="s">
        <v>40</v>
      </c>
      <c r="D192" s="1" t="s">
        <v>380</v>
      </c>
      <c r="E192" s="1" t="s">
        <v>380</v>
      </c>
      <c r="F192" s="1" t="s">
        <v>385</v>
      </c>
      <c r="G192" s="1" t="s">
        <v>448</v>
      </c>
      <c r="H192" s="1" t="s">
        <v>448</v>
      </c>
      <c r="I192" s="1" t="s">
        <v>448</v>
      </c>
      <c r="J192" s="1" t="s">
        <v>448</v>
      </c>
      <c r="K192" s="1" t="s">
        <v>448</v>
      </c>
    </row>
    <row r="193" spans="1:15" x14ac:dyDescent="0.3">
      <c r="A193" s="1" t="s">
        <v>259</v>
      </c>
      <c r="B193" s="1">
        <v>7</v>
      </c>
      <c r="C193" s="1" t="s">
        <v>40</v>
      </c>
      <c r="D193" s="1" t="s">
        <v>382</v>
      </c>
      <c r="E193" s="1" t="s">
        <v>380</v>
      </c>
      <c r="F193" s="1" t="s">
        <v>381</v>
      </c>
      <c r="G193" s="1" t="s">
        <v>26</v>
      </c>
      <c r="H193" s="1" t="s">
        <v>26</v>
      </c>
      <c r="I193" s="1" t="s">
        <v>26</v>
      </c>
      <c r="J193" s="1" t="s">
        <v>26</v>
      </c>
      <c r="K193" s="1" t="s">
        <v>26</v>
      </c>
      <c r="L193" s="1" t="s">
        <v>26</v>
      </c>
      <c r="M193" s="1" t="s">
        <v>26</v>
      </c>
      <c r="N193" s="1" t="s">
        <v>26</v>
      </c>
    </row>
    <row r="194" spans="1:15" x14ac:dyDescent="0.3">
      <c r="A194" s="1" t="s">
        <v>260</v>
      </c>
      <c r="B194" s="1">
        <v>7</v>
      </c>
      <c r="C194" s="1" t="s">
        <v>40</v>
      </c>
      <c r="D194" s="1" t="s">
        <v>382</v>
      </c>
      <c r="E194" s="1" t="s">
        <v>380</v>
      </c>
      <c r="F194" s="1" t="s">
        <v>383</v>
      </c>
      <c r="G194" s="1" t="s">
        <v>447</v>
      </c>
      <c r="H194" s="1" t="s">
        <v>447</v>
      </c>
      <c r="I194" s="1" t="s">
        <v>447</v>
      </c>
      <c r="J194" s="1" t="s">
        <v>447</v>
      </c>
      <c r="K194" s="1" t="s">
        <v>447</v>
      </c>
      <c r="L194" s="1" t="s">
        <v>447</v>
      </c>
      <c r="M194" s="1" t="s">
        <v>447</v>
      </c>
    </row>
    <row r="195" spans="1:15" x14ac:dyDescent="0.3">
      <c r="A195" s="1" t="s">
        <v>261</v>
      </c>
      <c r="B195" s="1">
        <v>7</v>
      </c>
      <c r="C195" s="1" t="s">
        <v>40</v>
      </c>
      <c r="D195" s="1" t="s">
        <v>382</v>
      </c>
      <c r="E195" s="1" t="s">
        <v>380</v>
      </c>
      <c r="F195" s="1" t="s">
        <v>384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</row>
    <row r="196" spans="1:15" x14ac:dyDescent="0.3">
      <c r="A196" s="1" t="s">
        <v>262</v>
      </c>
      <c r="B196" s="1">
        <v>7</v>
      </c>
      <c r="C196" s="1" t="s">
        <v>40</v>
      </c>
      <c r="D196" s="1" t="s">
        <v>382</v>
      </c>
      <c r="E196" s="1" t="s">
        <v>380</v>
      </c>
      <c r="F196" s="1" t="s">
        <v>385</v>
      </c>
      <c r="G196" s="1" t="s">
        <v>448</v>
      </c>
      <c r="H196" s="1" t="s">
        <v>448</v>
      </c>
      <c r="I196" s="1" t="s">
        <v>448</v>
      </c>
      <c r="J196" s="1" t="s">
        <v>448</v>
      </c>
      <c r="K196" s="1" t="s">
        <v>448</v>
      </c>
    </row>
    <row r="197" spans="1:15" x14ac:dyDescent="0.3">
      <c r="A197" s="1" t="s">
        <v>539</v>
      </c>
      <c r="B197" s="1">
        <v>7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5" x14ac:dyDescent="0.3">
      <c r="A198" s="1" t="s">
        <v>540</v>
      </c>
      <c r="B198" s="1">
        <v>7</v>
      </c>
      <c r="C198" s="1" t="s">
        <v>40</v>
      </c>
      <c r="D198" s="1" t="s">
        <v>880</v>
      </c>
      <c r="E198" s="1" t="s">
        <v>880</v>
      </c>
      <c r="F198" s="1" t="s">
        <v>882</v>
      </c>
      <c r="G198" s="1" t="s">
        <v>447</v>
      </c>
      <c r="H198" s="1" t="s">
        <v>447</v>
      </c>
      <c r="I198" s="1" t="s">
        <v>447</v>
      </c>
      <c r="J198" s="1" t="s">
        <v>447</v>
      </c>
    </row>
    <row r="199" spans="1:15" x14ac:dyDescent="0.3">
      <c r="A199" s="1" t="s">
        <v>541</v>
      </c>
      <c r="B199" s="1">
        <v>7</v>
      </c>
      <c r="C199" s="1" t="s">
        <v>40</v>
      </c>
      <c r="D199" s="1" t="s">
        <v>880</v>
      </c>
      <c r="E199" s="1" t="s">
        <v>880</v>
      </c>
      <c r="F199" s="1" t="s">
        <v>620</v>
      </c>
      <c r="G199" s="1" t="s">
        <v>28</v>
      </c>
      <c r="H199" s="1" t="s">
        <v>28</v>
      </c>
      <c r="I199" s="1" t="s">
        <v>28</v>
      </c>
      <c r="J199" s="1" t="s">
        <v>28</v>
      </c>
    </row>
    <row r="200" spans="1:15" x14ac:dyDescent="0.3">
      <c r="A200" s="1" t="s">
        <v>542</v>
      </c>
      <c r="B200" s="1">
        <v>7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5" x14ac:dyDescent="0.3">
      <c r="A201" s="1" t="s">
        <v>543</v>
      </c>
      <c r="B201" s="1">
        <v>7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5" x14ac:dyDescent="0.3">
      <c r="A202" s="1" t="s">
        <v>544</v>
      </c>
      <c r="B202" s="1">
        <v>7</v>
      </c>
      <c r="C202" s="1" t="s">
        <v>40</v>
      </c>
      <c r="D202" s="1" t="s">
        <v>619</v>
      </c>
      <c r="E202" s="1" t="s">
        <v>619</v>
      </c>
      <c r="F202" s="1" t="s">
        <v>882</v>
      </c>
      <c r="G202" s="1" t="s">
        <v>447</v>
      </c>
      <c r="H202" s="1" t="s">
        <v>447</v>
      </c>
      <c r="I202" s="1" t="s">
        <v>447</v>
      </c>
      <c r="J202" s="1" t="s">
        <v>447</v>
      </c>
    </row>
    <row r="203" spans="1:15" x14ac:dyDescent="0.3">
      <c r="A203" s="1" t="s">
        <v>545</v>
      </c>
      <c r="B203" s="1">
        <v>7</v>
      </c>
      <c r="C203" s="1" t="s">
        <v>40</v>
      </c>
      <c r="D203" s="1" t="s">
        <v>619</v>
      </c>
      <c r="E203" s="1" t="s">
        <v>619</v>
      </c>
      <c r="F203" s="1" t="s">
        <v>620</v>
      </c>
      <c r="G203" s="1" t="s">
        <v>28</v>
      </c>
      <c r="H203" s="1" t="s">
        <v>28</v>
      </c>
      <c r="I203" s="1" t="s">
        <v>28</v>
      </c>
      <c r="J203" s="1" t="s">
        <v>28</v>
      </c>
    </row>
    <row r="204" spans="1:15" x14ac:dyDescent="0.3">
      <c r="A204" s="1" t="s">
        <v>546</v>
      </c>
      <c r="B204" s="1">
        <v>7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5" x14ac:dyDescent="0.3">
      <c r="A205" s="1" t="s">
        <v>547</v>
      </c>
      <c r="B205" s="1">
        <v>7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5" x14ac:dyDescent="0.3">
      <c r="A206" s="1" t="s">
        <v>548</v>
      </c>
      <c r="B206" s="1">
        <v>7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5" x14ac:dyDescent="0.3">
      <c r="A207" s="1" t="s">
        <v>549</v>
      </c>
      <c r="B207" s="1">
        <v>7</v>
      </c>
      <c r="C207" s="1" t="s">
        <v>40</v>
      </c>
      <c r="D207" s="1" t="s">
        <v>880</v>
      </c>
      <c r="E207" s="1" t="s">
        <v>619</v>
      </c>
      <c r="F207" s="1" t="s">
        <v>620</v>
      </c>
      <c r="G207" s="1" t="s">
        <v>28</v>
      </c>
      <c r="H207" s="1" t="s">
        <v>28</v>
      </c>
      <c r="I207" s="1" t="s">
        <v>28</v>
      </c>
      <c r="J207" s="1" t="s">
        <v>28</v>
      </c>
    </row>
    <row r="208" spans="1:15" x14ac:dyDescent="0.3">
      <c r="A208" s="1" t="s">
        <v>550</v>
      </c>
      <c r="B208" s="1">
        <v>7</v>
      </c>
      <c r="C208" s="1" t="s">
        <v>40</v>
      </c>
      <c r="D208" s="1" t="s">
        <v>880</v>
      </c>
      <c r="E208" s="1" t="s">
        <v>619</v>
      </c>
      <c r="F208" s="1" t="s">
        <v>621</v>
      </c>
      <c r="G208" s="1" t="s">
        <v>448</v>
      </c>
      <c r="H208" s="1" t="s">
        <v>448</v>
      </c>
    </row>
    <row r="209" spans="1:15" x14ac:dyDescent="0.3">
      <c r="A209" s="1" t="s">
        <v>263</v>
      </c>
      <c r="B209" s="1">
        <v>7</v>
      </c>
      <c r="C209" s="1" t="s">
        <v>40</v>
      </c>
      <c r="D209" s="1" t="s">
        <v>382</v>
      </c>
      <c r="E209" s="1" t="s">
        <v>381</v>
      </c>
      <c r="F209" s="1" t="s">
        <v>26</v>
      </c>
      <c r="G209" s="1" t="s">
        <v>26</v>
      </c>
      <c r="H209" s="1" t="s">
        <v>26</v>
      </c>
      <c r="I209" s="1" t="s">
        <v>381</v>
      </c>
      <c r="J209" s="1" t="s">
        <v>26</v>
      </c>
      <c r="K209" s="1" t="s">
        <v>26</v>
      </c>
      <c r="L209" s="1" t="s">
        <v>26</v>
      </c>
      <c r="M209" s="1" t="s">
        <v>26</v>
      </c>
      <c r="N209" s="1" t="s">
        <v>26</v>
      </c>
      <c r="O209" s="1" t="s">
        <v>26</v>
      </c>
    </row>
    <row r="210" spans="1:15" x14ac:dyDescent="0.3">
      <c r="A210" s="1" t="s">
        <v>53</v>
      </c>
      <c r="B210" s="1">
        <v>7</v>
      </c>
      <c r="C210" s="1" t="s">
        <v>40</v>
      </c>
      <c r="D210" s="1" t="s">
        <v>382</v>
      </c>
      <c r="E210" s="1" t="s">
        <v>383</v>
      </c>
      <c r="F210" s="1" t="s">
        <v>447</v>
      </c>
      <c r="G210" s="1" t="s">
        <v>447</v>
      </c>
      <c r="H210" s="1" t="s">
        <v>447</v>
      </c>
      <c r="I210" s="1" t="s">
        <v>383</v>
      </c>
      <c r="J210" s="1" t="s">
        <v>447</v>
      </c>
      <c r="K210" s="1" t="s">
        <v>447</v>
      </c>
      <c r="L210" s="1" t="s">
        <v>447</v>
      </c>
    </row>
    <row r="211" spans="1:15" x14ac:dyDescent="0.3">
      <c r="A211" s="1" t="s">
        <v>52</v>
      </c>
      <c r="B211" s="1">
        <v>7</v>
      </c>
      <c r="C211" s="1" t="s">
        <v>40</v>
      </c>
      <c r="D211" s="1" t="s">
        <v>382</v>
      </c>
      <c r="E211" s="1" t="s">
        <v>384</v>
      </c>
      <c r="F211" s="1" t="s">
        <v>28</v>
      </c>
      <c r="G211" s="1" t="s">
        <v>28</v>
      </c>
      <c r="H211" s="1" t="s">
        <v>28</v>
      </c>
      <c r="I211" s="1" t="s">
        <v>384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</row>
    <row r="212" spans="1:15" x14ac:dyDescent="0.3">
      <c r="A212" s="1" t="s">
        <v>264</v>
      </c>
      <c r="B212" s="1">
        <v>7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5" x14ac:dyDescent="0.3">
      <c r="A213" s="1" t="s">
        <v>265</v>
      </c>
      <c r="B213" s="1">
        <v>7</v>
      </c>
      <c r="C213" s="1" t="s">
        <v>40</v>
      </c>
      <c r="D213" s="1" t="s">
        <v>382</v>
      </c>
      <c r="E213" s="1" t="s">
        <v>381</v>
      </c>
      <c r="F213" s="1" t="s">
        <v>26</v>
      </c>
      <c r="G213" s="1" t="s">
        <v>26</v>
      </c>
      <c r="H213" s="1" t="s">
        <v>26</v>
      </c>
      <c r="I213" s="1" t="s">
        <v>383</v>
      </c>
      <c r="J213" s="1" t="s">
        <v>447</v>
      </c>
      <c r="K213" s="1" t="s">
        <v>447</v>
      </c>
      <c r="L213" s="1" t="s">
        <v>447</v>
      </c>
    </row>
    <row r="214" spans="1:15" x14ac:dyDescent="0.3">
      <c r="A214" s="1" t="s">
        <v>266</v>
      </c>
      <c r="B214" s="1">
        <v>7</v>
      </c>
      <c r="C214" s="1" t="s">
        <v>40</v>
      </c>
      <c r="D214" s="1" t="s">
        <v>382</v>
      </c>
      <c r="E214" s="1" t="s">
        <v>381</v>
      </c>
      <c r="F214" s="1" t="s">
        <v>26</v>
      </c>
      <c r="G214" s="1" t="s">
        <v>26</v>
      </c>
      <c r="H214" s="1" t="s">
        <v>26</v>
      </c>
      <c r="I214" s="1" t="s">
        <v>384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</row>
    <row r="215" spans="1:15" x14ac:dyDescent="0.3">
      <c r="A215" s="1" t="s">
        <v>267</v>
      </c>
      <c r="B215" s="1">
        <v>7</v>
      </c>
      <c r="C215" s="1" t="s">
        <v>40</v>
      </c>
      <c r="D215" s="1" t="s">
        <v>382</v>
      </c>
      <c r="E215" s="1" t="s">
        <v>383</v>
      </c>
      <c r="F215" s="1" t="s">
        <v>447</v>
      </c>
      <c r="G215" s="1" t="s">
        <v>447</v>
      </c>
      <c r="H215" s="1" t="s">
        <v>447</v>
      </c>
      <c r="I215" s="1" t="s">
        <v>384</v>
      </c>
      <c r="J215" s="1" t="s">
        <v>28</v>
      </c>
      <c r="K215" s="1" t="s">
        <v>28</v>
      </c>
      <c r="L215" s="1" t="s">
        <v>28</v>
      </c>
      <c r="M215" s="1" t="s">
        <v>28</v>
      </c>
    </row>
    <row r="216" spans="1:15" x14ac:dyDescent="0.3">
      <c r="A216" s="1" t="s">
        <v>268</v>
      </c>
      <c r="B216" s="1">
        <v>7</v>
      </c>
      <c r="C216" s="1" t="s">
        <v>40</v>
      </c>
      <c r="D216" s="1" t="s">
        <v>382</v>
      </c>
      <c r="E216" s="1" t="s">
        <v>383</v>
      </c>
      <c r="F216" s="1" t="s">
        <v>447</v>
      </c>
      <c r="G216" s="1" t="s">
        <v>447</v>
      </c>
      <c r="H216" s="1" t="s">
        <v>447</v>
      </c>
      <c r="I216" s="1" t="s">
        <v>385</v>
      </c>
      <c r="J216" s="1" t="s">
        <v>448</v>
      </c>
      <c r="K216" s="1" t="s">
        <v>448</v>
      </c>
      <c r="L216" s="1" t="s">
        <v>448</v>
      </c>
    </row>
    <row r="217" spans="1:15" x14ac:dyDescent="0.3">
      <c r="A217" s="1" t="s">
        <v>269</v>
      </c>
      <c r="B217" s="1">
        <v>7</v>
      </c>
      <c r="C217" s="1" t="s">
        <v>40</v>
      </c>
      <c r="D217" s="1" t="s">
        <v>382</v>
      </c>
      <c r="E217" s="1" t="s">
        <v>384</v>
      </c>
      <c r="F217" s="1" t="s">
        <v>28</v>
      </c>
      <c r="G217" s="1" t="s">
        <v>28</v>
      </c>
      <c r="H217" s="1" t="s">
        <v>28</v>
      </c>
      <c r="I217" s="1" t="s">
        <v>385</v>
      </c>
      <c r="J217" s="1" t="s">
        <v>448</v>
      </c>
      <c r="K217" s="1" t="s">
        <v>448</v>
      </c>
      <c r="L217" s="1" t="s">
        <v>448</v>
      </c>
    </row>
    <row r="218" spans="1:15" x14ac:dyDescent="0.3">
      <c r="A218" s="1" t="s">
        <v>270</v>
      </c>
      <c r="B218" s="1">
        <v>7</v>
      </c>
      <c r="C218" s="1" t="s">
        <v>40</v>
      </c>
      <c r="D218" s="1" t="s">
        <v>380</v>
      </c>
      <c r="E218" s="1" t="s">
        <v>383</v>
      </c>
      <c r="F218" s="1" t="s">
        <v>447</v>
      </c>
      <c r="G218" s="1" t="s">
        <v>447</v>
      </c>
      <c r="H218" s="1" t="s">
        <v>447</v>
      </c>
      <c r="I218" s="1" t="s">
        <v>383</v>
      </c>
      <c r="J218" s="1" t="s">
        <v>447</v>
      </c>
      <c r="K218" s="1" t="s">
        <v>447</v>
      </c>
      <c r="L218" s="1" t="s">
        <v>447</v>
      </c>
    </row>
    <row r="219" spans="1:15" x14ac:dyDescent="0.3">
      <c r="A219" s="1" t="s">
        <v>271</v>
      </c>
      <c r="B219" s="1">
        <v>7</v>
      </c>
      <c r="C219" s="1" t="s">
        <v>40</v>
      </c>
      <c r="D219" s="1" t="s">
        <v>380</v>
      </c>
      <c r="E219" s="1" t="s">
        <v>384</v>
      </c>
      <c r="F219" s="1" t="s">
        <v>28</v>
      </c>
      <c r="G219" s="1" t="s">
        <v>28</v>
      </c>
      <c r="H219" s="1" t="s">
        <v>28</v>
      </c>
      <c r="I219" s="1" t="s">
        <v>384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</row>
    <row r="220" spans="1:15" x14ac:dyDescent="0.3">
      <c r="A220" s="1" t="s">
        <v>272</v>
      </c>
      <c r="B220" s="1">
        <v>7</v>
      </c>
      <c r="C220" s="1" t="s">
        <v>40</v>
      </c>
      <c r="D220" s="1" t="s">
        <v>380</v>
      </c>
      <c r="E220" s="1" t="s">
        <v>385</v>
      </c>
      <c r="F220" s="1" t="s">
        <v>448</v>
      </c>
      <c r="G220" s="1" t="s">
        <v>448</v>
      </c>
      <c r="H220" s="1" t="s">
        <v>385</v>
      </c>
      <c r="I220" s="1" t="s">
        <v>448</v>
      </c>
      <c r="J220" s="1" t="s">
        <v>448</v>
      </c>
    </row>
    <row r="221" spans="1:15" x14ac:dyDescent="0.3">
      <c r="A221" s="1" t="s">
        <v>273</v>
      </c>
      <c r="B221" s="1">
        <v>7</v>
      </c>
      <c r="C221" s="1" t="s">
        <v>40</v>
      </c>
      <c r="D221" s="1" t="s">
        <v>380</v>
      </c>
      <c r="E221" s="1" t="s">
        <v>381</v>
      </c>
      <c r="F221" s="1" t="s">
        <v>26</v>
      </c>
      <c r="G221" s="1" t="s">
        <v>26</v>
      </c>
      <c r="H221" s="1" t="s">
        <v>26</v>
      </c>
      <c r="I221" s="1" t="s">
        <v>383</v>
      </c>
      <c r="J221" s="1" t="s">
        <v>447</v>
      </c>
      <c r="K221" s="1" t="s">
        <v>447</v>
      </c>
      <c r="L221" s="1" t="s">
        <v>447</v>
      </c>
    </row>
    <row r="222" spans="1:15" x14ac:dyDescent="0.3">
      <c r="A222" s="1" t="s">
        <v>274</v>
      </c>
      <c r="B222" s="1">
        <v>7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</row>
    <row r="223" spans="1:15" x14ac:dyDescent="0.3">
      <c r="A223" s="1" t="s">
        <v>275</v>
      </c>
      <c r="B223" s="1">
        <v>7</v>
      </c>
      <c r="C223" s="1" t="s">
        <v>40</v>
      </c>
      <c r="D223" s="1" t="s">
        <v>380</v>
      </c>
      <c r="E223" s="1" t="s">
        <v>383</v>
      </c>
      <c r="F223" s="1" t="s">
        <v>447</v>
      </c>
      <c r="G223" s="1" t="s">
        <v>447</v>
      </c>
      <c r="H223" s="1" t="s">
        <v>447</v>
      </c>
      <c r="I223" s="1" t="s">
        <v>384</v>
      </c>
      <c r="J223" s="1" t="s">
        <v>28</v>
      </c>
      <c r="K223" s="1" t="s">
        <v>28</v>
      </c>
      <c r="L223" s="1" t="s">
        <v>28</v>
      </c>
    </row>
    <row r="224" spans="1:15" x14ac:dyDescent="0.3">
      <c r="A224" s="1" t="s">
        <v>276</v>
      </c>
      <c r="B224" s="1">
        <v>7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7</v>
      </c>
      <c r="C225" s="1" t="s">
        <v>40</v>
      </c>
      <c r="D225" s="1" t="s">
        <v>380</v>
      </c>
      <c r="E225" s="1" t="s">
        <v>384</v>
      </c>
      <c r="F225" s="1" t="s">
        <v>28</v>
      </c>
      <c r="G225" s="1" t="s">
        <v>28</v>
      </c>
      <c r="H225" s="1" t="s">
        <v>28</v>
      </c>
      <c r="I225" s="1" t="s">
        <v>385</v>
      </c>
      <c r="J225" s="1" t="s">
        <v>448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7</v>
      </c>
      <c r="C226" s="1" t="s">
        <v>40</v>
      </c>
      <c r="D226" s="1" t="s">
        <v>880</v>
      </c>
      <c r="E226" s="1" t="s">
        <v>881</v>
      </c>
      <c r="F226" s="1" t="s">
        <v>26</v>
      </c>
      <c r="G226" s="1" t="s">
        <v>881</v>
      </c>
      <c r="H226" s="1" t="s">
        <v>26</v>
      </c>
    </row>
    <row r="227" spans="1:12" x14ac:dyDescent="0.3">
      <c r="A227" s="1" t="s">
        <v>552</v>
      </c>
      <c r="B227" s="1">
        <v>7</v>
      </c>
      <c r="C227" s="1" t="s">
        <v>40</v>
      </c>
      <c r="D227" s="1" t="s">
        <v>880</v>
      </c>
      <c r="E227" s="1" t="s">
        <v>882</v>
      </c>
      <c r="F227" s="1" t="s">
        <v>447</v>
      </c>
      <c r="G227" s="1" t="s">
        <v>882</v>
      </c>
      <c r="H227" s="1" t="s">
        <v>447</v>
      </c>
    </row>
    <row r="228" spans="1:12" x14ac:dyDescent="0.3">
      <c r="A228" s="1" t="s">
        <v>553</v>
      </c>
      <c r="B228" s="1">
        <v>7</v>
      </c>
      <c r="C228" s="1" t="s">
        <v>40</v>
      </c>
      <c r="D228" s="1" t="s">
        <v>880</v>
      </c>
      <c r="E228" s="1" t="s">
        <v>620</v>
      </c>
      <c r="F228" s="1" t="s">
        <v>28</v>
      </c>
      <c r="G228" s="1" t="s">
        <v>620</v>
      </c>
      <c r="H228" s="1" t="s">
        <v>28</v>
      </c>
    </row>
    <row r="229" spans="1:12" x14ac:dyDescent="0.3">
      <c r="A229" s="1" t="s">
        <v>554</v>
      </c>
      <c r="B229" s="1">
        <v>7</v>
      </c>
      <c r="C229" s="1" t="s">
        <v>40</v>
      </c>
      <c r="D229" s="1" t="s">
        <v>880</v>
      </c>
      <c r="E229" s="1" t="s">
        <v>621</v>
      </c>
      <c r="F229" s="1" t="s">
        <v>448</v>
      </c>
      <c r="G229" s="1" t="s">
        <v>621</v>
      </c>
      <c r="H229" s="1" t="s">
        <v>448</v>
      </c>
    </row>
    <row r="230" spans="1:12" x14ac:dyDescent="0.3">
      <c r="A230" s="1" t="s">
        <v>555</v>
      </c>
      <c r="B230" s="1">
        <v>7</v>
      </c>
      <c r="C230" s="1" t="s">
        <v>40</v>
      </c>
      <c r="D230" s="1" t="s">
        <v>880</v>
      </c>
      <c r="E230" s="1" t="s">
        <v>881</v>
      </c>
      <c r="F230" s="1" t="s">
        <v>26</v>
      </c>
      <c r="G230" s="1" t="s">
        <v>882</v>
      </c>
      <c r="H230" s="1" t="s">
        <v>447</v>
      </c>
    </row>
    <row r="231" spans="1:12" x14ac:dyDescent="0.3">
      <c r="A231" s="1" t="s">
        <v>556</v>
      </c>
      <c r="B231" s="1">
        <v>7</v>
      </c>
      <c r="C231" s="1" t="s">
        <v>40</v>
      </c>
      <c r="D231" s="1" t="s">
        <v>880</v>
      </c>
      <c r="E231" s="1" t="s">
        <v>25</v>
      </c>
      <c r="F231" s="1" t="s">
        <v>25</v>
      </c>
      <c r="G231" s="1" t="s">
        <v>881</v>
      </c>
      <c r="H231" s="1" t="s">
        <v>620</v>
      </c>
    </row>
    <row r="232" spans="1:12" x14ac:dyDescent="0.3">
      <c r="A232" s="1" t="s">
        <v>557</v>
      </c>
      <c r="B232" s="1">
        <v>7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620</v>
      </c>
      <c r="H232" s="1" t="s">
        <v>28</v>
      </c>
    </row>
    <row r="233" spans="1:12" x14ac:dyDescent="0.3">
      <c r="A233" s="1" t="s">
        <v>558</v>
      </c>
      <c r="B233" s="1">
        <v>7</v>
      </c>
      <c r="C233" s="1" t="s">
        <v>40</v>
      </c>
      <c r="D233" s="1" t="s">
        <v>880</v>
      </c>
      <c r="E233" s="1" t="s">
        <v>25</v>
      </c>
      <c r="F233" s="1" t="s">
        <v>25</v>
      </c>
      <c r="G233" s="1" t="s">
        <v>25</v>
      </c>
      <c r="H233" s="1" t="s">
        <v>25</v>
      </c>
      <c r="I233" s="1" t="s">
        <v>882</v>
      </c>
      <c r="J233" s="1" t="s">
        <v>447</v>
      </c>
      <c r="K233" s="1" t="s">
        <v>621</v>
      </c>
      <c r="L233" s="1" t="s">
        <v>448</v>
      </c>
    </row>
    <row r="234" spans="1:12" x14ac:dyDescent="0.3">
      <c r="A234" s="1" t="s">
        <v>559</v>
      </c>
      <c r="B234" s="1">
        <v>7</v>
      </c>
      <c r="C234" s="1" t="s">
        <v>40</v>
      </c>
      <c r="D234" s="1" t="s">
        <v>880</v>
      </c>
      <c r="E234" s="1" t="s">
        <v>25</v>
      </c>
      <c r="F234" s="1" t="s">
        <v>25</v>
      </c>
      <c r="G234" s="1" t="s">
        <v>620</v>
      </c>
      <c r="H234" s="1" t="s">
        <v>28</v>
      </c>
      <c r="I234" s="1" t="s">
        <v>621</v>
      </c>
      <c r="J234" s="1" t="s">
        <v>448</v>
      </c>
    </row>
    <row r="235" spans="1:12" x14ac:dyDescent="0.3">
      <c r="A235" s="1" t="s">
        <v>560</v>
      </c>
      <c r="B235" s="1">
        <v>7</v>
      </c>
      <c r="C235" s="1" t="s">
        <v>40</v>
      </c>
      <c r="D235" s="1" t="s">
        <v>619</v>
      </c>
      <c r="E235" s="1" t="s">
        <v>882</v>
      </c>
      <c r="F235" s="1" t="s">
        <v>447</v>
      </c>
      <c r="G235" s="1" t="s">
        <v>882</v>
      </c>
      <c r="H235" s="1" t="s">
        <v>447</v>
      </c>
    </row>
    <row r="236" spans="1:12" x14ac:dyDescent="0.3">
      <c r="A236" s="1" t="s">
        <v>561</v>
      </c>
      <c r="B236" s="1">
        <v>7</v>
      </c>
      <c r="C236" s="1" t="s">
        <v>40</v>
      </c>
      <c r="D236" s="1" t="s">
        <v>619</v>
      </c>
      <c r="E236" s="1" t="s">
        <v>620</v>
      </c>
      <c r="F236" s="1" t="s">
        <v>28</v>
      </c>
      <c r="G236" s="1" t="s">
        <v>28</v>
      </c>
      <c r="H236" s="1" t="s">
        <v>620</v>
      </c>
      <c r="I236" s="1" t="s">
        <v>28</v>
      </c>
      <c r="J236" s="1" t="s">
        <v>28</v>
      </c>
    </row>
    <row r="237" spans="1:12" x14ac:dyDescent="0.3">
      <c r="A237" s="1" t="s">
        <v>562</v>
      </c>
      <c r="B237" s="1">
        <v>7</v>
      </c>
      <c r="C237" s="1" t="s">
        <v>40</v>
      </c>
      <c r="D237" s="1" t="s">
        <v>619</v>
      </c>
      <c r="E237" s="1" t="s">
        <v>621</v>
      </c>
      <c r="F237" s="1" t="s">
        <v>448</v>
      </c>
      <c r="G237" s="1" t="s">
        <v>621</v>
      </c>
      <c r="H237" s="1" t="s">
        <v>448</v>
      </c>
    </row>
    <row r="238" spans="1:12" x14ac:dyDescent="0.3">
      <c r="A238" s="1" t="s">
        <v>563</v>
      </c>
      <c r="B238" s="1">
        <v>7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26</v>
      </c>
      <c r="H238" s="1" t="s">
        <v>882</v>
      </c>
      <c r="I238" s="1" t="s">
        <v>447</v>
      </c>
      <c r="J238" s="1" t="s">
        <v>447</v>
      </c>
    </row>
    <row r="239" spans="1:12" x14ac:dyDescent="0.3">
      <c r="A239" s="1" t="s">
        <v>564</v>
      </c>
      <c r="B239" s="1">
        <v>7</v>
      </c>
      <c r="C239" s="1" t="s">
        <v>40</v>
      </c>
      <c r="D239" s="1" t="s">
        <v>619</v>
      </c>
      <c r="E239" s="1" t="s">
        <v>34</v>
      </c>
      <c r="F239" s="1" t="s">
        <v>34</v>
      </c>
      <c r="G239" s="1" t="s">
        <v>881</v>
      </c>
      <c r="H239" s="1" t="s">
        <v>620</v>
      </c>
    </row>
    <row r="240" spans="1:12" x14ac:dyDescent="0.3">
      <c r="A240" s="1" t="s">
        <v>565</v>
      </c>
      <c r="B240" s="1">
        <v>7</v>
      </c>
      <c r="C240" s="1" t="s">
        <v>40</v>
      </c>
      <c r="D240" s="1" t="s">
        <v>619</v>
      </c>
      <c r="E240" s="1" t="s">
        <v>882</v>
      </c>
      <c r="F240" s="1" t="s">
        <v>447</v>
      </c>
      <c r="G240" s="1" t="s">
        <v>620</v>
      </c>
      <c r="H240" s="1" t="s">
        <v>28</v>
      </c>
    </row>
    <row r="241" spans="1:18" x14ac:dyDescent="0.3">
      <c r="A241" s="1" t="s">
        <v>566</v>
      </c>
      <c r="B241" s="1">
        <v>7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621</v>
      </c>
      <c r="H241" s="1" t="s">
        <v>448</v>
      </c>
    </row>
    <row r="242" spans="1:18" x14ac:dyDescent="0.3">
      <c r="A242" s="1" t="s">
        <v>567</v>
      </c>
      <c r="B242" s="1">
        <v>7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621</v>
      </c>
      <c r="H242" s="1" t="s">
        <v>448</v>
      </c>
    </row>
    <row r="243" spans="1:18" x14ac:dyDescent="0.3">
      <c r="A243" s="1" t="s">
        <v>278</v>
      </c>
      <c r="B243" s="1">
        <v>10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25</v>
      </c>
      <c r="H243" s="1" t="s">
        <v>382</v>
      </c>
      <c r="I243" s="1" t="s">
        <v>25</v>
      </c>
      <c r="J243" s="1" t="s">
        <v>25</v>
      </c>
      <c r="K243" s="1" t="s">
        <v>25</v>
      </c>
      <c r="L243" s="1" t="s">
        <v>381</v>
      </c>
      <c r="M243" s="1" t="s">
        <v>26</v>
      </c>
      <c r="N243" s="1" t="s">
        <v>26</v>
      </c>
      <c r="O243" s="1" t="s">
        <v>26</v>
      </c>
      <c r="P243" s="1" t="s">
        <v>26</v>
      </c>
    </row>
    <row r="244" spans="1:18" x14ac:dyDescent="0.3">
      <c r="A244" s="1" t="s">
        <v>279</v>
      </c>
      <c r="B244" s="1">
        <v>9</v>
      </c>
      <c r="C244" s="1" t="s">
        <v>40</v>
      </c>
      <c r="D244" s="1" t="s">
        <v>382</v>
      </c>
      <c r="E244" s="1" t="s">
        <v>25</v>
      </c>
      <c r="F244" s="1" t="s">
        <v>25</v>
      </c>
      <c r="G244" s="1" t="s">
        <v>25</v>
      </c>
      <c r="H244" s="1" t="s">
        <v>25</v>
      </c>
      <c r="I244" s="1" t="s">
        <v>382</v>
      </c>
      <c r="J244" s="1" t="s">
        <v>25</v>
      </c>
      <c r="K244" s="1" t="s">
        <v>25</v>
      </c>
      <c r="L244" s="1" t="s">
        <v>25</v>
      </c>
      <c r="M244" s="1" t="s">
        <v>25</v>
      </c>
      <c r="N244" s="1" t="s">
        <v>383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9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  <c r="Q245" s="1" t="s">
        <v>28</v>
      </c>
    </row>
    <row r="246" spans="1:18" x14ac:dyDescent="0.3">
      <c r="A246" s="1" t="s">
        <v>281</v>
      </c>
      <c r="B246" s="1">
        <v>9</v>
      </c>
      <c r="C246" s="1" t="s">
        <v>40</v>
      </c>
      <c r="D246" s="1" t="s">
        <v>382</v>
      </c>
      <c r="E246" s="1" t="s">
        <v>382</v>
      </c>
      <c r="F246" s="1" t="s">
        <v>385</v>
      </c>
      <c r="G246" s="1" t="s">
        <v>448</v>
      </c>
      <c r="H246" s="1" t="s">
        <v>448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  <c r="O246" s="1" t="s">
        <v>448</v>
      </c>
    </row>
    <row r="247" spans="1:18" x14ac:dyDescent="0.3">
      <c r="A247" s="1" t="s">
        <v>282</v>
      </c>
      <c r="B247" s="1">
        <v>9</v>
      </c>
      <c r="C247" s="1" t="s">
        <v>40</v>
      </c>
      <c r="D247" s="1" t="s">
        <v>380</v>
      </c>
      <c r="E247" s="1" t="s">
        <v>34</v>
      </c>
      <c r="F247" s="1" t="s">
        <v>34</v>
      </c>
      <c r="G247" s="1" t="s">
        <v>380</v>
      </c>
      <c r="H247" s="1" t="s">
        <v>34</v>
      </c>
      <c r="I247" s="1" t="s">
        <v>34</v>
      </c>
      <c r="J247" s="1" t="s">
        <v>381</v>
      </c>
      <c r="K247" s="1" t="s">
        <v>26</v>
      </c>
      <c r="L247" s="1" t="s">
        <v>26</v>
      </c>
      <c r="M247" s="1" t="s">
        <v>26</v>
      </c>
      <c r="N247" s="1" t="s">
        <v>26</v>
      </c>
    </row>
    <row r="248" spans="1:18" x14ac:dyDescent="0.3">
      <c r="A248" s="1" t="s">
        <v>283</v>
      </c>
      <c r="B248" s="1">
        <v>9</v>
      </c>
      <c r="C248" s="1" t="s">
        <v>40</v>
      </c>
      <c r="D248" s="1" t="s">
        <v>380</v>
      </c>
      <c r="E248" s="1" t="s">
        <v>34</v>
      </c>
      <c r="F248" s="1" t="s">
        <v>34</v>
      </c>
      <c r="G248" s="1" t="s">
        <v>380</v>
      </c>
      <c r="H248" s="1" t="s">
        <v>34</v>
      </c>
      <c r="I248" s="1" t="s">
        <v>34</v>
      </c>
      <c r="J248" s="1" t="s">
        <v>383</v>
      </c>
      <c r="K248" s="1" t="s">
        <v>447</v>
      </c>
      <c r="L248" s="1" t="s">
        <v>447</v>
      </c>
      <c r="M248" s="1" t="s">
        <v>447</v>
      </c>
      <c r="N248" s="1" t="s">
        <v>447</v>
      </c>
      <c r="O248" s="1" t="s">
        <v>447</v>
      </c>
      <c r="P248" s="1" t="s">
        <v>447</v>
      </c>
    </row>
    <row r="249" spans="1:18" x14ac:dyDescent="0.3">
      <c r="A249" s="1" t="s">
        <v>284</v>
      </c>
      <c r="B249" s="1">
        <v>9</v>
      </c>
      <c r="C249" s="1" t="s">
        <v>40</v>
      </c>
      <c r="D249" s="1" t="s">
        <v>380</v>
      </c>
      <c r="E249" s="1" t="s">
        <v>380</v>
      </c>
      <c r="F249" s="1" t="s">
        <v>384</v>
      </c>
      <c r="G249" s="1" t="s">
        <v>28</v>
      </c>
      <c r="H249" s="1" t="s">
        <v>28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  <c r="P249" s="1" t="s">
        <v>28</v>
      </c>
      <c r="Q249" s="1" t="s">
        <v>28</v>
      </c>
      <c r="R249" s="1" t="s">
        <v>28</v>
      </c>
    </row>
    <row r="250" spans="1:18" x14ac:dyDescent="0.3">
      <c r="A250" s="1" t="s">
        <v>285</v>
      </c>
      <c r="B250" s="1">
        <v>9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  <c r="M250" s="1" t="s">
        <v>448</v>
      </c>
      <c r="N250" s="1" t="s">
        <v>448</v>
      </c>
    </row>
    <row r="251" spans="1:18" x14ac:dyDescent="0.3">
      <c r="A251" s="1" t="s">
        <v>286</v>
      </c>
      <c r="B251" s="1">
        <v>9</v>
      </c>
      <c r="C251" s="1" t="s">
        <v>40</v>
      </c>
      <c r="D251" s="1" t="s">
        <v>382</v>
      </c>
      <c r="E251" s="1" t="s">
        <v>25</v>
      </c>
      <c r="F251" s="1" t="s">
        <v>380</v>
      </c>
      <c r="G251" s="1" t="s">
        <v>34</v>
      </c>
      <c r="H251" s="1" t="s">
        <v>381</v>
      </c>
      <c r="I251" s="1" t="s">
        <v>26</v>
      </c>
      <c r="J251" s="1" t="s">
        <v>26</v>
      </c>
      <c r="K251" s="1" t="s">
        <v>26</v>
      </c>
      <c r="L251" s="1" t="s">
        <v>26</v>
      </c>
      <c r="M251" s="1" t="s">
        <v>26</v>
      </c>
      <c r="N251" s="1" t="s">
        <v>26</v>
      </c>
      <c r="O251" s="1" t="s">
        <v>26</v>
      </c>
    </row>
    <row r="252" spans="1:18" x14ac:dyDescent="0.3">
      <c r="A252" s="1" t="s">
        <v>287</v>
      </c>
      <c r="B252" s="1">
        <v>9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 x14ac:dyDescent="0.3">
      <c r="A253" s="1" t="s">
        <v>288</v>
      </c>
      <c r="B253" s="1">
        <v>9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25</v>
      </c>
      <c r="H253" s="1" t="s">
        <v>380</v>
      </c>
      <c r="I253" s="1" t="s">
        <v>34</v>
      </c>
      <c r="J253" s="1" t="s">
        <v>34</v>
      </c>
      <c r="K253" s="1" t="s">
        <v>34</v>
      </c>
      <c r="L253" s="1" t="s">
        <v>384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8" x14ac:dyDescent="0.3">
      <c r="A254" s="1" t="s">
        <v>289</v>
      </c>
      <c r="B254" s="1">
        <v>9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25</v>
      </c>
      <c r="H254" s="1" t="s">
        <v>25</v>
      </c>
      <c r="I254" s="1" t="s">
        <v>380</v>
      </c>
      <c r="J254" s="1" t="s">
        <v>34</v>
      </c>
      <c r="K254" s="1" t="s">
        <v>34</v>
      </c>
      <c r="L254" s="1" t="s">
        <v>34</v>
      </c>
      <c r="M254" s="1" t="s">
        <v>34</v>
      </c>
      <c r="N254" s="1" t="s">
        <v>385</v>
      </c>
      <c r="O254" s="1" t="s">
        <v>448</v>
      </c>
      <c r="P254" s="1" t="s">
        <v>448</v>
      </c>
    </row>
    <row r="255" spans="1:18" x14ac:dyDescent="0.3">
      <c r="A255" s="1" t="s">
        <v>568</v>
      </c>
      <c r="B255" s="1">
        <v>9</v>
      </c>
      <c r="C255" s="1" t="s">
        <v>40</v>
      </c>
      <c r="D255" s="1" t="s">
        <v>880</v>
      </c>
      <c r="E255" s="1" t="s">
        <v>25</v>
      </c>
      <c r="F255" s="1" t="s">
        <v>25</v>
      </c>
      <c r="G255" s="1" t="s">
        <v>880</v>
      </c>
      <c r="H255" s="1" t="s">
        <v>25</v>
      </c>
      <c r="I255" s="1" t="s">
        <v>25</v>
      </c>
      <c r="J255" s="1" t="s">
        <v>881</v>
      </c>
      <c r="K255" s="1" t="s">
        <v>26</v>
      </c>
      <c r="L255" s="1" t="s">
        <v>26</v>
      </c>
    </row>
    <row r="256" spans="1:18" x14ac:dyDescent="0.3">
      <c r="A256" s="1" t="s">
        <v>569</v>
      </c>
      <c r="B256" s="1">
        <v>9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  <c r="M256" s="1" t="s">
        <v>447</v>
      </c>
    </row>
    <row r="257" spans="1:19" x14ac:dyDescent="0.3">
      <c r="A257" s="1" t="s">
        <v>570</v>
      </c>
      <c r="B257" s="1">
        <v>9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19" x14ac:dyDescent="0.3">
      <c r="A258" s="1" t="s">
        <v>571</v>
      </c>
      <c r="B258" s="1">
        <v>9</v>
      </c>
      <c r="C258" s="1" t="s">
        <v>40</v>
      </c>
      <c r="D258" s="1" t="s">
        <v>880</v>
      </c>
      <c r="E258" s="1" t="s">
        <v>25</v>
      </c>
      <c r="F258" s="1" t="s">
        <v>880</v>
      </c>
      <c r="G258" s="1" t="s">
        <v>25</v>
      </c>
      <c r="H258" s="1" t="s">
        <v>621</v>
      </c>
      <c r="I258" s="1" t="s">
        <v>448</v>
      </c>
      <c r="J258" s="1" t="s">
        <v>448</v>
      </c>
    </row>
    <row r="259" spans="1:19" x14ac:dyDescent="0.3">
      <c r="A259" s="1" t="s">
        <v>572</v>
      </c>
      <c r="B259" s="1">
        <v>9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34</v>
      </c>
      <c r="H259" s="1" t="s">
        <v>619</v>
      </c>
      <c r="I259" s="1" t="s">
        <v>34</v>
      </c>
      <c r="J259" s="1" t="s">
        <v>34</v>
      </c>
      <c r="K259" s="1" t="s">
        <v>34</v>
      </c>
      <c r="L259" s="1" t="s">
        <v>881</v>
      </c>
    </row>
    <row r="260" spans="1:19" x14ac:dyDescent="0.3">
      <c r="A260" s="1" t="s">
        <v>573</v>
      </c>
      <c r="B260" s="1">
        <v>9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  <c r="M260" s="1" t="s">
        <v>447</v>
      </c>
      <c r="N260" s="1" t="s">
        <v>447</v>
      </c>
    </row>
    <row r="261" spans="1:19" x14ac:dyDescent="0.3">
      <c r="A261" s="1" t="s">
        <v>574</v>
      </c>
      <c r="B261" s="1">
        <v>9</v>
      </c>
      <c r="C261" s="1" t="s">
        <v>40</v>
      </c>
      <c r="D261" s="1" t="s">
        <v>619</v>
      </c>
      <c r="E261" s="1" t="s">
        <v>619</v>
      </c>
      <c r="F261" s="1" t="s">
        <v>620</v>
      </c>
      <c r="G261" s="1" t="s">
        <v>28</v>
      </c>
      <c r="H261" s="1" t="s">
        <v>28</v>
      </c>
      <c r="I261" s="1" t="s">
        <v>28</v>
      </c>
      <c r="J261" s="1" t="s">
        <v>28</v>
      </c>
      <c r="K261" s="1" t="s">
        <v>28</v>
      </c>
    </row>
    <row r="262" spans="1:19" x14ac:dyDescent="0.3">
      <c r="A262" s="1" t="s">
        <v>575</v>
      </c>
      <c r="B262" s="1">
        <v>9</v>
      </c>
      <c r="C262" s="1" t="s">
        <v>40</v>
      </c>
      <c r="D262" s="1" t="s">
        <v>619</v>
      </c>
      <c r="E262" s="1" t="s">
        <v>619</v>
      </c>
      <c r="F262" s="1" t="s">
        <v>621</v>
      </c>
      <c r="G262" s="1" t="s">
        <v>448</v>
      </c>
      <c r="H262" s="1" t="s">
        <v>448</v>
      </c>
      <c r="I262" s="1" t="s">
        <v>448</v>
      </c>
      <c r="J262" s="1" t="s">
        <v>448</v>
      </c>
    </row>
    <row r="263" spans="1:19" x14ac:dyDescent="0.3">
      <c r="A263" s="1" t="s">
        <v>576</v>
      </c>
      <c r="B263" s="1">
        <v>9</v>
      </c>
      <c r="C263" s="1" t="s">
        <v>40</v>
      </c>
      <c r="D263" s="1" t="s">
        <v>880</v>
      </c>
      <c r="E263" s="1" t="s">
        <v>25</v>
      </c>
      <c r="F263" s="1" t="s">
        <v>25</v>
      </c>
      <c r="G263" s="1" t="s">
        <v>25</v>
      </c>
      <c r="H263" s="1" t="s">
        <v>619</v>
      </c>
      <c r="I263" s="1" t="s">
        <v>34</v>
      </c>
      <c r="J263" s="1" t="s">
        <v>34</v>
      </c>
      <c r="K263" s="1" t="s">
        <v>34</v>
      </c>
      <c r="L263" s="1" t="s">
        <v>881</v>
      </c>
    </row>
    <row r="264" spans="1:19" x14ac:dyDescent="0.3">
      <c r="A264" s="1" t="s">
        <v>577</v>
      </c>
      <c r="B264" s="1">
        <v>9</v>
      </c>
      <c r="C264" s="1" t="s">
        <v>40</v>
      </c>
      <c r="D264" s="1" t="s">
        <v>880</v>
      </c>
      <c r="E264" s="1" t="s">
        <v>25</v>
      </c>
      <c r="F264" s="1" t="s">
        <v>25</v>
      </c>
      <c r="G264" s="1" t="s">
        <v>25</v>
      </c>
      <c r="H264" s="1" t="s">
        <v>619</v>
      </c>
      <c r="I264" s="1" t="s">
        <v>34</v>
      </c>
      <c r="J264" s="1" t="s">
        <v>34</v>
      </c>
      <c r="K264" s="1" t="s">
        <v>34</v>
      </c>
      <c r="L264" s="1" t="s">
        <v>882</v>
      </c>
      <c r="M264" s="1" t="s">
        <v>447</v>
      </c>
      <c r="N264" s="1" t="s">
        <v>447</v>
      </c>
    </row>
    <row r="265" spans="1:19" x14ac:dyDescent="0.3">
      <c r="A265" s="1" t="s">
        <v>578</v>
      </c>
      <c r="B265" s="1">
        <v>9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  <c r="K265" s="1" t="s">
        <v>28</v>
      </c>
    </row>
    <row r="266" spans="1:19" x14ac:dyDescent="0.3">
      <c r="A266" s="1" t="s">
        <v>579</v>
      </c>
      <c r="B266" s="1">
        <v>9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9" x14ac:dyDescent="0.3">
      <c r="A267" s="1" t="s">
        <v>290</v>
      </c>
      <c r="B267" s="1">
        <v>9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381</v>
      </c>
      <c r="H267" s="1" t="s">
        <v>26</v>
      </c>
      <c r="I267" s="1" t="s">
        <v>26</v>
      </c>
      <c r="J267" s="1" t="s">
        <v>26</v>
      </c>
      <c r="K267" s="1" t="s">
        <v>381</v>
      </c>
      <c r="L267" s="1" t="s">
        <v>26</v>
      </c>
      <c r="M267" s="1" t="s">
        <v>26</v>
      </c>
      <c r="N267" s="1" t="s">
        <v>26</v>
      </c>
      <c r="O267" s="1" t="s">
        <v>26</v>
      </c>
      <c r="P267" s="1" t="s">
        <v>26</v>
      </c>
      <c r="Q267" s="1" t="s">
        <v>26</v>
      </c>
      <c r="R267" s="1" t="s">
        <v>26</v>
      </c>
    </row>
    <row r="268" spans="1:19" x14ac:dyDescent="0.3">
      <c r="A268" s="1" t="s">
        <v>291</v>
      </c>
      <c r="B268" s="1">
        <v>9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</row>
    <row r="269" spans="1:19" x14ac:dyDescent="0.3">
      <c r="A269" s="1" t="s">
        <v>292</v>
      </c>
      <c r="B269" s="1">
        <v>9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25</v>
      </c>
      <c r="H269" s="1" t="s">
        <v>25</v>
      </c>
      <c r="I269" s="1" t="s">
        <v>384</v>
      </c>
      <c r="J269" s="1" t="s">
        <v>28</v>
      </c>
      <c r="K269" s="1" t="s">
        <v>28</v>
      </c>
      <c r="L269" s="1" t="s">
        <v>28</v>
      </c>
      <c r="M269" s="1" t="s">
        <v>384</v>
      </c>
      <c r="N269" s="1" t="s">
        <v>28</v>
      </c>
      <c r="O269" s="1" t="s">
        <v>28</v>
      </c>
      <c r="P269" s="1" t="s">
        <v>28</v>
      </c>
    </row>
    <row r="270" spans="1:19" x14ac:dyDescent="0.3">
      <c r="A270" s="1" t="s">
        <v>293</v>
      </c>
      <c r="B270" s="1">
        <v>9</v>
      </c>
      <c r="C270" s="1" t="s">
        <v>40</v>
      </c>
      <c r="D270" s="1" t="s">
        <v>382</v>
      </c>
      <c r="E270" s="1" t="s">
        <v>385</v>
      </c>
      <c r="F270" s="1" t="s">
        <v>448</v>
      </c>
      <c r="G270" s="1" t="s">
        <v>448</v>
      </c>
      <c r="H270" s="1" t="s">
        <v>448</v>
      </c>
      <c r="I270" s="1" t="s">
        <v>385</v>
      </c>
      <c r="J270" s="1" t="s">
        <v>448</v>
      </c>
      <c r="K270" s="1" t="s">
        <v>448</v>
      </c>
      <c r="L270" s="1" t="s">
        <v>448</v>
      </c>
      <c r="M270" s="1" t="s">
        <v>448</v>
      </c>
      <c r="N270" s="1" t="s">
        <v>448</v>
      </c>
    </row>
    <row r="271" spans="1:19" x14ac:dyDescent="0.3">
      <c r="A271" s="1" t="s">
        <v>294</v>
      </c>
      <c r="B271" s="1">
        <v>9</v>
      </c>
      <c r="C271" s="1" t="s">
        <v>40</v>
      </c>
      <c r="D271" s="1" t="s">
        <v>382</v>
      </c>
      <c r="E271" s="1" t="s">
        <v>381</v>
      </c>
      <c r="F271" s="1" t="s">
        <v>26</v>
      </c>
      <c r="G271" s="1" t="s">
        <v>26</v>
      </c>
      <c r="H271" s="1" t="s">
        <v>26</v>
      </c>
      <c r="I271" s="1" t="s">
        <v>383</v>
      </c>
      <c r="J271" s="1" t="s">
        <v>447</v>
      </c>
      <c r="K271" s="1" t="s">
        <v>447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  <c r="Q271" s="1" t="s">
        <v>447</v>
      </c>
      <c r="R271" s="1" t="s">
        <v>447</v>
      </c>
      <c r="S271" s="1" t="s">
        <v>447</v>
      </c>
    </row>
    <row r="272" spans="1:19" x14ac:dyDescent="0.3">
      <c r="A272" s="1" t="s">
        <v>295</v>
      </c>
      <c r="B272" s="1">
        <v>9</v>
      </c>
      <c r="C272" s="1" t="s">
        <v>40</v>
      </c>
      <c r="D272" s="1" t="s">
        <v>382</v>
      </c>
      <c r="E272" s="1" t="s">
        <v>381</v>
      </c>
      <c r="F272" s="1" t="s">
        <v>26</v>
      </c>
      <c r="G272" s="1" t="s">
        <v>26</v>
      </c>
      <c r="H272" s="1" t="s">
        <v>26</v>
      </c>
      <c r="I272" s="1" t="s">
        <v>384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  <c r="P272" s="1" t="s">
        <v>28</v>
      </c>
      <c r="Q272" s="1" t="s">
        <v>28</v>
      </c>
      <c r="R272" s="1" t="s">
        <v>28</v>
      </c>
    </row>
    <row r="273" spans="1:20" x14ac:dyDescent="0.3">
      <c r="A273" s="1" t="s">
        <v>296</v>
      </c>
      <c r="B273" s="1">
        <v>9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20" x14ac:dyDescent="0.3">
      <c r="A274" s="1" t="s">
        <v>297</v>
      </c>
      <c r="B274" s="1">
        <v>9</v>
      </c>
      <c r="C274" s="1" t="s">
        <v>40</v>
      </c>
      <c r="D274" s="1" t="s">
        <v>382</v>
      </c>
      <c r="E274" s="1" t="s">
        <v>25</v>
      </c>
      <c r="F274" s="1" t="s">
        <v>25</v>
      </c>
      <c r="G274" s="1" t="s">
        <v>383</v>
      </c>
      <c r="H274" s="1" t="s">
        <v>447</v>
      </c>
      <c r="I274" s="1" t="s">
        <v>447</v>
      </c>
      <c r="J274" s="1" t="s">
        <v>447</v>
      </c>
      <c r="K274" s="1" t="s">
        <v>385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20" x14ac:dyDescent="0.3">
      <c r="A275" s="1" t="s">
        <v>298</v>
      </c>
      <c r="B275" s="1">
        <v>9</v>
      </c>
      <c r="C275" s="1" t="s">
        <v>40</v>
      </c>
      <c r="D275" s="1" t="s">
        <v>382</v>
      </c>
      <c r="E275" s="1" t="s">
        <v>384</v>
      </c>
      <c r="F275" s="1" t="s">
        <v>28</v>
      </c>
      <c r="G275" s="1" t="s">
        <v>28</v>
      </c>
      <c r="H275" s="1" t="s">
        <v>28</v>
      </c>
      <c r="I275" s="1" t="s">
        <v>385</v>
      </c>
      <c r="J275" s="1" t="s">
        <v>448</v>
      </c>
      <c r="K275" s="1" t="s">
        <v>448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0" x14ac:dyDescent="0.3">
      <c r="A276" s="1" t="s">
        <v>299</v>
      </c>
      <c r="B276" s="1">
        <v>9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</row>
    <row r="277" spans="1:20" x14ac:dyDescent="0.3">
      <c r="A277" s="1" t="s">
        <v>300</v>
      </c>
      <c r="B277" s="1">
        <v>9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20" x14ac:dyDescent="0.3">
      <c r="A278" s="1" t="s">
        <v>301</v>
      </c>
      <c r="B278" s="1">
        <v>9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448</v>
      </c>
      <c r="K278" s="1" t="s">
        <v>385</v>
      </c>
      <c r="L278" s="1" t="s">
        <v>448</v>
      </c>
      <c r="M278" s="1" t="s">
        <v>448</v>
      </c>
      <c r="N278" s="1" t="s">
        <v>448</v>
      </c>
    </row>
    <row r="279" spans="1:20" x14ac:dyDescent="0.3">
      <c r="A279" s="1" t="s">
        <v>302</v>
      </c>
      <c r="B279" s="1">
        <v>9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26</v>
      </c>
      <c r="K279" s="1" t="s">
        <v>383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  <c r="Q279" s="1" t="s">
        <v>447</v>
      </c>
      <c r="R279" s="1" t="s">
        <v>447</v>
      </c>
      <c r="S279" s="1" t="s">
        <v>447</v>
      </c>
    </row>
    <row r="280" spans="1:20" x14ac:dyDescent="0.3">
      <c r="A280" s="1" t="s">
        <v>303</v>
      </c>
      <c r="B280" s="1">
        <v>9</v>
      </c>
      <c r="C280" s="1" t="s">
        <v>40</v>
      </c>
      <c r="D280" s="1" t="s">
        <v>380</v>
      </c>
      <c r="E280" s="1" t="s">
        <v>381</v>
      </c>
      <c r="F280" s="1" t="s">
        <v>26</v>
      </c>
      <c r="G280" s="1" t="s">
        <v>26</v>
      </c>
      <c r="H280" s="1" t="s">
        <v>26</v>
      </c>
      <c r="I280" s="1" t="s">
        <v>384</v>
      </c>
      <c r="J280" s="1" t="s">
        <v>28</v>
      </c>
      <c r="K280" s="1" t="s">
        <v>28</v>
      </c>
      <c r="L280" s="1" t="s">
        <v>28</v>
      </c>
      <c r="M280" s="1" t="s">
        <v>28</v>
      </c>
      <c r="N280" s="1" t="s">
        <v>28</v>
      </c>
      <c r="O280" s="1" t="s">
        <v>28</v>
      </c>
      <c r="P280" s="1" t="s">
        <v>28</v>
      </c>
      <c r="Q280" s="1" t="s">
        <v>28</v>
      </c>
      <c r="R280" s="1" t="s">
        <v>28</v>
      </c>
    </row>
    <row r="281" spans="1:20" x14ac:dyDescent="0.3">
      <c r="A281" s="1" t="s">
        <v>304</v>
      </c>
      <c r="B281" s="1">
        <v>9</v>
      </c>
      <c r="C281" s="1" t="s">
        <v>40</v>
      </c>
      <c r="D281" s="1" t="s">
        <v>380</v>
      </c>
      <c r="E281" s="1" t="s">
        <v>383</v>
      </c>
      <c r="F281" s="1" t="s">
        <v>447</v>
      </c>
      <c r="G281" s="1" t="s">
        <v>447</v>
      </c>
      <c r="H281" s="1" t="s">
        <v>447</v>
      </c>
      <c r="I281" s="1" t="s">
        <v>384</v>
      </c>
      <c r="J281" s="1" t="s">
        <v>28</v>
      </c>
      <c r="K281" s="1" t="s">
        <v>28</v>
      </c>
      <c r="L281" s="1" t="s">
        <v>28</v>
      </c>
      <c r="M281" s="1" t="s">
        <v>28</v>
      </c>
      <c r="N281" s="1" t="s">
        <v>28</v>
      </c>
      <c r="O281" s="1" t="s">
        <v>28</v>
      </c>
      <c r="P281" s="1" t="s">
        <v>28</v>
      </c>
      <c r="Q281" s="1" t="s">
        <v>28</v>
      </c>
      <c r="R281" s="1" t="s">
        <v>28</v>
      </c>
      <c r="S281" s="1" t="s">
        <v>28</v>
      </c>
    </row>
    <row r="282" spans="1:20" x14ac:dyDescent="0.3">
      <c r="A282" s="1" t="s">
        <v>305</v>
      </c>
      <c r="B282" s="1">
        <v>9</v>
      </c>
      <c r="C282" s="1" t="s">
        <v>40</v>
      </c>
      <c r="D282" s="1" t="s">
        <v>380</v>
      </c>
      <c r="E282" s="1" t="s">
        <v>34</v>
      </c>
      <c r="F282" s="1" t="s">
        <v>34</v>
      </c>
      <c r="G282" s="1" t="s">
        <v>383</v>
      </c>
      <c r="H282" s="1" t="s">
        <v>447</v>
      </c>
      <c r="I282" s="1" t="s">
        <v>447</v>
      </c>
      <c r="J282" s="1" t="s">
        <v>447</v>
      </c>
      <c r="K282" s="1" t="s">
        <v>385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20" x14ac:dyDescent="0.3">
      <c r="A283" s="1" t="s">
        <v>306</v>
      </c>
      <c r="B283" s="1">
        <v>9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</row>
    <row r="284" spans="1:20" x14ac:dyDescent="0.3">
      <c r="A284" s="1" t="s">
        <v>580</v>
      </c>
      <c r="B284" s="1">
        <v>9</v>
      </c>
      <c r="C284" s="1" t="s">
        <v>40</v>
      </c>
      <c r="D284" s="1" t="s">
        <v>880</v>
      </c>
      <c r="E284" s="1" t="s">
        <v>25</v>
      </c>
      <c r="F284" s="1" t="s">
        <v>25</v>
      </c>
      <c r="G284" s="1" t="s">
        <v>881</v>
      </c>
      <c r="H284" s="1" t="s">
        <v>26</v>
      </c>
      <c r="I284" s="1" t="s">
        <v>881</v>
      </c>
      <c r="J284" s="1" t="s">
        <v>26</v>
      </c>
    </row>
    <row r="285" spans="1:20" x14ac:dyDescent="0.3">
      <c r="A285" s="1" t="s">
        <v>581</v>
      </c>
      <c r="B285" s="1">
        <v>9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20" x14ac:dyDescent="0.3">
      <c r="A286" s="1" t="s">
        <v>582</v>
      </c>
      <c r="B286" s="1">
        <v>9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25</v>
      </c>
      <c r="H286" s="1" t="s">
        <v>25</v>
      </c>
      <c r="I286" s="1" t="s">
        <v>620</v>
      </c>
      <c r="J286" s="1" t="s">
        <v>28</v>
      </c>
      <c r="K286" s="1" t="s">
        <v>28</v>
      </c>
      <c r="L286" s="1" t="s">
        <v>620</v>
      </c>
      <c r="M286" s="1" t="s">
        <v>28</v>
      </c>
      <c r="N286" s="1" t="s">
        <v>28</v>
      </c>
    </row>
    <row r="287" spans="1:20" x14ac:dyDescent="0.3">
      <c r="A287" s="1" t="s">
        <v>583</v>
      </c>
      <c r="B287" s="1">
        <v>9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621</v>
      </c>
      <c r="H287" s="1" t="s">
        <v>448</v>
      </c>
      <c r="I287" s="1" t="s">
        <v>448</v>
      </c>
      <c r="J287" s="1" t="s">
        <v>621</v>
      </c>
      <c r="K287" s="1" t="s">
        <v>448</v>
      </c>
      <c r="L287" s="1" t="s">
        <v>448</v>
      </c>
    </row>
    <row r="288" spans="1:20" x14ac:dyDescent="0.3">
      <c r="A288" s="1" t="s">
        <v>584</v>
      </c>
      <c r="B288" s="1">
        <v>9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881</v>
      </c>
      <c r="H288" s="1" t="s">
        <v>26</v>
      </c>
      <c r="I288" s="1" t="s">
        <v>26</v>
      </c>
      <c r="J288" s="1" t="s">
        <v>882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9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25</v>
      </c>
      <c r="H289" s="1" t="s">
        <v>25</v>
      </c>
      <c r="I289" s="1" t="s">
        <v>881</v>
      </c>
      <c r="J289" s="1" t="s">
        <v>26</v>
      </c>
      <c r="K289" s="1" t="s">
        <v>620</v>
      </c>
      <c r="L289" s="1" t="s">
        <v>28</v>
      </c>
    </row>
    <row r="290" spans="1:14" x14ac:dyDescent="0.3">
      <c r="A290" s="1" t="s">
        <v>586</v>
      </c>
      <c r="B290" s="1">
        <v>9</v>
      </c>
      <c r="C290" s="1" t="s">
        <v>40</v>
      </c>
      <c r="D290" s="1" t="s">
        <v>880</v>
      </c>
      <c r="E290" s="1" t="s">
        <v>882</v>
      </c>
      <c r="F290" s="1" t="s">
        <v>447</v>
      </c>
      <c r="G290" s="1" t="s">
        <v>447</v>
      </c>
      <c r="H290" s="1" t="s">
        <v>447</v>
      </c>
      <c r="I290" s="1" t="s">
        <v>620</v>
      </c>
      <c r="J290" s="1" t="s">
        <v>28</v>
      </c>
      <c r="K290" s="1" t="s">
        <v>28</v>
      </c>
      <c r="L290" s="1" t="s">
        <v>28</v>
      </c>
    </row>
    <row r="291" spans="1:14" x14ac:dyDescent="0.3">
      <c r="A291" s="1" t="s">
        <v>587</v>
      </c>
      <c r="B291" s="1">
        <v>9</v>
      </c>
      <c r="C291" s="1" t="s">
        <v>40</v>
      </c>
      <c r="D291" s="1" t="s">
        <v>880</v>
      </c>
      <c r="E291" s="1" t="s">
        <v>25</v>
      </c>
      <c r="F291" s="1" t="s">
        <v>25</v>
      </c>
      <c r="G291" s="1" t="s">
        <v>25</v>
      </c>
      <c r="H291" s="1" t="s">
        <v>25</v>
      </c>
      <c r="I291" s="1" t="s">
        <v>882</v>
      </c>
      <c r="J291" s="1" t="s">
        <v>447</v>
      </c>
      <c r="K291" s="1" t="s">
        <v>447</v>
      </c>
      <c r="L291" s="1" t="s">
        <v>621</v>
      </c>
      <c r="M291" s="1" t="s">
        <v>448</v>
      </c>
      <c r="N291" s="1" t="s">
        <v>448</v>
      </c>
    </row>
    <row r="292" spans="1:14" x14ac:dyDescent="0.3">
      <c r="A292" s="1" t="s">
        <v>588</v>
      </c>
      <c r="B292" s="1">
        <v>9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25</v>
      </c>
      <c r="H292" s="1" t="s">
        <v>25</v>
      </c>
      <c r="I292" s="1" t="s">
        <v>620</v>
      </c>
      <c r="J292" s="1" t="s">
        <v>28</v>
      </c>
      <c r="K292" s="1" t="s">
        <v>28</v>
      </c>
      <c r="L292" s="1" t="s">
        <v>621</v>
      </c>
      <c r="M292" s="1" t="s">
        <v>448</v>
      </c>
      <c r="N292" s="1" t="s">
        <v>448</v>
      </c>
    </row>
    <row r="293" spans="1:14" x14ac:dyDescent="0.3">
      <c r="A293" s="1" t="s">
        <v>589</v>
      </c>
      <c r="B293" s="1">
        <v>9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34</v>
      </c>
      <c r="H293" s="1" t="s">
        <v>34</v>
      </c>
      <c r="I293" s="1" t="s">
        <v>882</v>
      </c>
      <c r="J293" s="1" t="s">
        <v>447</v>
      </c>
      <c r="K293" s="1" t="s">
        <v>447</v>
      </c>
      <c r="L293" s="1" t="s">
        <v>882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9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9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34</v>
      </c>
      <c r="H295" s="1" t="s">
        <v>34</v>
      </c>
      <c r="I295" s="1" t="s">
        <v>621</v>
      </c>
      <c r="J295" s="1" t="s">
        <v>448</v>
      </c>
      <c r="K295" s="1" t="s">
        <v>621</v>
      </c>
      <c r="L295" s="1" t="s">
        <v>448</v>
      </c>
    </row>
    <row r="296" spans="1:14" x14ac:dyDescent="0.3">
      <c r="A296" s="1" t="s">
        <v>592</v>
      </c>
      <c r="B296" s="1">
        <v>9</v>
      </c>
      <c r="C296" s="1" t="s">
        <v>40</v>
      </c>
      <c r="D296" s="1" t="s">
        <v>619</v>
      </c>
      <c r="E296" s="1" t="s">
        <v>881</v>
      </c>
      <c r="F296" s="1" t="s">
        <v>26</v>
      </c>
      <c r="G296" s="1" t="s">
        <v>26</v>
      </c>
      <c r="H296" s="1" t="s">
        <v>26</v>
      </c>
      <c r="I296" s="1" t="s">
        <v>882</v>
      </c>
      <c r="J296" s="1" t="s">
        <v>447</v>
      </c>
      <c r="K296" s="1" t="s">
        <v>447</v>
      </c>
      <c r="L296" s="1" t="s">
        <v>447</v>
      </c>
    </row>
    <row r="297" spans="1:14" x14ac:dyDescent="0.3">
      <c r="A297" s="1" t="s">
        <v>593</v>
      </c>
      <c r="B297" s="1">
        <v>9</v>
      </c>
      <c r="C297" s="1" t="s">
        <v>40</v>
      </c>
      <c r="D297" s="1" t="s">
        <v>619</v>
      </c>
      <c r="E297" s="1" t="s">
        <v>881</v>
      </c>
      <c r="F297" s="1" t="s">
        <v>26</v>
      </c>
      <c r="G297" s="1" t="s">
        <v>26</v>
      </c>
      <c r="H297" s="1" t="s">
        <v>26</v>
      </c>
      <c r="I297" s="1" t="s">
        <v>620</v>
      </c>
      <c r="J297" s="1" t="s">
        <v>28</v>
      </c>
      <c r="K297" s="1" t="s">
        <v>28</v>
      </c>
      <c r="L297" s="1" t="s">
        <v>28</v>
      </c>
    </row>
    <row r="298" spans="1:14" x14ac:dyDescent="0.3">
      <c r="A298" s="1" t="s">
        <v>594</v>
      </c>
      <c r="B298" s="1">
        <v>9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9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4" x14ac:dyDescent="0.3">
      <c r="A300" s="1" t="s">
        <v>596</v>
      </c>
      <c r="B300" s="1">
        <v>9</v>
      </c>
      <c r="C300" s="1" t="s">
        <v>40</v>
      </c>
      <c r="D300" s="1" t="s">
        <v>619</v>
      </c>
      <c r="E300" s="1" t="s">
        <v>34</v>
      </c>
      <c r="F300" s="1" t="s">
        <v>34</v>
      </c>
      <c r="G300" s="1" t="s">
        <v>620</v>
      </c>
      <c r="H300" s="1" t="s">
        <v>28</v>
      </c>
      <c r="I300" s="1" t="s">
        <v>28</v>
      </c>
      <c r="J300" s="1" t="s">
        <v>621</v>
      </c>
      <c r="K300" s="1" t="s">
        <v>448</v>
      </c>
      <c r="L300" s="1" t="s">
        <v>448</v>
      </c>
    </row>
    <row r="301" spans="1:14" x14ac:dyDescent="0.3">
      <c r="A301" s="1" t="s">
        <v>904</v>
      </c>
      <c r="B301" s="1">
        <v>7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7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7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7</v>
      </c>
      <c r="C304" s="1" t="s">
        <v>40</v>
      </c>
      <c r="D304" s="1" t="s">
        <v>34</v>
      </c>
      <c r="E304" s="1" t="s">
        <v>34</v>
      </c>
      <c r="F304" s="1" t="s">
        <v>34</v>
      </c>
      <c r="G304" s="1" t="s">
        <v>34</v>
      </c>
      <c r="H304" s="1" t="s">
        <v>448</v>
      </c>
      <c r="I304" s="1" t="s">
        <v>448</v>
      </c>
      <c r="J304" s="1" t="s">
        <v>448</v>
      </c>
    </row>
    <row r="305" spans="1:9" x14ac:dyDescent="0.3">
      <c r="A305" s="1" t="s">
        <v>916</v>
      </c>
      <c r="B305" s="1">
        <v>7</v>
      </c>
      <c r="C305" s="1" t="s">
        <v>40</v>
      </c>
      <c r="D305" s="1" t="s">
        <v>25</v>
      </c>
      <c r="E305" s="1" t="s">
        <v>34</v>
      </c>
      <c r="F305" s="1" t="s">
        <v>448</v>
      </c>
      <c r="G305" s="1" t="s">
        <v>448</v>
      </c>
      <c r="H305" s="1" t="s">
        <v>448</v>
      </c>
      <c r="I305" s="1" t="s">
        <v>448</v>
      </c>
    </row>
    <row r="306" spans="1:9" x14ac:dyDescent="0.3">
      <c r="A306" s="1" t="s">
        <v>917</v>
      </c>
      <c r="B306" s="1">
        <v>7</v>
      </c>
      <c r="C306" s="1" t="s">
        <v>40</v>
      </c>
      <c r="D306" s="1" t="s">
        <v>34</v>
      </c>
      <c r="E306" s="1" t="s">
        <v>26</v>
      </c>
      <c r="F306" s="1" t="s">
        <v>448</v>
      </c>
      <c r="G306" s="1" t="s">
        <v>448</v>
      </c>
      <c r="H306" s="1" t="s">
        <v>448</v>
      </c>
      <c r="I306" s="1" t="s">
        <v>448</v>
      </c>
    </row>
    <row r="307" spans="1:9" x14ac:dyDescent="0.3">
      <c r="A307" s="1" t="s">
        <v>918</v>
      </c>
      <c r="B307" s="1">
        <v>7</v>
      </c>
      <c r="C307" s="1" t="s">
        <v>40</v>
      </c>
      <c r="D307" s="1" t="s">
        <v>34</v>
      </c>
      <c r="E307" s="1" t="s">
        <v>447</v>
      </c>
      <c r="F307" s="1" t="s">
        <v>447</v>
      </c>
      <c r="G307" s="1" t="s">
        <v>448</v>
      </c>
      <c r="H307" s="1" t="s">
        <v>448</v>
      </c>
      <c r="I307" s="1" t="s">
        <v>448</v>
      </c>
    </row>
    <row r="308" spans="1:9" x14ac:dyDescent="0.3">
      <c r="A308" s="1" t="s">
        <v>919</v>
      </c>
      <c r="B308" s="1">
        <v>7</v>
      </c>
      <c r="C308" s="1" t="s">
        <v>40</v>
      </c>
      <c r="D308" s="1" t="s">
        <v>34</v>
      </c>
      <c r="E308" s="1" t="s">
        <v>28</v>
      </c>
      <c r="F308" s="1" t="s">
        <v>448</v>
      </c>
      <c r="G308" s="1" t="s">
        <v>448</v>
      </c>
      <c r="H308" s="1" t="s">
        <v>448</v>
      </c>
      <c r="I308" s="1" t="s">
        <v>448</v>
      </c>
    </row>
    <row r="309" spans="1:9" x14ac:dyDescent="0.3">
      <c r="A309" s="1" t="s">
        <v>920</v>
      </c>
      <c r="B309" s="1">
        <v>7</v>
      </c>
      <c r="C309" s="1" t="s">
        <v>40</v>
      </c>
      <c r="D309" s="1" t="s">
        <v>25</v>
      </c>
      <c r="E309" s="1" t="s">
        <v>26</v>
      </c>
      <c r="F309" s="1" t="s">
        <v>448</v>
      </c>
      <c r="G309" s="1" t="s">
        <v>448</v>
      </c>
      <c r="H309" s="1" t="s">
        <v>448</v>
      </c>
      <c r="I309" s="1" t="s">
        <v>448</v>
      </c>
    </row>
    <row r="310" spans="1:9" x14ac:dyDescent="0.3">
      <c r="A310" s="1" t="s">
        <v>921</v>
      </c>
      <c r="B310" s="1">
        <v>7</v>
      </c>
      <c r="C310" s="1" t="s">
        <v>40</v>
      </c>
      <c r="D310" s="1" t="s">
        <v>25</v>
      </c>
      <c r="E310" s="1" t="s">
        <v>447</v>
      </c>
      <c r="F310" s="1" t="s">
        <v>448</v>
      </c>
      <c r="G310" s="1" t="s">
        <v>448</v>
      </c>
      <c r="H310" s="1" t="s">
        <v>448</v>
      </c>
      <c r="I310" s="1" t="s">
        <v>448</v>
      </c>
    </row>
    <row r="311" spans="1:9" x14ac:dyDescent="0.3">
      <c r="A311" s="1" t="s">
        <v>922</v>
      </c>
      <c r="B311" s="1">
        <v>7</v>
      </c>
      <c r="C311" s="1" t="s">
        <v>40</v>
      </c>
      <c r="D311" s="1" t="s">
        <v>25</v>
      </c>
      <c r="E311" s="1" t="s">
        <v>28</v>
      </c>
      <c r="F311" s="1" t="s">
        <v>448</v>
      </c>
      <c r="G311" s="1" t="s">
        <v>448</v>
      </c>
      <c r="H311" s="1" t="s">
        <v>448</v>
      </c>
      <c r="I311" s="1" t="s">
        <v>448</v>
      </c>
    </row>
    <row r="312" spans="1:9" x14ac:dyDescent="0.3">
      <c r="A312" s="1" t="s">
        <v>923</v>
      </c>
      <c r="B312" s="1">
        <v>7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9" x14ac:dyDescent="0.3">
      <c r="A313" s="1" t="s">
        <v>924</v>
      </c>
      <c r="B313" s="1">
        <v>7</v>
      </c>
      <c r="C313" s="1" t="s">
        <v>40</v>
      </c>
      <c r="D313" s="1" t="s">
        <v>382</v>
      </c>
      <c r="E313" s="1" t="s">
        <v>448</v>
      </c>
      <c r="F313" s="1" t="s">
        <v>448</v>
      </c>
    </row>
    <row r="314" spans="1:9" x14ac:dyDescent="0.3">
      <c r="A314" s="1" t="s">
        <v>925</v>
      </c>
      <c r="B314" s="1">
        <v>7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9" x14ac:dyDescent="0.3">
      <c r="A315" s="1" t="s">
        <v>926</v>
      </c>
      <c r="B315" s="1">
        <v>7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9" x14ac:dyDescent="0.3">
      <c r="A316" s="1" t="s">
        <v>927</v>
      </c>
      <c r="B316" s="1">
        <v>7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9" x14ac:dyDescent="0.3">
      <c r="A317" s="1" t="s">
        <v>928</v>
      </c>
      <c r="B317" s="1">
        <v>7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</row>
    <row r="318" spans="1:9" x14ac:dyDescent="0.3">
      <c r="A318" s="1" t="s">
        <v>929</v>
      </c>
      <c r="B318" s="1">
        <v>7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9" x14ac:dyDescent="0.3">
      <c r="A319" s="1" t="s">
        <v>930</v>
      </c>
      <c r="B319" s="1">
        <v>7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</row>
    <row r="320" spans="1:9" x14ac:dyDescent="0.3">
      <c r="A320" s="1" t="s">
        <v>931</v>
      </c>
      <c r="B320" s="1">
        <v>7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</row>
    <row r="321" spans="1:12" x14ac:dyDescent="0.3">
      <c r="A321" s="1" t="s">
        <v>932</v>
      </c>
      <c r="B321" s="1">
        <v>7</v>
      </c>
      <c r="C321" s="1" t="s">
        <v>40</v>
      </c>
      <c r="D321" s="1" t="s">
        <v>382</v>
      </c>
      <c r="E321" s="1" t="s">
        <v>448</v>
      </c>
      <c r="F321" s="1" t="s">
        <v>448</v>
      </c>
      <c r="G321" s="1" t="s">
        <v>448</v>
      </c>
      <c r="H321" s="1" t="s">
        <v>448</v>
      </c>
      <c r="I321" s="1" t="s">
        <v>448</v>
      </c>
    </row>
    <row r="322" spans="1:12" x14ac:dyDescent="0.3">
      <c r="A322" s="1" t="s">
        <v>933</v>
      </c>
      <c r="B322" s="1">
        <v>7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7</v>
      </c>
      <c r="C323" s="1" t="s">
        <v>40</v>
      </c>
      <c r="D323" s="1" t="s">
        <v>880</v>
      </c>
      <c r="E323" s="1" t="s">
        <v>448</v>
      </c>
      <c r="F323" s="1" t="s">
        <v>448</v>
      </c>
      <c r="G323" s="1" t="s">
        <v>448</v>
      </c>
    </row>
    <row r="324" spans="1:12" x14ac:dyDescent="0.3">
      <c r="A324" s="1" t="s">
        <v>935</v>
      </c>
      <c r="B324" s="1">
        <v>7</v>
      </c>
      <c r="C324" s="1" t="s">
        <v>40</v>
      </c>
      <c r="D324" s="1" t="s">
        <v>619</v>
      </c>
      <c r="E324" s="1" t="s">
        <v>448</v>
      </c>
      <c r="F324" s="1" t="s">
        <v>448</v>
      </c>
      <c r="G324" s="1" t="s">
        <v>448</v>
      </c>
    </row>
    <row r="325" spans="1:12" x14ac:dyDescent="0.3">
      <c r="A325" s="1" t="s">
        <v>936</v>
      </c>
      <c r="B325" s="1">
        <v>7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7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7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7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7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34</v>
      </c>
      <c r="H329" s="1" t="s">
        <v>34</v>
      </c>
      <c r="I329" s="1" t="s">
        <v>34</v>
      </c>
      <c r="J329" s="1" t="s">
        <v>34</v>
      </c>
    </row>
    <row r="330" spans="1:12" x14ac:dyDescent="0.3">
      <c r="A330" s="1" t="s">
        <v>941</v>
      </c>
      <c r="B330" s="1">
        <v>7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448</v>
      </c>
      <c r="H330" s="1" t="s">
        <v>448</v>
      </c>
      <c r="I330" s="1" t="s">
        <v>49</v>
      </c>
      <c r="J330" s="1" t="s">
        <v>49</v>
      </c>
      <c r="K330" s="1" t="s">
        <v>49</v>
      </c>
      <c r="L330" s="1" t="s">
        <v>49</v>
      </c>
    </row>
    <row r="331" spans="1:12" x14ac:dyDescent="0.3">
      <c r="A331" s="1" t="s">
        <v>942</v>
      </c>
      <c r="B331" s="1">
        <v>7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7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7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49</v>
      </c>
      <c r="H333" s="1" t="s">
        <v>49</v>
      </c>
      <c r="I333" s="1" t="s">
        <v>49</v>
      </c>
      <c r="J333" s="1" t="s">
        <v>49</v>
      </c>
    </row>
    <row r="334" spans="1:12" x14ac:dyDescent="0.3">
      <c r="A334" s="1" t="s">
        <v>945</v>
      </c>
      <c r="B334" s="1">
        <v>7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7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7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7" x14ac:dyDescent="0.3">
      <c r="A337" s="1" t="s">
        <v>1184</v>
      </c>
      <c r="B337" s="1">
        <v>7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7" x14ac:dyDescent="0.3">
      <c r="A338" s="1" t="s">
        <v>1185</v>
      </c>
      <c r="B338" s="1">
        <v>7</v>
      </c>
      <c r="C338" s="1" t="s">
        <v>40</v>
      </c>
      <c r="D338" s="1" t="s">
        <v>1186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7" x14ac:dyDescent="0.3">
      <c r="A339" s="1" t="s">
        <v>1187</v>
      </c>
      <c r="B339" s="1">
        <v>7</v>
      </c>
      <c r="C339" s="1" t="s">
        <v>40</v>
      </c>
      <c r="D339" s="1" t="s">
        <v>1188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</row>
    <row r="340" spans="1:17" x14ac:dyDescent="0.3">
      <c r="A340" s="1" t="s">
        <v>1240</v>
      </c>
      <c r="B340" s="1">
        <v>7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7" x14ac:dyDescent="0.3">
      <c r="A341" s="1" t="s">
        <v>1241</v>
      </c>
      <c r="B341" s="1">
        <v>7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7" x14ac:dyDescent="0.3">
      <c r="A342" s="1" t="s">
        <v>1242</v>
      </c>
      <c r="B342" s="1">
        <v>7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7" x14ac:dyDescent="0.3">
      <c r="A343" s="1" t="s">
        <v>1243</v>
      </c>
      <c r="B343" s="1">
        <v>7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7" x14ac:dyDescent="0.3">
      <c r="A344" s="1" t="s">
        <v>1247</v>
      </c>
      <c r="B344" s="1">
        <v>7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7" x14ac:dyDescent="0.3">
      <c r="A345" s="1" t="s">
        <v>1248</v>
      </c>
      <c r="B345" s="1">
        <v>7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7" x14ac:dyDescent="0.3">
      <c r="A346" s="1" t="s">
        <v>1249</v>
      </c>
      <c r="B346" s="1">
        <v>7</v>
      </c>
      <c r="C346" s="1" t="s">
        <v>1246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7" x14ac:dyDescent="0.3">
      <c r="A347" s="1" t="s">
        <v>1250</v>
      </c>
      <c r="B347" s="1">
        <v>7</v>
      </c>
      <c r="C347" s="1" t="s">
        <v>1246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</row>
    <row r="348" spans="1:17" x14ac:dyDescent="0.3">
      <c r="A348" s="1" t="s">
        <v>1254</v>
      </c>
      <c r="B348" s="1">
        <v>7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32</v>
      </c>
      <c r="N348" s="1" t="s">
        <v>30</v>
      </c>
      <c r="O348" s="1" t="s">
        <v>30</v>
      </c>
      <c r="P348" s="1" t="s">
        <v>30</v>
      </c>
      <c r="Q348" s="1" t="s">
        <v>30</v>
      </c>
    </row>
    <row r="349" spans="1:17" x14ac:dyDescent="0.3">
      <c r="A349" s="1" t="s">
        <v>1270</v>
      </c>
      <c r="B349" s="1">
        <v>7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7" x14ac:dyDescent="0.3">
      <c r="A350" s="1" t="s">
        <v>1271</v>
      </c>
      <c r="B350" s="1">
        <v>7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  <c r="N350" s="1" t="s">
        <v>450</v>
      </c>
      <c r="O350" s="1" t="s">
        <v>450</v>
      </c>
    </row>
    <row r="351" spans="1:17" x14ac:dyDescent="0.3">
      <c r="A351" s="1" t="s">
        <v>1272</v>
      </c>
      <c r="B351" s="1">
        <v>7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7" x14ac:dyDescent="0.3">
      <c r="A352" s="1" t="s">
        <v>1275</v>
      </c>
      <c r="B352" s="1">
        <v>7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1276</v>
      </c>
      <c r="B353" s="1">
        <v>7</v>
      </c>
      <c r="C353" s="1" t="s">
        <v>1246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1345</v>
      </c>
      <c r="B354" s="1">
        <v>7</v>
      </c>
      <c r="C354" s="1" t="s">
        <v>40</v>
      </c>
      <c r="D354" s="1" t="s">
        <v>1186</v>
      </c>
      <c r="E354" s="1" t="s">
        <v>617</v>
      </c>
      <c r="F354" s="1" t="s">
        <v>32</v>
      </c>
      <c r="G354" s="1" t="s">
        <v>32</v>
      </c>
      <c r="H354" s="1" t="s">
        <v>32</v>
      </c>
      <c r="I354" s="1" t="s">
        <v>617</v>
      </c>
      <c r="J354" s="1" t="s">
        <v>32</v>
      </c>
      <c r="K354" s="1" t="s">
        <v>32</v>
      </c>
      <c r="L354" s="1" t="s">
        <v>32</v>
      </c>
      <c r="M354" s="1" t="s">
        <v>32</v>
      </c>
      <c r="N354" s="1" t="s">
        <v>32</v>
      </c>
      <c r="O354" s="1" t="s">
        <v>32</v>
      </c>
      <c r="P354" s="1" t="s">
        <v>32</v>
      </c>
    </row>
    <row r="355" spans="1:16" x14ac:dyDescent="0.3">
      <c r="A355" s="1" t="s">
        <v>1410</v>
      </c>
      <c r="B355" s="1">
        <v>7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1420</v>
      </c>
      <c r="B356" s="1">
        <v>7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1421</v>
      </c>
      <c r="B357" s="1">
        <v>7</v>
      </c>
      <c r="C357" s="1" t="s">
        <v>40</v>
      </c>
      <c r="D357" s="1" t="s">
        <v>1186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1422</v>
      </c>
      <c r="B358" s="1">
        <v>7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  <row r="359" spans="1:16" x14ac:dyDescent="0.3">
      <c r="A359" s="1" t="s">
        <v>1672</v>
      </c>
      <c r="B359" s="1">
        <v>0</v>
      </c>
      <c r="C359" s="1" t="s">
        <v>40</v>
      </c>
      <c r="D359" s="1" t="s">
        <v>454</v>
      </c>
      <c r="E359" s="1" t="s">
        <v>307</v>
      </c>
      <c r="F359" s="1" t="s">
        <v>307</v>
      </c>
      <c r="G359" s="1" t="s">
        <v>307</v>
      </c>
      <c r="H359" s="1" t="s">
        <v>307</v>
      </c>
      <c r="I359" s="1" t="s">
        <v>30</v>
      </c>
    </row>
    <row r="360" spans="1:16" x14ac:dyDescent="0.3">
      <c r="A360" s="1" t="s">
        <v>1673</v>
      </c>
      <c r="B360" s="1">
        <v>0</v>
      </c>
      <c r="C360" s="1" t="s">
        <v>40</v>
      </c>
      <c r="D360" s="1" t="s">
        <v>455</v>
      </c>
      <c r="E360" s="1" t="s">
        <v>450</v>
      </c>
      <c r="F360" s="1" t="s">
        <v>450</v>
      </c>
      <c r="G360" s="1" t="s">
        <v>379</v>
      </c>
      <c r="H360" s="1" t="s">
        <v>32</v>
      </c>
      <c r="I360" s="1" t="s">
        <v>32</v>
      </c>
    </row>
    <row r="361" spans="1:16" x14ac:dyDescent="0.3">
      <c r="A361" s="1" t="s">
        <v>1674</v>
      </c>
      <c r="B361" s="1">
        <v>0</v>
      </c>
      <c r="C361" s="1" t="s">
        <v>40</v>
      </c>
      <c r="D361" s="1" t="s">
        <v>454</v>
      </c>
      <c r="E361" s="1" t="s">
        <v>307</v>
      </c>
      <c r="F361" s="1" t="s">
        <v>307</v>
      </c>
      <c r="G361" s="1" t="s">
        <v>307</v>
      </c>
      <c r="H361" s="1" t="s">
        <v>307</v>
      </c>
      <c r="I361" s="1" t="s">
        <v>307</v>
      </c>
      <c r="J361" s="1" t="s">
        <v>307</v>
      </c>
      <c r="K361" s="1" t="s">
        <v>307</v>
      </c>
      <c r="L361" s="1" t="s">
        <v>307</v>
      </c>
      <c r="M361" s="1" t="s">
        <v>30</v>
      </c>
      <c r="N361" s="1" t="s">
        <v>30</v>
      </c>
      <c r="O361" s="1" t="s">
        <v>30</v>
      </c>
      <c r="P361" s="1" t="s">
        <v>30</v>
      </c>
    </row>
    <row r="362" spans="1:16" x14ac:dyDescent="0.3">
      <c r="A362" s="1" t="s">
        <v>1675</v>
      </c>
      <c r="B362" s="1">
        <v>0</v>
      </c>
      <c r="C362" s="1" t="s">
        <v>40</v>
      </c>
      <c r="D362" s="1" t="s">
        <v>455</v>
      </c>
      <c r="E362" s="1" t="s">
        <v>379</v>
      </c>
      <c r="F362" s="1" t="s">
        <v>379</v>
      </c>
      <c r="G362" s="1" t="s">
        <v>32</v>
      </c>
      <c r="H362" s="1" t="s">
        <v>32</v>
      </c>
      <c r="I362" s="1" t="s">
        <v>32</v>
      </c>
      <c r="J362" s="1" t="s">
        <v>32</v>
      </c>
      <c r="K362" s="1" t="s">
        <v>32</v>
      </c>
      <c r="L362" s="1" t="s">
        <v>32</v>
      </c>
    </row>
    <row r="363" spans="1:16" x14ac:dyDescent="0.3">
      <c r="A363" s="1" t="s">
        <v>1676</v>
      </c>
      <c r="B363" s="1">
        <v>0</v>
      </c>
      <c r="C363" s="1" t="s">
        <v>40</v>
      </c>
      <c r="D363" s="1" t="s">
        <v>1186</v>
      </c>
      <c r="E363" s="1" t="s">
        <v>617</v>
      </c>
      <c r="F363" s="1" t="s">
        <v>32</v>
      </c>
      <c r="G363" s="1" t="s">
        <v>32</v>
      </c>
      <c r="H363" s="1" t="s">
        <v>32</v>
      </c>
      <c r="I363" s="1" t="s">
        <v>1677</v>
      </c>
      <c r="J363" s="1" t="s">
        <v>452</v>
      </c>
      <c r="K363" s="1" t="s">
        <v>452</v>
      </c>
      <c r="L363" s="1" t="s">
        <v>452</v>
      </c>
    </row>
    <row r="364" spans="1:16" x14ac:dyDescent="0.3">
      <c r="A364" s="1" t="s">
        <v>1678</v>
      </c>
      <c r="B364" s="1">
        <v>0</v>
      </c>
      <c r="C364" s="1" t="s">
        <v>40</v>
      </c>
      <c r="D364" s="1" t="s">
        <v>382</v>
      </c>
      <c r="E364" s="1" t="s">
        <v>25</v>
      </c>
      <c r="F364" s="1" t="s">
        <v>382</v>
      </c>
      <c r="G364" s="1" t="s">
        <v>25</v>
      </c>
      <c r="H364" s="1" t="s">
        <v>381</v>
      </c>
    </row>
    <row r="365" spans="1:16" x14ac:dyDescent="0.3">
      <c r="A365" s="1" t="s">
        <v>1679</v>
      </c>
      <c r="B365" s="1">
        <v>0</v>
      </c>
      <c r="C365" s="1" t="s">
        <v>40</v>
      </c>
      <c r="D365" s="1" t="s">
        <v>382</v>
      </c>
      <c r="E365" s="1" t="s">
        <v>25</v>
      </c>
      <c r="F365" s="1" t="s">
        <v>382</v>
      </c>
      <c r="G365" s="1" t="s">
        <v>25</v>
      </c>
      <c r="H365" s="1" t="s">
        <v>383</v>
      </c>
      <c r="I365" s="1" t="s">
        <v>447</v>
      </c>
      <c r="J365" s="1" t="s">
        <v>447</v>
      </c>
    </row>
    <row r="366" spans="1:16" x14ac:dyDescent="0.3">
      <c r="A366" s="1" t="s">
        <v>1680</v>
      </c>
      <c r="B366" s="1">
        <v>0</v>
      </c>
      <c r="C366" s="1" t="s">
        <v>40</v>
      </c>
      <c r="D366" s="1" t="s">
        <v>382</v>
      </c>
      <c r="E366" s="1" t="s">
        <v>382</v>
      </c>
      <c r="F366" s="1" t="s">
        <v>384</v>
      </c>
      <c r="G366" s="1" t="s">
        <v>28</v>
      </c>
      <c r="H366" s="1" t="s">
        <v>28</v>
      </c>
      <c r="I366" s="1" t="s">
        <v>28</v>
      </c>
      <c r="J366" s="1" t="s">
        <v>28</v>
      </c>
    </row>
    <row r="367" spans="1:16" x14ac:dyDescent="0.3">
      <c r="A367" s="1" t="s">
        <v>1681</v>
      </c>
      <c r="B367" s="1">
        <v>0</v>
      </c>
      <c r="C367" s="1" t="s">
        <v>40</v>
      </c>
      <c r="D367" s="1" t="s">
        <v>382</v>
      </c>
      <c r="E367" s="1" t="s">
        <v>25</v>
      </c>
      <c r="F367" s="1" t="s">
        <v>382</v>
      </c>
      <c r="G367" s="1" t="s">
        <v>25</v>
      </c>
      <c r="H367" s="1" t="s">
        <v>385</v>
      </c>
      <c r="I367" s="1" t="s">
        <v>448</v>
      </c>
      <c r="J367" s="1" t="s">
        <v>448</v>
      </c>
    </row>
    <row r="368" spans="1:16" x14ac:dyDescent="0.3">
      <c r="A368" s="1" t="s">
        <v>1682</v>
      </c>
      <c r="B368" s="1">
        <v>0</v>
      </c>
      <c r="C368" s="1" t="s">
        <v>40</v>
      </c>
      <c r="D368" s="1" t="s">
        <v>380</v>
      </c>
      <c r="E368" s="1" t="s">
        <v>380</v>
      </c>
      <c r="F368" s="1" t="s">
        <v>381</v>
      </c>
      <c r="G368" s="1" t="s">
        <v>26</v>
      </c>
      <c r="H368" s="1" t="s">
        <v>26</v>
      </c>
    </row>
    <row r="369" spans="1:10" x14ac:dyDescent="0.3">
      <c r="A369" s="1" t="s">
        <v>1683</v>
      </c>
      <c r="B369" s="1">
        <v>0</v>
      </c>
      <c r="C369" s="1" t="s">
        <v>40</v>
      </c>
      <c r="D369" s="1" t="s">
        <v>380</v>
      </c>
      <c r="E369" s="1" t="s">
        <v>380</v>
      </c>
      <c r="F369" s="1" t="s">
        <v>383</v>
      </c>
      <c r="G369" s="1" t="s">
        <v>447</v>
      </c>
      <c r="H369" s="1" t="s">
        <v>447</v>
      </c>
    </row>
    <row r="370" spans="1:10" x14ac:dyDescent="0.3">
      <c r="A370" s="1" t="s">
        <v>1684</v>
      </c>
      <c r="B370" s="1">
        <v>0</v>
      </c>
      <c r="C370" s="1" t="s">
        <v>40</v>
      </c>
      <c r="D370" s="1" t="s">
        <v>380</v>
      </c>
      <c r="E370" s="1" t="s">
        <v>380</v>
      </c>
      <c r="F370" s="1" t="s">
        <v>384</v>
      </c>
      <c r="G370" s="1" t="s">
        <v>28</v>
      </c>
      <c r="H370" s="1" t="s">
        <v>28</v>
      </c>
    </row>
    <row r="371" spans="1:10" x14ac:dyDescent="0.3">
      <c r="A371" s="1" t="s">
        <v>1685</v>
      </c>
      <c r="B371" s="1">
        <v>0</v>
      </c>
      <c r="C371" s="1" t="s">
        <v>40</v>
      </c>
      <c r="D371" s="1" t="s">
        <v>380</v>
      </c>
      <c r="E371" s="1" t="s">
        <v>34</v>
      </c>
      <c r="F371" s="1" t="s">
        <v>380</v>
      </c>
      <c r="G371" s="1" t="s">
        <v>34</v>
      </c>
      <c r="H371" s="1" t="s">
        <v>385</v>
      </c>
    </row>
    <row r="372" spans="1:10" x14ac:dyDescent="0.3">
      <c r="A372" s="1" t="s">
        <v>1686</v>
      </c>
      <c r="B372" s="1">
        <v>0</v>
      </c>
      <c r="C372" s="1" t="s">
        <v>40</v>
      </c>
      <c r="D372" s="1" t="s">
        <v>382</v>
      </c>
      <c r="E372" s="1" t="s">
        <v>25</v>
      </c>
      <c r="F372" s="1" t="s">
        <v>380</v>
      </c>
      <c r="G372" s="1" t="s">
        <v>34</v>
      </c>
      <c r="H372" s="1" t="s">
        <v>381</v>
      </c>
    </row>
    <row r="373" spans="1:10" x14ac:dyDescent="0.3">
      <c r="A373" s="1" t="s">
        <v>1687</v>
      </c>
      <c r="B373" s="1">
        <v>0</v>
      </c>
      <c r="C373" s="1" t="s">
        <v>40</v>
      </c>
      <c r="D373" s="1" t="s">
        <v>382</v>
      </c>
      <c r="E373" s="1" t="s">
        <v>380</v>
      </c>
      <c r="F373" s="1" t="s">
        <v>383</v>
      </c>
      <c r="G373" s="1" t="s">
        <v>447</v>
      </c>
      <c r="H373" s="1" t="s">
        <v>447</v>
      </c>
    </row>
    <row r="374" spans="1:10" x14ac:dyDescent="0.3">
      <c r="A374" s="1" t="s">
        <v>1688</v>
      </c>
      <c r="B374" s="1">
        <v>0</v>
      </c>
      <c r="C374" s="1" t="s">
        <v>40</v>
      </c>
      <c r="D374" s="1" t="s">
        <v>382</v>
      </c>
      <c r="E374" s="1" t="s">
        <v>380</v>
      </c>
      <c r="F374" s="1" t="s">
        <v>384</v>
      </c>
      <c r="G374" s="1" t="s">
        <v>28</v>
      </c>
      <c r="H374" s="1" t="s">
        <v>28</v>
      </c>
      <c r="I374" s="1" t="s">
        <v>28</v>
      </c>
      <c r="J374" s="1" t="s">
        <v>28</v>
      </c>
    </row>
    <row r="375" spans="1:10" x14ac:dyDescent="0.3">
      <c r="A375" s="1" t="s">
        <v>1689</v>
      </c>
      <c r="B375" s="1">
        <v>0</v>
      </c>
      <c r="C375" s="1" t="s">
        <v>40</v>
      </c>
      <c r="D375" s="1" t="s">
        <v>382</v>
      </c>
      <c r="E375" s="1" t="s">
        <v>25</v>
      </c>
      <c r="F375" s="1" t="s">
        <v>25</v>
      </c>
      <c r="G375" s="1" t="s">
        <v>380</v>
      </c>
      <c r="H375" s="1" t="s">
        <v>34</v>
      </c>
      <c r="I375" s="1" t="s">
        <v>34</v>
      </c>
      <c r="J375" s="1" t="s">
        <v>385</v>
      </c>
    </row>
    <row r="376" spans="1:10" x14ac:dyDescent="0.3">
      <c r="A376" s="1" t="s">
        <v>1690</v>
      </c>
      <c r="B376" s="1">
        <v>0</v>
      </c>
      <c r="C376" s="1" t="s">
        <v>40</v>
      </c>
      <c r="D376" s="1" t="s">
        <v>382</v>
      </c>
      <c r="E376" s="1" t="s">
        <v>381</v>
      </c>
      <c r="F376" s="1" t="s">
        <v>26</v>
      </c>
      <c r="G376" s="1" t="s">
        <v>26</v>
      </c>
      <c r="H376" s="1" t="s">
        <v>381</v>
      </c>
      <c r="I376" s="1" t="s">
        <v>26</v>
      </c>
      <c r="J376" s="1" t="s">
        <v>26</v>
      </c>
    </row>
    <row r="377" spans="1:10" x14ac:dyDescent="0.3">
      <c r="A377" s="1" t="s">
        <v>1691</v>
      </c>
      <c r="B377" s="1">
        <v>0</v>
      </c>
      <c r="C377" s="1" t="s">
        <v>40</v>
      </c>
      <c r="D377" s="1" t="s">
        <v>382</v>
      </c>
      <c r="E377" s="1" t="s">
        <v>25</v>
      </c>
      <c r="F377" s="1" t="s">
        <v>25</v>
      </c>
      <c r="G377" s="1" t="s">
        <v>383</v>
      </c>
      <c r="H377" s="1" t="s">
        <v>383</v>
      </c>
    </row>
    <row r="378" spans="1:10" x14ac:dyDescent="0.3">
      <c r="A378" s="1" t="s">
        <v>1692</v>
      </c>
      <c r="B378" s="1">
        <v>0</v>
      </c>
      <c r="C378" s="1" t="s">
        <v>40</v>
      </c>
      <c r="D378" s="1" t="s">
        <v>382</v>
      </c>
      <c r="E378" s="1" t="s">
        <v>384</v>
      </c>
      <c r="F378" s="1" t="s">
        <v>384</v>
      </c>
      <c r="G378" s="1" t="s">
        <v>28</v>
      </c>
      <c r="H378" s="1" t="s">
        <v>28</v>
      </c>
      <c r="I378" s="1" t="s">
        <v>28</v>
      </c>
      <c r="J378" s="1" t="s">
        <v>28</v>
      </c>
    </row>
    <row r="379" spans="1:10" x14ac:dyDescent="0.3">
      <c r="A379" s="1" t="s">
        <v>1693</v>
      </c>
      <c r="B379" s="1">
        <v>0</v>
      </c>
      <c r="C379" s="1" t="s">
        <v>40</v>
      </c>
      <c r="D379" s="1" t="s">
        <v>382</v>
      </c>
      <c r="E379" s="1" t="s">
        <v>25</v>
      </c>
      <c r="F379" s="1" t="s">
        <v>25</v>
      </c>
      <c r="G379" s="1" t="s">
        <v>25</v>
      </c>
      <c r="H379" s="1" t="s">
        <v>25</v>
      </c>
      <c r="I379" s="1" t="s">
        <v>385</v>
      </c>
      <c r="J379" s="1" t="s">
        <v>385</v>
      </c>
    </row>
    <row r="380" spans="1:10" x14ac:dyDescent="0.3">
      <c r="A380" s="1" t="s">
        <v>1694</v>
      </c>
      <c r="B380" s="1">
        <v>0</v>
      </c>
      <c r="C380" s="1" t="s">
        <v>40</v>
      </c>
      <c r="D380" s="1" t="s">
        <v>382</v>
      </c>
      <c r="E380" s="1" t="s">
        <v>25</v>
      </c>
      <c r="F380" s="1" t="s">
        <v>25</v>
      </c>
      <c r="G380" s="1" t="s">
        <v>381</v>
      </c>
      <c r="H380" s="1" t="s">
        <v>383</v>
      </c>
    </row>
    <row r="381" spans="1:10" x14ac:dyDescent="0.3">
      <c r="A381" s="1" t="s">
        <v>1695</v>
      </c>
      <c r="B381" s="1">
        <v>0</v>
      </c>
      <c r="C381" s="1" t="s">
        <v>40</v>
      </c>
      <c r="D381" s="1" t="s">
        <v>382</v>
      </c>
      <c r="E381" s="1" t="s">
        <v>381</v>
      </c>
      <c r="F381" s="1" t="s">
        <v>26</v>
      </c>
      <c r="G381" s="1" t="s">
        <v>26</v>
      </c>
      <c r="H381" s="1" t="s">
        <v>384</v>
      </c>
      <c r="I381" s="1" t="s">
        <v>28</v>
      </c>
      <c r="J381" s="1" t="s">
        <v>28</v>
      </c>
    </row>
    <row r="382" spans="1:10" x14ac:dyDescent="0.3">
      <c r="A382" s="1" t="s">
        <v>1696</v>
      </c>
      <c r="B382" s="1">
        <v>0</v>
      </c>
      <c r="C382" s="1" t="s">
        <v>40</v>
      </c>
      <c r="D382" s="1" t="s">
        <v>382</v>
      </c>
      <c r="E382" s="1" t="s">
        <v>383</v>
      </c>
      <c r="F382" s="1" t="s">
        <v>447</v>
      </c>
      <c r="G382" s="1" t="s">
        <v>384</v>
      </c>
      <c r="H382" s="1" t="s">
        <v>28</v>
      </c>
    </row>
    <row r="383" spans="1:10" x14ac:dyDescent="0.3">
      <c r="A383" s="1" t="s">
        <v>1697</v>
      </c>
      <c r="B383" s="1">
        <v>0</v>
      </c>
      <c r="C383" s="1" t="s">
        <v>40</v>
      </c>
      <c r="D383" s="1" t="s">
        <v>382</v>
      </c>
      <c r="E383" s="1" t="s">
        <v>25</v>
      </c>
      <c r="F383" s="1" t="s">
        <v>25</v>
      </c>
      <c r="G383" s="1" t="s">
        <v>383</v>
      </c>
      <c r="H383" s="1" t="s">
        <v>385</v>
      </c>
    </row>
    <row r="384" spans="1:10" x14ac:dyDescent="0.3">
      <c r="A384" s="1" t="s">
        <v>1698</v>
      </c>
      <c r="B384" s="1">
        <v>0</v>
      </c>
      <c r="C384" s="1" t="s">
        <v>40</v>
      </c>
      <c r="D384" s="1" t="s">
        <v>382</v>
      </c>
      <c r="E384" s="1" t="s">
        <v>25</v>
      </c>
      <c r="F384" s="1" t="s">
        <v>25</v>
      </c>
      <c r="G384" s="1" t="s">
        <v>384</v>
      </c>
      <c r="H384" s="1" t="s">
        <v>385</v>
      </c>
    </row>
    <row r="385" spans="1:14" x14ac:dyDescent="0.3">
      <c r="A385" s="1" t="s">
        <v>1699</v>
      </c>
      <c r="B385" s="1">
        <v>0</v>
      </c>
      <c r="C385" s="1" t="s">
        <v>40</v>
      </c>
      <c r="D385" s="1" t="s">
        <v>380</v>
      </c>
      <c r="E385" s="1" t="s">
        <v>381</v>
      </c>
      <c r="F385" s="1" t="s">
        <v>26</v>
      </c>
      <c r="G385" s="1" t="s">
        <v>381</v>
      </c>
      <c r="H385" s="1" t="s">
        <v>26</v>
      </c>
    </row>
    <row r="386" spans="1:14" x14ac:dyDescent="0.3">
      <c r="A386" s="1" t="s">
        <v>1700</v>
      </c>
      <c r="B386" s="1">
        <v>0</v>
      </c>
      <c r="C386" s="1" t="s">
        <v>40</v>
      </c>
      <c r="D386" s="1" t="s">
        <v>380</v>
      </c>
      <c r="E386" s="1" t="s">
        <v>34</v>
      </c>
      <c r="F386" s="1" t="s">
        <v>34</v>
      </c>
      <c r="G386" s="1" t="s">
        <v>383</v>
      </c>
      <c r="H386" s="1" t="s">
        <v>383</v>
      </c>
    </row>
    <row r="387" spans="1:14" x14ac:dyDescent="0.3">
      <c r="A387" s="1" t="s">
        <v>1701</v>
      </c>
      <c r="B387" s="1">
        <v>0</v>
      </c>
      <c r="C387" s="1" t="s">
        <v>40</v>
      </c>
      <c r="D387" s="1" t="s">
        <v>380</v>
      </c>
      <c r="E387" s="1" t="s">
        <v>384</v>
      </c>
      <c r="F387" s="1" t="s">
        <v>384</v>
      </c>
      <c r="G387" s="1" t="s">
        <v>28</v>
      </c>
      <c r="H387" s="1" t="s">
        <v>28</v>
      </c>
      <c r="I387" s="1" t="s">
        <v>28</v>
      </c>
      <c r="J387" s="1" t="s">
        <v>28</v>
      </c>
    </row>
    <row r="388" spans="1:14" x14ac:dyDescent="0.3">
      <c r="A388" s="1" t="s">
        <v>1702</v>
      </c>
      <c r="B388" s="1">
        <v>0</v>
      </c>
      <c r="C388" s="1" t="s">
        <v>40</v>
      </c>
      <c r="D388" s="1" t="s">
        <v>380</v>
      </c>
      <c r="E388" s="1" t="s">
        <v>385</v>
      </c>
      <c r="F388" s="1" t="s">
        <v>448</v>
      </c>
      <c r="G388" s="1" t="s">
        <v>448</v>
      </c>
      <c r="H388" s="1" t="s">
        <v>385</v>
      </c>
    </row>
    <row r="389" spans="1:14" x14ac:dyDescent="0.3">
      <c r="A389" s="1" t="s">
        <v>1703</v>
      </c>
      <c r="B389" s="1">
        <v>0</v>
      </c>
      <c r="C389" s="1" t="s">
        <v>40</v>
      </c>
      <c r="D389" s="1" t="s">
        <v>380</v>
      </c>
      <c r="E389" s="1" t="s">
        <v>381</v>
      </c>
      <c r="F389" s="1" t="s">
        <v>26</v>
      </c>
      <c r="G389" s="1" t="s">
        <v>383</v>
      </c>
      <c r="H389" s="1" t="s">
        <v>447</v>
      </c>
    </row>
    <row r="390" spans="1:14" x14ac:dyDescent="0.3">
      <c r="A390" s="1" t="s">
        <v>1704</v>
      </c>
      <c r="B390" s="1">
        <v>0</v>
      </c>
      <c r="C390" s="1" t="s">
        <v>40</v>
      </c>
      <c r="D390" s="1" t="s">
        <v>380</v>
      </c>
      <c r="E390" s="1" t="s">
        <v>381</v>
      </c>
      <c r="F390" s="1" t="s">
        <v>26</v>
      </c>
      <c r="G390" s="1" t="s">
        <v>384</v>
      </c>
      <c r="H390" s="1" t="s">
        <v>28</v>
      </c>
    </row>
    <row r="391" spans="1:14" x14ac:dyDescent="0.3">
      <c r="A391" s="1" t="s">
        <v>1705</v>
      </c>
      <c r="B391" s="1">
        <v>0</v>
      </c>
      <c r="C391" s="1" t="s">
        <v>40</v>
      </c>
      <c r="D391" s="1" t="s">
        <v>380</v>
      </c>
      <c r="E391" s="1" t="s">
        <v>34</v>
      </c>
      <c r="F391" s="1" t="s">
        <v>34</v>
      </c>
      <c r="G391" s="1" t="s">
        <v>383</v>
      </c>
      <c r="H391" s="1" t="s">
        <v>384</v>
      </c>
    </row>
    <row r="392" spans="1:14" x14ac:dyDescent="0.3">
      <c r="A392" s="1" t="s">
        <v>1706</v>
      </c>
      <c r="B392" s="1">
        <v>0</v>
      </c>
      <c r="C392" s="1" t="s">
        <v>40</v>
      </c>
      <c r="D392" s="1" t="s">
        <v>380</v>
      </c>
      <c r="E392" s="1" t="s">
        <v>34</v>
      </c>
      <c r="F392" s="1" t="s">
        <v>34</v>
      </c>
      <c r="G392" s="1" t="s">
        <v>383</v>
      </c>
      <c r="H392" s="1" t="s">
        <v>385</v>
      </c>
    </row>
    <row r="393" spans="1:14" x14ac:dyDescent="0.3">
      <c r="A393" s="1" t="s">
        <v>1707</v>
      </c>
      <c r="B393" s="1">
        <v>0</v>
      </c>
      <c r="C393" s="1" t="s">
        <v>40</v>
      </c>
      <c r="D393" s="1" t="s">
        <v>380</v>
      </c>
      <c r="E393" s="1" t="s">
        <v>384</v>
      </c>
      <c r="F393" s="1" t="s">
        <v>28</v>
      </c>
      <c r="G393" s="1" t="s">
        <v>385</v>
      </c>
      <c r="H393" s="1" t="s">
        <v>448</v>
      </c>
    </row>
    <row r="394" spans="1:14" x14ac:dyDescent="0.3">
      <c r="A394" s="1" t="s">
        <v>1708</v>
      </c>
      <c r="B394" s="1">
        <v>0</v>
      </c>
      <c r="C394" s="1" t="s">
        <v>40</v>
      </c>
      <c r="D394" s="1" t="s">
        <v>380</v>
      </c>
      <c r="E394" s="1" t="s">
        <v>381</v>
      </c>
      <c r="F394" s="1" t="s">
        <v>26</v>
      </c>
      <c r="G394" s="1" t="s">
        <v>26</v>
      </c>
      <c r="H394" s="1" t="s">
        <v>26</v>
      </c>
      <c r="I394" s="1" t="s">
        <v>381</v>
      </c>
      <c r="J394" s="1" t="s">
        <v>26</v>
      </c>
      <c r="K394" s="1" t="s">
        <v>26</v>
      </c>
      <c r="L394" s="1" t="s">
        <v>26</v>
      </c>
      <c r="M394" s="1" t="s">
        <v>26</v>
      </c>
      <c r="N394" s="1" t="s">
        <v>26</v>
      </c>
    </row>
    <row r="395" spans="1:14" x14ac:dyDescent="0.3">
      <c r="A395" s="1" t="s">
        <v>1709</v>
      </c>
      <c r="B395" s="1">
        <v>0</v>
      </c>
      <c r="C395" s="1" t="s">
        <v>40</v>
      </c>
      <c r="D395" s="1" t="s">
        <v>619</v>
      </c>
      <c r="E395" s="1" t="s">
        <v>881</v>
      </c>
      <c r="F395" s="1" t="s">
        <v>26</v>
      </c>
      <c r="G395" s="1" t="s">
        <v>26</v>
      </c>
      <c r="H395" s="1" t="s">
        <v>881</v>
      </c>
      <c r="I395" s="1" t="s">
        <v>26</v>
      </c>
      <c r="J395" s="1" t="s">
        <v>26</v>
      </c>
    </row>
    <row r="396" spans="1:14" x14ac:dyDescent="0.3">
      <c r="A396" s="1" t="s">
        <v>1710</v>
      </c>
      <c r="B396" s="1">
        <v>0</v>
      </c>
      <c r="C396" s="1" t="s">
        <v>40</v>
      </c>
      <c r="D396" s="1" t="s">
        <v>619</v>
      </c>
      <c r="E396" s="1" t="s">
        <v>881</v>
      </c>
      <c r="F396" s="1" t="s">
        <v>26</v>
      </c>
      <c r="G396" s="1" t="s">
        <v>621</v>
      </c>
      <c r="H396" s="1" t="s">
        <v>448</v>
      </c>
    </row>
    <row r="397" spans="1:14" x14ac:dyDescent="0.3">
      <c r="A397" s="1" t="s">
        <v>1716</v>
      </c>
      <c r="B397" s="1">
        <v>0</v>
      </c>
      <c r="C397" s="1" t="s">
        <v>40</v>
      </c>
      <c r="D397" s="1" t="s">
        <v>1186</v>
      </c>
      <c r="E397" s="1" t="s">
        <v>32</v>
      </c>
      <c r="F397" s="1" t="s">
        <v>32</v>
      </c>
      <c r="G397" s="1" t="s">
        <v>32</v>
      </c>
    </row>
    <row r="398" spans="1:14" x14ac:dyDescent="0.3">
      <c r="A398" s="1" t="s">
        <v>1717</v>
      </c>
      <c r="B398" s="1">
        <v>0</v>
      </c>
      <c r="C398" s="1" t="s">
        <v>40</v>
      </c>
      <c r="D398" s="1" t="s">
        <v>379</v>
      </c>
      <c r="E398" s="1" t="s">
        <v>32</v>
      </c>
      <c r="F398" s="1" t="s">
        <v>32</v>
      </c>
      <c r="G398" s="1" t="s">
        <v>30</v>
      </c>
      <c r="H398" s="1" t="s">
        <v>30</v>
      </c>
      <c r="I398" s="1" t="s">
        <v>30</v>
      </c>
    </row>
    <row r="399" spans="1:14" x14ac:dyDescent="0.3">
      <c r="A399" s="1" t="s">
        <v>1725</v>
      </c>
      <c r="B399" s="1">
        <v>0</v>
      </c>
      <c r="C399" s="1" t="s">
        <v>40</v>
      </c>
      <c r="D399" s="1" t="s">
        <v>382</v>
      </c>
      <c r="E399" s="1" t="s">
        <v>381</v>
      </c>
      <c r="F399" s="1" t="s">
        <v>26</v>
      </c>
      <c r="G399" s="1" t="s">
        <v>26</v>
      </c>
      <c r="H399" s="1" t="s">
        <v>26</v>
      </c>
      <c r="I399" s="1" t="s">
        <v>385</v>
      </c>
      <c r="J399" s="1" t="s">
        <v>448</v>
      </c>
      <c r="K399" s="1" t="s">
        <v>448</v>
      </c>
      <c r="L399" s="1" t="s">
        <v>448</v>
      </c>
    </row>
    <row r="400" spans="1:14" x14ac:dyDescent="0.3">
      <c r="A400" s="1" t="s">
        <v>1726</v>
      </c>
      <c r="B400" s="1">
        <v>0</v>
      </c>
      <c r="C400" s="1" t="s">
        <v>40</v>
      </c>
      <c r="D400" s="1" t="s">
        <v>380</v>
      </c>
      <c r="E400" s="1" t="s">
        <v>34</v>
      </c>
      <c r="F400" s="1" t="s">
        <v>34</v>
      </c>
      <c r="G400" s="1" t="s">
        <v>381</v>
      </c>
      <c r="H400" s="1" t="s">
        <v>26</v>
      </c>
      <c r="I400" s="1" t="s">
        <v>26</v>
      </c>
      <c r="J400" s="1" t="s">
        <v>385</v>
      </c>
      <c r="K400" s="1" t="s">
        <v>448</v>
      </c>
      <c r="L400" s="1" t="s">
        <v>448</v>
      </c>
    </row>
    <row r="401" spans="1:17" x14ac:dyDescent="0.3">
      <c r="A401" s="1" t="s">
        <v>1727</v>
      </c>
      <c r="B401" s="1">
        <v>0</v>
      </c>
      <c r="C401" s="1" t="s">
        <v>40</v>
      </c>
      <c r="D401" s="1" t="s">
        <v>880</v>
      </c>
      <c r="E401" s="1" t="s">
        <v>25</v>
      </c>
      <c r="F401" s="1" t="s">
        <v>25</v>
      </c>
      <c r="G401" s="1" t="s">
        <v>25</v>
      </c>
      <c r="H401" s="1" t="s">
        <v>25</v>
      </c>
      <c r="I401" s="1" t="s">
        <v>881</v>
      </c>
      <c r="J401" s="1" t="s">
        <v>621</v>
      </c>
    </row>
    <row r="402" spans="1:17" x14ac:dyDescent="0.3">
      <c r="A402" s="1" t="s">
        <v>1728</v>
      </c>
      <c r="B402" s="1">
        <v>9</v>
      </c>
      <c r="C402" s="1" t="s">
        <v>40</v>
      </c>
      <c r="D402" s="1" t="s">
        <v>382</v>
      </c>
      <c r="E402" s="1" t="s">
        <v>381</v>
      </c>
      <c r="F402" s="1" t="s">
        <v>26</v>
      </c>
      <c r="G402" s="1" t="s">
        <v>26</v>
      </c>
      <c r="H402" s="1" t="s">
        <v>26</v>
      </c>
      <c r="I402" s="1" t="s">
        <v>385</v>
      </c>
      <c r="J402" s="1" t="s">
        <v>448</v>
      </c>
      <c r="K402" s="1" t="s">
        <v>448</v>
      </c>
      <c r="L402" s="1" t="s">
        <v>448</v>
      </c>
      <c r="M402" s="1" t="s">
        <v>448</v>
      </c>
      <c r="N402" s="1" t="s">
        <v>448</v>
      </c>
      <c r="O402" s="1" t="s">
        <v>448</v>
      </c>
    </row>
    <row r="403" spans="1:17" x14ac:dyDescent="0.3">
      <c r="A403" s="1" t="s">
        <v>1729</v>
      </c>
      <c r="B403" s="1">
        <v>9</v>
      </c>
      <c r="C403" s="1" t="s">
        <v>40</v>
      </c>
      <c r="D403" s="1" t="s">
        <v>380</v>
      </c>
      <c r="E403" s="1" t="s">
        <v>381</v>
      </c>
      <c r="F403" s="1" t="s">
        <v>26</v>
      </c>
      <c r="G403" s="1" t="s">
        <v>26</v>
      </c>
      <c r="H403" s="1" t="s">
        <v>26</v>
      </c>
      <c r="I403" s="1" t="s">
        <v>381</v>
      </c>
      <c r="J403" s="1" t="s">
        <v>26</v>
      </c>
      <c r="K403" s="1" t="s">
        <v>26</v>
      </c>
      <c r="L403" s="1" t="s">
        <v>26</v>
      </c>
      <c r="M403" s="1" t="s">
        <v>26</v>
      </c>
      <c r="N403" s="1" t="s">
        <v>26</v>
      </c>
      <c r="O403" s="1" t="s">
        <v>26</v>
      </c>
      <c r="P403" s="1" t="s">
        <v>26</v>
      </c>
      <c r="Q403" s="1" t="s">
        <v>26</v>
      </c>
    </row>
    <row r="404" spans="1:17" x14ac:dyDescent="0.3">
      <c r="A404" s="1" t="s">
        <v>1730</v>
      </c>
      <c r="B404" s="1">
        <v>9</v>
      </c>
      <c r="C404" s="1" t="s">
        <v>40</v>
      </c>
      <c r="D404" s="1" t="s">
        <v>380</v>
      </c>
      <c r="E404" s="1" t="s">
        <v>381</v>
      </c>
      <c r="F404" s="1" t="s">
        <v>26</v>
      </c>
      <c r="G404" s="1" t="s">
        <v>26</v>
      </c>
      <c r="H404" s="1" t="s">
        <v>26</v>
      </c>
      <c r="I404" s="1" t="s">
        <v>385</v>
      </c>
      <c r="J404" s="1" t="s">
        <v>448</v>
      </c>
      <c r="K404" s="1" t="s">
        <v>448</v>
      </c>
      <c r="L404" s="1" t="s">
        <v>448</v>
      </c>
      <c r="M404" s="1" t="s">
        <v>448</v>
      </c>
      <c r="N404" s="1" t="s">
        <v>448</v>
      </c>
    </row>
    <row r="405" spans="1:17" x14ac:dyDescent="0.3">
      <c r="A405" s="1" t="s">
        <v>1731</v>
      </c>
      <c r="B405" s="1">
        <v>9</v>
      </c>
      <c r="C405" s="1" t="s">
        <v>40</v>
      </c>
      <c r="D405" s="1" t="s">
        <v>880</v>
      </c>
      <c r="E405" s="1" t="s">
        <v>25</v>
      </c>
      <c r="F405" s="1" t="s">
        <v>25</v>
      </c>
      <c r="G405" s="1" t="s">
        <v>25</v>
      </c>
      <c r="H405" s="1" t="s">
        <v>25</v>
      </c>
      <c r="I405" s="1" t="s">
        <v>881</v>
      </c>
      <c r="J405" s="1" t="s">
        <v>26</v>
      </c>
      <c r="K405" s="1" t="s">
        <v>621</v>
      </c>
      <c r="L405" s="1" t="s">
        <v>448</v>
      </c>
    </row>
    <row r="406" spans="1:17" x14ac:dyDescent="0.3">
      <c r="A406" s="1" t="s">
        <v>1732</v>
      </c>
      <c r="B406" s="1">
        <v>9</v>
      </c>
      <c r="C406" s="1" t="s">
        <v>40</v>
      </c>
      <c r="D406" s="1" t="s">
        <v>619</v>
      </c>
      <c r="E406" s="1" t="s">
        <v>34</v>
      </c>
      <c r="F406" s="1" t="s">
        <v>34</v>
      </c>
      <c r="G406" s="1" t="s">
        <v>34</v>
      </c>
      <c r="H406" s="1" t="s">
        <v>34</v>
      </c>
      <c r="I406" s="1" t="s">
        <v>881</v>
      </c>
      <c r="J406" s="1" t="s">
        <v>881</v>
      </c>
    </row>
    <row r="407" spans="1:17" x14ac:dyDescent="0.3">
      <c r="A407" s="1" t="s">
        <v>1733</v>
      </c>
      <c r="B407" s="1">
        <v>9</v>
      </c>
      <c r="C407" s="1" t="s">
        <v>40</v>
      </c>
      <c r="D407" s="1" t="s">
        <v>619</v>
      </c>
      <c r="E407" s="1" t="s">
        <v>34</v>
      </c>
      <c r="F407" s="1" t="s">
        <v>34</v>
      </c>
      <c r="G407" s="1" t="s">
        <v>881</v>
      </c>
      <c r="H407" s="1" t="s">
        <v>26</v>
      </c>
      <c r="I407" s="1" t="s">
        <v>621</v>
      </c>
      <c r="J407" s="1" t="s">
        <v>448</v>
      </c>
    </row>
  </sheetData>
  <phoneticPr fontId="38" type="noConversion"/>
  <conditionalFormatting sqref="A1:A1048576">
    <cfRule type="duplicateValues" dxfId="4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pane ySplit="2" topLeftCell="A3" activePane="bottomLeft" state="frozen"/>
      <selection pane="bottomLeft" activeCell="I4" sqref="I4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1251</v>
      </c>
      <c r="J2" s="32" t="s">
        <v>1252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57" t="s">
        <v>1724</v>
      </c>
      <c r="J3" s="7" t="str">
        <f>VLOOKUP(表13[name],tbUnitNameToType[],3,FALSE)</f>
        <v>刺英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1253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1165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1274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I7" s="49" t="s">
        <v>1557</v>
      </c>
      <c r="J7" s="49" t="str">
        <f>VLOOKUP(表13[name],tbUnitNameToType[],3,FALSE)</f>
        <v>强英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  <c r="I8" s="49" t="s">
        <v>1533</v>
      </c>
      <c r="J8" s="49" t="str">
        <f>VLOOKUP(表13[name],tbUnitNameToType[],3,FALSE)</f>
        <v>强英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I9" s="49" t="s">
        <v>334</v>
      </c>
      <c r="J9" s="49" t="str">
        <f>VLOOKUP(表13[name],tbUnitNameToType[],3,FALSE)</f>
        <v>法英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  <c r="I10" s="49" t="s">
        <v>1536</v>
      </c>
      <c r="J10" s="49" t="str">
        <f>VLOOKUP(表13[name],tbUnitNameToType[],3,FALSE)</f>
        <v>炼英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  <c r="I11" s="49" t="s">
        <v>1456</v>
      </c>
      <c r="J11" s="49" t="str">
        <f>VLOOKUP(表13[name],tbUnitNameToType[],3,FALSE)</f>
        <v>强英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  <c r="I12" s="51" t="s">
        <v>1485</v>
      </c>
      <c r="J12" s="52" t="str">
        <f>VLOOKUP(表13[name],tbUnitNameToType[],3,FALSE)</f>
        <v>盾英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  <c r="I13" s="49" t="s">
        <v>405</v>
      </c>
      <c r="J13" s="49" t="str">
        <f>VLOOKUP(表13[name],tbUnitNameToType[],3,FALSE)</f>
        <v>盾英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  <c r="I14" s="49" t="s">
        <v>1638</v>
      </c>
      <c r="J14" s="48" t="str">
        <f>VLOOKUP(表13[name],tbUnitNameToType[],3,FALSE)</f>
        <v>炼英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  <c r="I15" s="49" t="s">
        <v>1639</v>
      </c>
      <c r="J15" s="49" t="str">
        <f>VLOOKUP(表13[name],tbUnitNameToType[],3,FALSE)</f>
        <v>盾英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  <c r="I16" s="55" t="s">
        <v>1668</v>
      </c>
      <c r="J16" s="55" t="str">
        <f>VLOOKUP(表13[name],tbUnitNameToType[],3,FALSE)</f>
        <v>强英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  <c r="I17" s="55" t="s">
        <v>432</v>
      </c>
      <c r="J17" s="55" t="str">
        <f>VLOOKUP(表13[name],tbUnitNameToType[],3,FALSE)</f>
        <v>刺英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  <c r="I18" s="55" t="s">
        <v>1468</v>
      </c>
      <c r="J18" s="55" t="str">
        <f>VLOOKUP(表13[name],tbUnitNameToType[],3,FALSE)</f>
        <v>法英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  <c r="I19" s="55" t="s">
        <v>1431</v>
      </c>
      <c r="J19" s="55" t="str">
        <f>VLOOKUP(表13[name],tbUnitNameToType[],3,FALSE)</f>
        <v>盾英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46" t="s">
        <v>1586</v>
      </c>
      <c r="D66" s="6" t="str">
        <f>INDEX(tbUnitTypeToIndex[Index],MATCH(tbUnitNameToType[[#This Row],[Type]],tbUnitTypeToIndex[Type],))</f>
        <v>铁英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49" t="s">
        <v>1643</v>
      </c>
      <c r="C109" s="49" t="s">
        <v>1644</v>
      </c>
      <c r="D109" s="50" t="str">
        <f>INDEX(tbUnitTypeToIndex[Index],MATCH(tbUnitNameToType[[#This Row],[Type]],tbUnitTypeToIndex[Type],))</f>
        <v>炼英</v>
      </c>
    </row>
    <row r="110" spans="2:4" x14ac:dyDescent="0.3">
      <c r="B110" s="6" t="s">
        <v>372</v>
      </c>
      <c r="C110" s="6" t="s">
        <v>383</v>
      </c>
      <c r="D110" s="6" t="str">
        <f>INDEX(tbUnitTypeToIndex[Index],MATCH(tbUnitNameToType[[#This Row],[Type]],tbUnitTypeToIndex[Type],))</f>
        <v>炼英</v>
      </c>
    </row>
    <row r="111" spans="2:4" x14ac:dyDescent="0.3">
      <c r="B111" s="6" t="s">
        <v>373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439</v>
      </c>
      <c r="C112" s="6" t="s">
        <v>385</v>
      </c>
      <c r="D112" s="6" t="str">
        <f>INDEX(tbUnitTypeToIndex[Index],MATCH(tbUnitNameToType[[#This Row],[Type]],tbUnitTypeToIndex[Type],))</f>
        <v>刺英</v>
      </c>
    </row>
    <row r="113" spans="2:4" x14ac:dyDescent="0.3">
      <c r="B113" s="6" t="s">
        <v>374</v>
      </c>
      <c r="C113" s="6" t="s">
        <v>384</v>
      </c>
      <c r="D113" s="6" t="str">
        <f>INDEX(tbUnitTypeToIndex[Index],MATCH(tbUnitNameToType[[#This Row],[Type]],tbUnitTypeToIndex[Type],))</f>
        <v>法英</v>
      </c>
    </row>
    <row r="114" spans="2:4" x14ac:dyDescent="0.3">
      <c r="B114" s="6" t="s">
        <v>375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376</v>
      </c>
      <c r="C115" s="6" t="s">
        <v>382</v>
      </c>
      <c r="D115" s="6" t="str">
        <f>INDEX(tbUnitTypeToIndex[Index],MATCH(tbUnitNameToType[[#This Row],[Type]],tbUnitTypeToIndex[Type],))</f>
        <v>铁英</v>
      </c>
    </row>
    <row r="116" spans="2:4" x14ac:dyDescent="0.3">
      <c r="B116" s="6" t="s">
        <v>377</v>
      </c>
      <c r="C116" s="6" t="s">
        <v>383</v>
      </c>
      <c r="D116" s="6" t="str">
        <f>INDEX(tbUnitTypeToIndex[Index],MATCH(tbUnitNameToType[[#This Row],[Type]],tbUnitTypeToIndex[Type],))</f>
        <v>炼英</v>
      </c>
    </row>
    <row r="117" spans="2:4" x14ac:dyDescent="0.3">
      <c r="B117" s="6" t="s">
        <v>388</v>
      </c>
      <c r="C117" s="6" t="s">
        <v>381</v>
      </c>
      <c r="D117" s="6" t="str">
        <f>INDEX(tbUnitTypeToIndex[Index],MATCH(tbUnitNameToType[[#This Row],[Type]],tbUnitTypeToIndex[Type],))</f>
        <v>强英</v>
      </c>
    </row>
    <row r="118" spans="2:4" x14ac:dyDescent="0.3">
      <c r="B118" s="6" t="s">
        <v>389</v>
      </c>
      <c r="C118" s="6" t="s">
        <v>380</v>
      </c>
      <c r="D118" s="6" t="str">
        <f>INDEX(tbUnitTypeToIndex[Index],MATCH(tbUnitNameToType[[#This Row],[Type]],tbUnitTypeToIndex[Type],))</f>
        <v>盾英</v>
      </c>
    </row>
    <row r="119" spans="2:4" x14ac:dyDescent="0.3">
      <c r="B119" s="6" t="s">
        <v>390</v>
      </c>
      <c r="C119" s="6" t="s">
        <v>381</v>
      </c>
      <c r="D119" s="6" t="str">
        <f>INDEX(tbUnitTypeToIndex[Index],MATCH(tbUnitNameToType[[#This Row],[Type]],tbUnitTypeToIndex[Type],))</f>
        <v>强英</v>
      </c>
    </row>
    <row r="120" spans="2:4" x14ac:dyDescent="0.3">
      <c r="B120" s="6" t="s">
        <v>391</v>
      </c>
      <c r="C120" s="6" t="s">
        <v>385</v>
      </c>
      <c r="D120" s="6" t="str">
        <f>INDEX(tbUnitTypeToIndex[Index],MATCH(tbUnitNameToType[[#This Row],[Type]],tbUnitTypeToIndex[Type],))</f>
        <v>刺英</v>
      </c>
    </row>
    <row r="121" spans="2:4" x14ac:dyDescent="0.3">
      <c r="B121" s="6" t="s">
        <v>392</v>
      </c>
      <c r="C121" s="6" t="s">
        <v>381</v>
      </c>
      <c r="D121" s="6" t="str">
        <f>INDEX(tbUnitTypeToIndex[Index],MATCH(tbUnitNameToType[[#This Row],[Type]],tbUnitTypeToIndex[Type],))</f>
        <v>强英</v>
      </c>
    </row>
    <row r="122" spans="2:4" x14ac:dyDescent="0.3">
      <c r="B122" s="6" t="s">
        <v>393</v>
      </c>
      <c r="C122" s="6" t="s">
        <v>385</v>
      </c>
      <c r="D122" s="6" t="str">
        <f>INDEX(tbUnitTypeToIndex[Index],MATCH(tbUnitNameToType[[#This Row],[Type]],tbUnitTypeToIndex[Type],))</f>
        <v>刺英</v>
      </c>
    </row>
    <row r="123" spans="2:4" x14ac:dyDescent="0.3">
      <c r="B123" s="6" t="s">
        <v>24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394</v>
      </c>
      <c r="C124" s="6" t="s">
        <v>382</v>
      </c>
      <c r="D124" s="6" t="str">
        <f>INDEX(tbUnitTypeToIndex[Index],MATCH(tbUnitNameToType[[#This Row],[Type]],tbUnitTypeToIndex[Type],))</f>
        <v>铁英</v>
      </c>
    </row>
    <row r="125" spans="2:4" x14ac:dyDescent="0.3">
      <c r="B125" s="6" t="s">
        <v>27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395</v>
      </c>
      <c r="C126" s="6" t="s">
        <v>384</v>
      </c>
      <c r="D126" s="6" t="str">
        <f>INDEX(tbUnitTypeToIndex[Index],MATCH(tbUnitNameToType[[#This Row],[Type]],tbUnitTypeToIndex[Type],))</f>
        <v>法英</v>
      </c>
    </row>
    <row r="127" spans="2:4" x14ac:dyDescent="0.3">
      <c r="B127" s="6" t="s">
        <v>396</v>
      </c>
      <c r="C127" s="6" t="s">
        <v>382</v>
      </c>
      <c r="D127" s="6" t="str">
        <f>INDEX(tbUnitTypeToIndex[Index],MATCH(tbUnitNameToType[[#This Row],[Type]],tbUnitTypeToIndex[Type],))</f>
        <v>铁英</v>
      </c>
    </row>
    <row r="128" spans="2:4" x14ac:dyDescent="0.3">
      <c r="B128" s="6" t="s">
        <v>397</v>
      </c>
      <c r="C128" s="6" t="s">
        <v>384</v>
      </c>
      <c r="D128" s="6" t="str">
        <f>INDEX(tbUnitTypeToIndex[Index],MATCH(tbUnitNameToType[[#This Row],[Type]],tbUnitTypeToIndex[Type],))</f>
        <v>法英</v>
      </c>
    </row>
    <row r="129" spans="2:4" x14ac:dyDescent="0.3">
      <c r="B129" s="6" t="s">
        <v>398</v>
      </c>
      <c r="C129" s="6" t="s">
        <v>383</v>
      </c>
      <c r="D129" s="6" t="str">
        <f>INDEX(tbUnitTypeToIndex[Index],MATCH(tbUnitNameToType[[#This Row],[Type]],tbUnitTypeToIndex[Type],))</f>
        <v>炼英</v>
      </c>
    </row>
    <row r="130" spans="2:4" x14ac:dyDescent="0.3">
      <c r="B130" s="6" t="s">
        <v>399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400</v>
      </c>
      <c r="C131" s="6" t="s">
        <v>380</v>
      </c>
      <c r="D131" s="6" t="str">
        <f>INDEX(tbUnitTypeToIndex[Index],MATCH(tbUnitNameToType[[#This Row],[Type]],tbUnitTypeToIndex[Type],))</f>
        <v>盾英</v>
      </c>
    </row>
    <row r="132" spans="2:4" x14ac:dyDescent="0.3">
      <c r="B132" s="6" t="s">
        <v>401</v>
      </c>
      <c r="C132" s="6" t="s">
        <v>382</v>
      </c>
      <c r="D132" s="6" t="str">
        <f>INDEX(tbUnitTypeToIndex[Index],MATCH(tbUnitNameToType[[#This Row],[Type]],tbUnitTypeToIndex[Type],))</f>
        <v>铁英</v>
      </c>
    </row>
    <row r="133" spans="2:4" x14ac:dyDescent="0.3">
      <c r="B133" s="6" t="s">
        <v>402</v>
      </c>
      <c r="C133" s="6" t="s">
        <v>383</v>
      </c>
      <c r="D133" s="6" t="str">
        <f>INDEX(tbUnitTypeToIndex[Index],MATCH(tbUnitNameToType[[#This Row],[Type]],tbUnitTypeToIndex[Type],))</f>
        <v>炼英</v>
      </c>
    </row>
    <row r="134" spans="2:4" x14ac:dyDescent="0.3">
      <c r="B134" s="6" t="s">
        <v>403</v>
      </c>
      <c r="C134" s="6" t="s">
        <v>384</v>
      </c>
      <c r="D134" s="6" t="str">
        <f>INDEX(tbUnitTypeToIndex[Index],MATCH(tbUnitNameToType[[#This Row],[Type]],tbUnitTypeToIndex[Type],))</f>
        <v>法英</v>
      </c>
    </row>
    <row r="135" spans="2:4" x14ac:dyDescent="0.3">
      <c r="B135" s="6" t="s">
        <v>404</v>
      </c>
      <c r="C135" s="6" t="s">
        <v>382</v>
      </c>
      <c r="D135" s="6" t="str">
        <f>INDEX(tbUnitTypeToIndex[Index],MATCH(tbUnitNameToType[[#This Row],[Type]],tbUnitTypeToIndex[Type],))</f>
        <v>铁英</v>
      </c>
    </row>
    <row r="136" spans="2:4" x14ac:dyDescent="0.3">
      <c r="B136" s="6" t="s">
        <v>405</v>
      </c>
      <c r="C136" s="6" t="s">
        <v>380</v>
      </c>
      <c r="D136" s="6" t="str">
        <f>INDEX(tbUnitTypeToIndex[Index],MATCH(tbUnitNameToType[[#This Row],[Type]],tbUnitTypeToIndex[Type],))</f>
        <v>盾英</v>
      </c>
    </row>
    <row r="137" spans="2:4" x14ac:dyDescent="0.3">
      <c r="B137" s="6" t="s">
        <v>406</v>
      </c>
      <c r="C137" s="6" t="s">
        <v>383</v>
      </c>
      <c r="D137" s="6" t="str">
        <f>INDEX(tbUnitTypeToIndex[Index],MATCH(tbUnitNameToType[[#This Row],[Type]],tbUnitTypeToIndex[Type],))</f>
        <v>炼英</v>
      </c>
    </row>
    <row r="138" spans="2:4" x14ac:dyDescent="0.3">
      <c r="B138" s="6" t="s">
        <v>407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408</v>
      </c>
      <c r="C139" s="6" t="s">
        <v>380</v>
      </c>
      <c r="D139" s="6" t="str">
        <f>INDEX(tbUnitTypeToIndex[Index],MATCH(tbUnitNameToType[[#This Row],[Type]],tbUnitTypeToIndex[Type],))</f>
        <v>盾英</v>
      </c>
    </row>
    <row r="140" spans="2:4" x14ac:dyDescent="0.3">
      <c r="B140" s="6" t="s">
        <v>409</v>
      </c>
      <c r="C140" s="6" t="s">
        <v>381</v>
      </c>
      <c r="D140" s="6" t="str">
        <f>INDEX(tbUnitTypeToIndex[Index],MATCH(tbUnitNameToType[[#This Row],[Type]],tbUnitTypeToIndex[Type],))</f>
        <v>强英</v>
      </c>
    </row>
    <row r="141" spans="2:4" x14ac:dyDescent="0.3">
      <c r="B141" s="6" t="s">
        <v>410</v>
      </c>
      <c r="C141" s="6" t="s">
        <v>380</v>
      </c>
      <c r="D141" s="6" t="str">
        <f>INDEX(tbUnitTypeToIndex[Index],MATCH(tbUnitNameToType[[#This Row],[Type]],tbUnitTypeToIndex[Type],))</f>
        <v>盾英</v>
      </c>
    </row>
    <row r="142" spans="2:4" x14ac:dyDescent="0.3">
      <c r="B142" s="6" t="s">
        <v>411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412</v>
      </c>
      <c r="C143" s="6" t="s">
        <v>382</v>
      </c>
      <c r="D143" s="6" t="str">
        <f>INDEX(tbUnitTypeToIndex[Index],MATCH(tbUnitNameToType[[#This Row],[Type]],tbUnitTypeToIndex[Type],))</f>
        <v>铁英</v>
      </c>
    </row>
    <row r="144" spans="2:4" x14ac:dyDescent="0.3">
      <c r="B144" s="6" t="s">
        <v>413</v>
      </c>
      <c r="C144" s="6" t="s">
        <v>380</v>
      </c>
      <c r="D144" s="6" t="str">
        <f>INDEX(tbUnitTypeToIndex[Index],MATCH(tbUnitNameToType[[#This Row],[Type]],tbUnitTypeToIndex[Type],))</f>
        <v>盾英</v>
      </c>
    </row>
    <row r="145" spans="2:4" x14ac:dyDescent="0.3">
      <c r="B145" s="6" t="s">
        <v>414</v>
      </c>
      <c r="C145" s="6" t="s">
        <v>383</v>
      </c>
      <c r="D145" s="6" t="str">
        <f>INDEX(tbUnitTypeToIndex[Index],MATCH(tbUnitNameToType[[#This Row],[Type]],tbUnitTypeToIndex[Type],))</f>
        <v>炼英</v>
      </c>
    </row>
    <row r="146" spans="2:4" x14ac:dyDescent="0.3">
      <c r="B146" s="6" t="s">
        <v>415</v>
      </c>
      <c r="C146" s="6" t="s">
        <v>384</v>
      </c>
      <c r="D146" s="6" t="str">
        <f>INDEX(tbUnitTypeToIndex[Index],MATCH(tbUnitNameToType[[#This Row],[Type]],tbUnitTypeToIndex[Type],))</f>
        <v>法英</v>
      </c>
    </row>
    <row r="147" spans="2:4" x14ac:dyDescent="0.3">
      <c r="B147" s="6" t="s">
        <v>416</v>
      </c>
      <c r="C147" s="6" t="s">
        <v>385</v>
      </c>
      <c r="D147" s="6" t="str">
        <f>INDEX(tbUnitTypeToIndex[Index],MATCH(tbUnitNameToType[[#This Row],[Type]],tbUnitTypeToIndex[Type],))</f>
        <v>刺英</v>
      </c>
    </row>
    <row r="148" spans="2:4" x14ac:dyDescent="0.3">
      <c r="B148" s="6" t="s">
        <v>417</v>
      </c>
      <c r="C148" s="6" t="s">
        <v>382</v>
      </c>
      <c r="D148" s="6" t="str">
        <f>INDEX(tbUnitTypeToIndex[Index],MATCH(tbUnitNameToType[[#This Row],[Type]],tbUnitTypeToIndex[Type],))</f>
        <v>铁英</v>
      </c>
    </row>
    <row r="149" spans="2:4" x14ac:dyDescent="0.3">
      <c r="B149" s="6" t="s">
        <v>418</v>
      </c>
      <c r="C149" s="6" t="s">
        <v>383</v>
      </c>
      <c r="D149" s="6" t="str">
        <f>INDEX(tbUnitTypeToIndex[Index],MATCH(tbUnitNameToType[[#This Row],[Type]],tbUnitTypeToIndex[Type],))</f>
        <v>炼英</v>
      </c>
    </row>
    <row r="150" spans="2:4" x14ac:dyDescent="0.3">
      <c r="B150" s="6" t="s">
        <v>419</v>
      </c>
      <c r="C150" s="6" t="s">
        <v>381</v>
      </c>
      <c r="D150" s="6" t="str">
        <f>INDEX(tbUnitTypeToIndex[Index],MATCH(tbUnitNameToType[[#This Row],[Type]],tbUnitTypeToIndex[Type],))</f>
        <v>强英</v>
      </c>
    </row>
    <row r="151" spans="2:4" x14ac:dyDescent="0.3">
      <c r="B151" s="6" t="s">
        <v>420</v>
      </c>
      <c r="C151" s="6" t="s">
        <v>384</v>
      </c>
      <c r="D151" s="6" t="str">
        <f>INDEX(tbUnitTypeToIndex[Index],MATCH(tbUnitNameToType[[#This Row],[Type]],tbUnitTypeToIndex[Type],))</f>
        <v>法英</v>
      </c>
    </row>
    <row r="152" spans="2:4" x14ac:dyDescent="0.3">
      <c r="B152" s="6" t="s">
        <v>421</v>
      </c>
      <c r="C152" s="6" t="s">
        <v>385</v>
      </c>
      <c r="D152" s="6" t="str">
        <f>INDEX(tbUnitTypeToIndex[Index],MATCH(tbUnitNameToType[[#This Row],[Type]],tbUnitTypeToIndex[Type],))</f>
        <v>刺英</v>
      </c>
    </row>
    <row r="153" spans="2:4" x14ac:dyDescent="0.3">
      <c r="B153" s="6" t="s">
        <v>422</v>
      </c>
      <c r="C153" s="6" t="s">
        <v>380</v>
      </c>
      <c r="D153" s="6" t="str">
        <f>INDEX(tbUnitTypeToIndex[Index],MATCH(tbUnitNameToType[[#This Row],[Type]],tbUnitTypeToIndex[Type],))</f>
        <v>盾英</v>
      </c>
    </row>
    <row r="154" spans="2:4" x14ac:dyDescent="0.3">
      <c r="B154" s="6" t="s">
        <v>423</v>
      </c>
      <c r="C154" s="6" t="s">
        <v>382</v>
      </c>
      <c r="D154" s="6" t="str">
        <f>INDEX(tbUnitTypeToIndex[Index],MATCH(tbUnitNameToType[[#This Row],[Type]],tbUnitTypeToIndex[Type],))</f>
        <v>铁英</v>
      </c>
    </row>
    <row r="155" spans="2:4" x14ac:dyDescent="0.3">
      <c r="B155" s="6" t="s">
        <v>424</v>
      </c>
      <c r="C155" s="6" t="s">
        <v>381</v>
      </c>
      <c r="D155" s="6" t="str">
        <f>INDEX(tbUnitTypeToIndex[Index],MATCH(tbUnitNameToType[[#This Row],[Type]],tbUnitTypeToIndex[Type],))</f>
        <v>强英</v>
      </c>
    </row>
    <row r="156" spans="2:4" x14ac:dyDescent="0.3">
      <c r="B156" s="6" t="s">
        <v>425</v>
      </c>
      <c r="C156" s="6" t="s">
        <v>384</v>
      </c>
      <c r="D156" s="6" t="str">
        <f>INDEX(tbUnitTypeToIndex[Index],MATCH(tbUnitNameToType[[#This Row],[Type]],tbUnitTypeToIndex[Type],))</f>
        <v>法英</v>
      </c>
    </row>
    <row r="157" spans="2:4" x14ac:dyDescent="0.3">
      <c r="B157" s="6" t="s">
        <v>426</v>
      </c>
      <c r="C157" s="6" t="s">
        <v>382</v>
      </c>
      <c r="D157" s="6" t="str">
        <f>INDEX(tbUnitTypeToIndex[Index],MATCH(tbUnitNameToType[[#This Row],[Type]],tbUnitTypeToIndex[Type],))</f>
        <v>铁英</v>
      </c>
    </row>
    <row r="158" spans="2:4" x14ac:dyDescent="0.3">
      <c r="B158" s="6" t="s">
        <v>427</v>
      </c>
      <c r="C158" s="6" t="s">
        <v>383</v>
      </c>
      <c r="D158" s="6" t="str">
        <f>INDEX(tbUnitTypeToIndex[Index],MATCH(tbUnitNameToType[[#This Row],[Type]],tbUnitTypeToIndex[Type],))</f>
        <v>炼英</v>
      </c>
    </row>
    <row r="159" spans="2:4" x14ac:dyDescent="0.3">
      <c r="B159" s="6" t="s">
        <v>428</v>
      </c>
      <c r="C159" s="6" t="s">
        <v>380</v>
      </c>
      <c r="D159" s="6" t="str">
        <f>INDEX(tbUnitTypeToIndex[Index],MATCH(tbUnitNameToType[[#This Row],[Type]],tbUnitTypeToIndex[Type],))</f>
        <v>盾英</v>
      </c>
    </row>
    <row r="160" spans="2:4" x14ac:dyDescent="0.3">
      <c r="B160" s="6" t="s">
        <v>429</v>
      </c>
      <c r="C160" s="6" t="s">
        <v>381</v>
      </c>
      <c r="D160" s="6" t="str">
        <f>INDEX(tbUnitTypeToIndex[Index],MATCH(tbUnitNameToType[[#This Row],[Type]],tbUnitTypeToIndex[Type],))</f>
        <v>强英</v>
      </c>
    </row>
    <row r="161" spans="2:4" x14ac:dyDescent="0.3">
      <c r="B161" s="6" t="s">
        <v>430</v>
      </c>
      <c r="C161" s="6" t="s">
        <v>384</v>
      </c>
      <c r="D161" s="6" t="str">
        <f>INDEX(tbUnitTypeToIndex[Index],MATCH(tbUnitNameToType[[#This Row],[Type]],tbUnitTypeToIndex[Type],))</f>
        <v>法英</v>
      </c>
    </row>
    <row r="162" spans="2:4" x14ac:dyDescent="0.3">
      <c r="B162" s="6" t="s">
        <v>431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432</v>
      </c>
      <c r="C163" s="6" t="s">
        <v>385</v>
      </c>
      <c r="D163" s="6" t="str">
        <f>INDEX(tbUnitTypeToIndex[Index],MATCH(tbUnitNameToType[[#This Row],[Type]],tbUnitTypeToIndex[Type],))</f>
        <v>刺英</v>
      </c>
    </row>
    <row r="164" spans="2:4" x14ac:dyDescent="0.3">
      <c r="B164" s="6" t="s">
        <v>433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6" t="s">
        <v>434</v>
      </c>
      <c r="C165" s="6" t="s">
        <v>383</v>
      </c>
      <c r="D165" s="6" t="str">
        <f>INDEX(tbUnitTypeToIndex[Index],MATCH(tbUnitNameToType[[#This Row],[Type]],tbUnitTypeToIndex[Type],))</f>
        <v>炼英</v>
      </c>
    </row>
    <row r="166" spans="2:4" x14ac:dyDescent="0.3">
      <c r="B166" s="22" t="s">
        <v>1165</v>
      </c>
      <c r="C166" s="22" t="s">
        <v>1174</v>
      </c>
      <c r="D166" s="6" t="str">
        <f>INDEX(tbUnitTypeToIndex[Index],MATCH(tbUnitNameToType[[#This Row],[Type]],tbUnitTypeToIndex[Type],))</f>
        <v>盾英</v>
      </c>
    </row>
    <row r="167" spans="2:4" x14ac:dyDescent="0.3">
      <c r="B167" s="22" t="s">
        <v>1166</v>
      </c>
      <c r="C167" s="22" t="s">
        <v>1175</v>
      </c>
      <c r="D167" s="6" t="str">
        <f>INDEX(tbUnitTypeToIndex[Index],MATCH(tbUnitNameToType[[#This Row],[Type]],tbUnitTypeToIndex[Type],))</f>
        <v>铁英</v>
      </c>
    </row>
    <row r="168" spans="2:4" x14ac:dyDescent="0.3">
      <c r="B168" s="22" t="s">
        <v>1167</v>
      </c>
      <c r="C168" s="46" t="s">
        <v>1587</v>
      </c>
      <c r="D168" s="6" t="str">
        <f>INDEX(tbUnitTypeToIndex[Index],MATCH(tbUnitNameToType[[#This Row],[Type]],tbUnitTypeToIndex[Type],))</f>
        <v>盾英</v>
      </c>
    </row>
    <row r="169" spans="2:4" x14ac:dyDescent="0.3">
      <c r="B169" s="22" t="s">
        <v>1168</v>
      </c>
      <c r="C169" s="22" t="s">
        <v>1176</v>
      </c>
      <c r="D169" s="6" t="str">
        <f>INDEX(tbUnitTypeToIndex[Index],MATCH(tbUnitNameToType[[#This Row],[Type]],tbUnitTypeToIndex[Type],))</f>
        <v>刺英</v>
      </c>
    </row>
    <row r="170" spans="2:4" x14ac:dyDescent="0.3">
      <c r="B170" s="22" t="s">
        <v>1170</v>
      </c>
      <c r="C170" s="22" t="s">
        <v>1174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1171</v>
      </c>
      <c r="C171" s="22" t="s">
        <v>1174</v>
      </c>
      <c r="D171" s="6" t="str">
        <f>INDEX(tbUnitTypeToIndex[Index],MATCH(tbUnitNameToType[[#This Row],[Type]],tbUnitTypeToIndex[Type],))</f>
        <v>盾英</v>
      </c>
    </row>
    <row r="172" spans="2:4" x14ac:dyDescent="0.3">
      <c r="B172" s="22" t="s">
        <v>1172</v>
      </c>
      <c r="C172" s="46" t="s">
        <v>1588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1173</v>
      </c>
      <c r="C173" s="46" t="s">
        <v>1587</v>
      </c>
      <c r="D173" s="6" t="str">
        <f>INDEX(tbUnitTypeToIndex[Index],MATCH(tbUnitNameToType[[#This Row],[Type]],tbUnitTypeToIndex[Type],))</f>
        <v>盾英</v>
      </c>
    </row>
    <row r="174" spans="2:4" x14ac:dyDescent="0.3">
      <c r="B174" s="22" t="s">
        <v>1169</v>
      </c>
      <c r="C174" s="46" t="s">
        <v>1587</v>
      </c>
      <c r="D174" s="6" t="str">
        <f>INDEX(tbUnitTypeToIndex[Index],MATCH(tbUnitNameToType[[#This Row],[Type]],tbUnitTypeToIndex[Type],))</f>
        <v>盾英</v>
      </c>
    </row>
    <row r="175" spans="2:4" x14ac:dyDescent="0.3">
      <c r="B175" s="39" t="s">
        <v>1314</v>
      </c>
      <c r="C175" s="40" t="s">
        <v>383</v>
      </c>
      <c r="D175" s="41" t="str">
        <f>INDEX(tbUnitTypeToIndex[Index],MATCH(tbUnitNameToType[[#This Row],[Type]],tbUnitTypeToIndex[Type],))</f>
        <v>炼英</v>
      </c>
    </row>
    <row r="176" spans="2:4" x14ac:dyDescent="0.3">
      <c r="B176" s="39" t="s">
        <v>1315</v>
      </c>
      <c r="C176" s="40" t="s">
        <v>384</v>
      </c>
      <c r="D176" s="41" t="str">
        <f>INDEX(tbUnitTypeToIndex[Index],MATCH(tbUnitNameToType[[#This Row],[Type]],tbUnitTypeToIndex[Type],))</f>
        <v>法英</v>
      </c>
    </row>
    <row r="177" spans="2:4" x14ac:dyDescent="0.3">
      <c r="B177" s="39" t="s">
        <v>1316</v>
      </c>
      <c r="C177" s="40" t="s">
        <v>380</v>
      </c>
      <c r="D177" s="41" t="str">
        <f>INDEX(tbUnitTypeToIndex[Index],MATCH(tbUnitNameToType[[#This Row],[Type]],tbUnitTypeToIndex[Type],))</f>
        <v>盾英</v>
      </c>
    </row>
    <row r="178" spans="2:4" x14ac:dyDescent="0.3">
      <c r="B178" s="39" t="s">
        <v>1317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1318</v>
      </c>
      <c r="C179" s="40" t="s">
        <v>383</v>
      </c>
      <c r="D179" s="41" t="str">
        <f>INDEX(tbUnitTypeToIndex[Index],MATCH(tbUnitNameToType[[#This Row],[Type]],tbUnitTypeToIndex[Type],))</f>
        <v>炼英</v>
      </c>
    </row>
    <row r="180" spans="2:4" x14ac:dyDescent="0.3">
      <c r="B180" s="39" t="s">
        <v>1319</v>
      </c>
      <c r="C180" s="40" t="s">
        <v>384</v>
      </c>
      <c r="D180" s="41" t="str">
        <f>INDEX(tbUnitTypeToIndex[Index],MATCH(tbUnitNameToType[[#This Row],[Type]],tbUnitTypeToIndex[Type],))</f>
        <v>法英</v>
      </c>
    </row>
    <row r="181" spans="2:4" x14ac:dyDescent="0.3">
      <c r="B181" s="46" t="s">
        <v>1423</v>
      </c>
      <c r="C181" s="46" t="s">
        <v>380</v>
      </c>
      <c r="D181" s="47" t="str">
        <f>INDEX(tbUnitTypeToIndex[Index],MATCH(tbUnitNameToType[[#This Row],[Type]],tbUnitTypeToIndex[Type],))</f>
        <v>盾英</v>
      </c>
    </row>
    <row r="182" spans="2:4" x14ac:dyDescent="0.3">
      <c r="B182" s="46" t="s">
        <v>1424</v>
      </c>
      <c r="C182" s="46" t="s">
        <v>380</v>
      </c>
      <c r="D182" s="47" t="str">
        <f>INDEX(tbUnitTypeToIndex[Index],MATCH(tbUnitNameToType[[#This Row],[Type]],tbUnitTypeToIndex[Type],))</f>
        <v>盾英</v>
      </c>
    </row>
    <row r="183" spans="2:4" x14ac:dyDescent="0.3">
      <c r="B183" s="46" t="s">
        <v>1425</v>
      </c>
      <c r="C183" s="46" t="s">
        <v>385</v>
      </c>
      <c r="D183" s="47" t="str">
        <f>INDEX(tbUnitTypeToIndex[Index],MATCH(tbUnitNameToType[[#This Row],[Type]],tbUnitTypeToIndex[Type],))</f>
        <v>刺英</v>
      </c>
    </row>
    <row r="184" spans="2:4" x14ac:dyDescent="0.3">
      <c r="B184" s="46" t="s">
        <v>1426</v>
      </c>
      <c r="C184" s="46" t="s">
        <v>380</v>
      </c>
      <c r="D184" s="47" t="str">
        <f>INDEX(tbUnitTypeToIndex[Index],MATCH(tbUnitNameToType[[#This Row],[Type]],tbUnitTypeToIndex[Type],))</f>
        <v>盾英</v>
      </c>
    </row>
    <row r="185" spans="2:4" x14ac:dyDescent="0.3">
      <c r="B185" s="46" t="s">
        <v>1427</v>
      </c>
      <c r="C185" s="46" t="s">
        <v>383</v>
      </c>
      <c r="D185" s="47" t="str">
        <f>INDEX(tbUnitTypeToIndex[Index],MATCH(tbUnitNameToType[[#This Row],[Type]],tbUnitTypeToIndex[Type],))</f>
        <v>炼英</v>
      </c>
    </row>
    <row r="186" spans="2:4" x14ac:dyDescent="0.3">
      <c r="B186" s="46" t="s">
        <v>1428</v>
      </c>
      <c r="C186" s="46" t="s">
        <v>380</v>
      </c>
      <c r="D186" s="47" t="str">
        <f>INDEX(tbUnitTypeToIndex[Index],MATCH(tbUnitNameToType[[#This Row],[Type]],tbUnitTypeToIndex[Type],))</f>
        <v>盾英</v>
      </c>
    </row>
    <row r="187" spans="2:4" x14ac:dyDescent="0.3">
      <c r="B187" s="46" t="s">
        <v>1429</v>
      </c>
      <c r="C187" s="46" t="s">
        <v>384</v>
      </c>
      <c r="D187" s="47" t="str">
        <f>INDEX(tbUnitTypeToIndex[Index],MATCH(tbUnitNameToType[[#This Row],[Type]],tbUnitTypeToIndex[Type],))</f>
        <v>法英</v>
      </c>
    </row>
    <row r="188" spans="2:4" x14ac:dyDescent="0.3">
      <c r="B188" s="46" t="s">
        <v>1430</v>
      </c>
      <c r="C188" s="46" t="s">
        <v>380</v>
      </c>
      <c r="D188" s="47" t="str">
        <f>INDEX(tbUnitTypeToIndex[Index],MATCH(tbUnitNameToType[[#This Row],[Type]],tbUnitTypeToIndex[Type],))</f>
        <v>盾英</v>
      </c>
    </row>
    <row r="189" spans="2:4" x14ac:dyDescent="0.3">
      <c r="B189" s="46" t="s">
        <v>1431</v>
      </c>
      <c r="C189" s="46" t="s">
        <v>380</v>
      </c>
      <c r="D189" s="47" t="str">
        <f>INDEX(tbUnitTypeToIndex[Index],MATCH(tbUnitNameToType[[#This Row],[Type]],tbUnitTypeToIndex[Type],))</f>
        <v>盾英</v>
      </c>
    </row>
    <row r="190" spans="2:4" x14ac:dyDescent="0.3">
      <c r="B190" s="46" t="s">
        <v>1432</v>
      </c>
      <c r="C190" s="46" t="s">
        <v>381</v>
      </c>
      <c r="D190" s="47" t="str">
        <f>INDEX(tbUnitTypeToIndex[Index],MATCH(tbUnitNameToType[[#This Row],[Type]],tbUnitTypeToIndex[Type],))</f>
        <v>强英</v>
      </c>
    </row>
    <row r="191" spans="2:4" x14ac:dyDescent="0.3">
      <c r="B191" s="46" t="s">
        <v>1433</v>
      </c>
      <c r="C191" s="46" t="s">
        <v>382</v>
      </c>
      <c r="D191" s="47" t="str">
        <f>INDEX(tbUnitTypeToIndex[Index],MATCH(tbUnitNameToType[[#This Row],[Type]],tbUnitTypeToIndex[Type],))</f>
        <v>铁英</v>
      </c>
    </row>
    <row r="192" spans="2:4" x14ac:dyDescent="0.3">
      <c r="B192" s="46" t="s">
        <v>1434</v>
      </c>
      <c r="C192" s="46" t="s">
        <v>384</v>
      </c>
      <c r="D192" s="47" t="str">
        <f>INDEX(tbUnitTypeToIndex[Index],MATCH(tbUnitNameToType[[#This Row],[Type]],tbUnitTypeToIndex[Type],))</f>
        <v>法英</v>
      </c>
    </row>
    <row r="193" spans="2:4" x14ac:dyDescent="0.3">
      <c r="B193" s="46" t="s">
        <v>1435</v>
      </c>
      <c r="C193" s="46" t="s">
        <v>380</v>
      </c>
      <c r="D193" s="47" t="str">
        <f>INDEX(tbUnitTypeToIndex[Index],MATCH(tbUnitNameToType[[#This Row],[Type]],tbUnitTypeToIndex[Type],))</f>
        <v>盾英</v>
      </c>
    </row>
    <row r="194" spans="2:4" x14ac:dyDescent="0.3">
      <c r="B194" s="46" t="s">
        <v>1436</v>
      </c>
      <c r="C194" s="46" t="s">
        <v>380</v>
      </c>
      <c r="D194" s="47" t="str">
        <f>INDEX(tbUnitTypeToIndex[Index],MATCH(tbUnitNameToType[[#This Row],[Type]],tbUnitTypeToIndex[Type],))</f>
        <v>盾英</v>
      </c>
    </row>
    <row r="195" spans="2:4" x14ac:dyDescent="0.3">
      <c r="B195" s="46" t="s">
        <v>1437</v>
      </c>
      <c r="C195" s="46" t="s">
        <v>382</v>
      </c>
      <c r="D195" s="47" t="str">
        <f>INDEX(tbUnitTypeToIndex[Index],MATCH(tbUnitNameToType[[#This Row],[Type]],tbUnitTypeToIndex[Type],))</f>
        <v>铁英</v>
      </c>
    </row>
    <row r="196" spans="2:4" x14ac:dyDescent="0.3">
      <c r="B196" s="46" t="s">
        <v>1438</v>
      </c>
      <c r="C196" s="46" t="s">
        <v>383</v>
      </c>
      <c r="D196" s="47" t="str">
        <f>INDEX(tbUnitTypeToIndex[Index],MATCH(tbUnitNameToType[[#This Row],[Type]],tbUnitTypeToIndex[Type],))</f>
        <v>炼英</v>
      </c>
    </row>
    <row r="197" spans="2:4" x14ac:dyDescent="0.3">
      <c r="B197" s="46" t="s">
        <v>1439</v>
      </c>
      <c r="C197" s="46" t="s">
        <v>383</v>
      </c>
      <c r="D197" s="47" t="str">
        <f>INDEX(tbUnitTypeToIndex[Index],MATCH(tbUnitNameToType[[#This Row],[Type]],tbUnitTypeToIndex[Type],))</f>
        <v>炼英</v>
      </c>
    </row>
    <row r="198" spans="2:4" x14ac:dyDescent="0.3">
      <c r="B198" s="46" t="s">
        <v>1440</v>
      </c>
      <c r="C198" s="46" t="s">
        <v>380</v>
      </c>
      <c r="D198" s="47" t="str">
        <f>INDEX(tbUnitTypeToIndex[Index],MATCH(tbUnitNameToType[[#This Row],[Type]],tbUnitTypeToIndex[Type],))</f>
        <v>盾英</v>
      </c>
    </row>
    <row r="199" spans="2:4" x14ac:dyDescent="0.3">
      <c r="B199" s="46" t="s">
        <v>1441</v>
      </c>
      <c r="C199" s="46" t="s">
        <v>380</v>
      </c>
      <c r="D199" s="47" t="str">
        <f>INDEX(tbUnitTypeToIndex[Index],MATCH(tbUnitNameToType[[#This Row],[Type]],tbUnitTypeToIndex[Type],))</f>
        <v>盾英</v>
      </c>
    </row>
    <row r="200" spans="2:4" x14ac:dyDescent="0.3">
      <c r="B200" s="46" t="s">
        <v>1442</v>
      </c>
      <c r="C200" s="46" t="s">
        <v>380</v>
      </c>
      <c r="D200" s="47" t="str">
        <f>INDEX(tbUnitTypeToIndex[Index],MATCH(tbUnitNameToType[[#This Row],[Type]],tbUnitTypeToIndex[Type],))</f>
        <v>盾英</v>
      </c>
    </row>
    <row r="201" spans="2:4" x14ac:dyDescent="0.3">
      <c r="B201" s="46" t="s">
        <v>1443</v>
      </c>
      <c r="C201" s="46" t="s">
        <v>381</v>
      </c>
      <c r="D201" s="47" t="str">
        <f>INDEX(tbUnitTypeToIndex[Index],MATCH(tbUnitNameToType[[#This Row],[Type]],tbUnitTypeToIndex[Type],))</f>
        <v>强英</v>
      </c>
    </row>
    <row r="202" spans="2:4" x14ac:dyDescent="0.3">
      <c r="B202" s="46" t="s">
        <v>1444</v>
      </c>
      <c r="C202" s="46" t="s">
        <v>385</v>
      </c>
      <c r="D202" s="47" t="str">
        <f>INDEX(tbUnitTypeToIndex[Index],MATCH(tbUnitNameToType[[#This Row],[Type]],tbUnitTypeToIndex[Type],))</f>
        <v>刺英</v>
      </c>
    </row>
    <row r="203" spans="2:4" x14ac:dyDescent="0.3">
      <c r="B203" s="46" t="s">
        <v>1445</v>
      </c>
      <c r="C203" s="46" t="s">
        <v>384</v>
      </c>
      <c r="D203" s="47" t="str">
        <f>INDEX(tbUnitTypeToIndex[Index],MATCH(tbUnitNameToType[[#This Row],[Type]],tbUnitTypeToIndex[Type],))</f>
        <v>法英</v>
      </c>
    </row>
    <row r="204" spans="2:4" x14ac:dyDescent="0.3">
      <c r="B204" s="46" t="s">
        <v>1446</v>
      </c>
      <c r="C204" s="46" t="s">
        <v>382</v>
      </c>
      <c r="D204" s="47" t="str">
        <f>INDEX(tbUnitTypeToIndex[Index],MATCH(tbUnitNameToType[[#This Row],[Type]],tbUnitTypeToIndex[Type],))</f>
        <v>铁英</v>
      </c>
    </row>
    <row r="205" spans="2:4" x14ac:dyDescent="0.3">
      <c r="B205" s="46" t="s">
        <v>1447</v>
      </c>
      <c r="C205" s="46" t="s">
        <v>380</v>
      </c>
      <c r="D205" s="47" t="str">
        <f>INDEX(tbUnitTypeToIndex[Index],MATCH(tbUnitNameToType[[#This Row],[Type]],tbUnitTypeToIndex[Type],))</f>
        <v>盾英</v>
      </c>
    </row>
    <row r="206" spans="2:4" x14ac:dyDescent="0.3">
      <c r="B206" s="46" t="s">
        <v>1448</v>
      </c>
      <c r="C206" s="46" t="s">
        <v>380</v>
      </c>
      <c r="D206" s="47" t="str">
        <f>INDEX(tbUnitTypeToIndex[Index],MATCH(tbUnitNameToType[[#This Row],[Type]],tbUnitTypeToIndex[Type],))</f>
        <v>盾英</v>
      </c>
    </row>
    <row r="207" spans="2:4" x14ac:dyDescent="0.3">
      <c r="B207" s="46" t="s">
        <v>1449</v>
      </c>
      <c r="C207" s="46" t="s">
        <v>383</v>
      </c>
      <c r="D207" s="47" t="str">
        <f>INDEX(tbUnitTypeToIndex[Index],MATCH(tbUnitNameToType[[#This Row],[Type]],tbUnitTypeToIndex[Type],))</f>
        <v>炼英</v>
      </c>
    </row>
    <row r="208" spans="2:4" x14ac:dyDescent="0.3">
      <c r="B208" s="46" t="s">
        <v>1450</v>
      </c>
      <c r="C208" s="46" t="s">
        <v>382</v>
      </c>
      <c r="D208" s="47" t="str">
        <f>INDEX(tbUnitTypeToIndex[Index],MATCH(tbUnitNameToType[[#This Row],[Type]],tbUnitTypeToIndex[Type],))</f>
        <v>铁英</v>
      </c>
    </row>
    <row r="209" spans="2:4" x14ac:dyDescent="0.3">
      <c r="B209" s="46" t="s">
        <v>1451</v>
      </c>
      <c r="C209" s="46" t="s">
        <v>384</v>
      </c>
      <c r="D209" s="47" t="str">
        <f>INDEX(tbUnitTypeToIndex[Index],MATCH(tbUnitNameToType[[#This Row],[Type]],tbUnitTypeToIndex[Type],))</f>
        <v>法英</v>
      </c>
    </row>
    <row r="210" spans="2:4" x14ac:dyDescent="0.3">
      <c r="B210" s="46" t="s">
        <v>1452</v>
      </c>
      <c r="C210" s="46" t="s">
        <v>384</v>
      </c>
      <c r="D210" s="47" t="str">
        <f>INDEX(tbUnitTypeToIndex[Index],MATCH(tbUnitNameToType[[#This Row],[Type]],tbUnitTypeToIndex[Type],))</f>
        <v>法英</v>
      </c>
    </row>
    <row r="211" spans="2:4" x14ac:dyDescent="0.3">
      <c r="B211" s="46" t="s">
        <v>1453</v>
      </c>
      <c r="C211" s="46" t="s">
        <v>382</v>
      </c>
      <c r="D211" s="47" t="str">
        <f>INDEX(tbUnitTypeToIndex[Index],MATCH(tbUnitNameToType[[#This Row],[Type]],tbUnitTypeToIndex[Type],))</f>
        <v>铁英</v>
      </c>
    </row>
    <row r="212" spans="2:4" x14ac:dyDescent="0.3">
      <c r="B212" s="46" t="s">
        <v>1454</v>
      </c>
      <c r="C212" s="46" t="s">
        <v>384</v>
      </c>
      <c r="D212" s="47" t="str">
        <f>INDEX(tbUnitTypeToIndex[Index],MATCH(tbUnitNameToType[[#This Row],[Type]],tbUnitTypeToIndex[Type],))</f>
        <v>法英</v>
      </c>
    </row>
    <row r="213" spans="2:4" x14ac:dyDescent="0.3">
      <c r="B213" s="46" t="s">
        <v>1455</v>
      </c>
      <c r="C213" s="46" t="s">
        <v>381</v>
      </c>
      <c r="D213" s="47" t="str">
        <f>INDEX(tbUnitTypeToIndex[Index],MATCH(tbUnitNameToType[[#This Row],[Type]],tbUnitTypeToIndex[Type],))</f>
        <v>强英</v>
      </c>
    </row>
    <row r="214" spans="2:4" x14ac:dyDescent="0.3">
      <c r="B214" s="46" t="s">
        <v>1456</v>
      </c>
      <c r="C214" s="46" t="s">
        <v>381</v>
      </c>
      <c r="D214" s="47" t="str">
        <f>INDEX(tbUnitTypeToIndex[Index],MATCH(tbUnitNameToType[[#This Row],[Type]],tbUnitTypeToIndex[Type],))</f>
        <v>强英</v>
      </c>
    </row>
    <row r="215" spans="2:4" x14ac:dyDescent="0.3">
      <c r="B215" s="46" t="s">
        <v>1457</v>
      </c>
      <c r="C215" s="46" t="s">
        <v>380</v>
      </c>
      <c r="D215" s="47" t="str">
        <f>INDEX(tbUnitTypeToIndex[Index],MATCH(tbUnitNameToType[[#This Row],[Type]],tbUnitTypeToIndex[Type],))</f>
        <v>盾英</v>
      </c>
    </row>
    <row r="216" spans="2:4" x14ac:dyDescent="0.3">
      <c r="B216" s="46" t="s">
        <v>1458</v>
      </c>
      <c r="C216" s="46" t="s">
        <v>380</v>
      </c>
      <c r="D216" s="47" t="str">
        <f>INDEX(tbUnitTypeToIndex[Index],MATCH(tbUnitNameToType[[#This Row],[Type]],tbUnitTypeToIndex[Type],))</f>
        <v>盾英</v>
      </c>
    </row>
    <row r="217" spans="2:4" x14ac:dyDescent="0.3">
      <c r="B217" s="46" t="s">
        <v>1459</v>
      </c>
      <c r="C217" s="46" t="s">
        <v>382</v>
      </c>
      <c r="D217" s="47" t="str">
        <f>INDEX(tbUnitTypeToIndex[Index],MATCH(tbUnitNameToType[[#This Row],[Type]],tbUnitTypeToIndex[Type],))</f>
        <v>铁英</v>
      </c>
    </row>
    <row r="218" spans="2:4" x14ac:dyDescent="0.3">
      <c r="B218" s="46" t="s">
        <v>1460</v>
      </c>
      <c r="C218" s="46" t="s">
        <v>382</v>
      </c>
      <c r="D218" s="47" t="str">
        <f>INDEX(tbUnitTypeToIndex[Index],MATCH(tbUnitNameToType[[#This Row],[Type]],tbUnitTypeToIndex[Type],))</f>
        <v>铁英</v>
      </c>
    </row>
    <row r="219" spans="2:4" x14ac:dyDescent="0.3">
      <c r="B219" s="46" t="s">
        <v>1461</v>
      </c>
      <c r="C219" s="46" t="s">
        <v>380</v>
      </c>
      <c r="D219" s="47" t="str">
        <f>INDEX(tbUnitTypeToIndex[Index],MATCH(tbUnitNameToType[[#This Row],[Type]],tbUnitTypeToIndex[Type],))</f>
        <v>盾英</v>
      </c>
    </row>
    <row r="220" spans="2:4" x14ac:dyDescent="0.3">
      <c r="B220" s="46" t="s">
        <v>1462</v>
      </c>
      <c r="C220" s="46" t="s">
        <v>382</v>
      </c>
      <c r="D220" s="47" t="str">
        <f>INDEX(tbUnitTypeToIndex[Index],MATCH(tbUnitNameToType[[#This Row],[Type]],tbUnitTypeToIndex[Type],))</f>
        <v>铁英</v>
      </c>
    </row>
    <row r="221" spans="2:4" x14ac:dyDescent="0.3">
      <c r="B221" s="46" t="s">
        <v>1463</v>
      </c>
      <c r="C221" s="46" t="s">
        <v>381</v>
      </c>
      <c r="D221" s="47" t="str">
        <f>INDEX(tbUnitTypeToIndex[Index],MATCH(tbUnitNameToType[[#This Row],[Type]],tbUnitTypeToIndex[Type],))</f>
        <v>强英</v>
      </c>
    </row>
    <row r="222" spans="2:4" x14ac:dyDescent="0.3">
      <c r="B222" s="46" t="s">
        <v>1464</v>
      </c>
      <c r="C222" s="46" t="s">
        <v>383</v>
      </c>
      <c r="D222" s="47" t="str">
        <f>INDEX(tbUnitTypeToIndex[Index],MATCH(tbUnitNameToType[[#This Row],[Type]],tbUnitTypeToIndex[Type],))</f>
        <v>炼英</v>
      </c>
    </row>
    <row r="223" spans="2:4" x14ac:dyDescent="0.3">
      <c r="B223" s="46" t="s">
        <v>1465</v>
      </c>
      <c r="C223" s="46" t="s">
        <v>455</v>
      </c>
      <c r="D223" s="47" t="str">
        <f>INDEX(tbUnitTypeToIndex[Index],MATCH(tbUnitNameToType[[#This Row],[Type]],tbUnitTypeToIndex[Type],))</f>
        <v>盾英</v>
      </c>
    </row>
    <row r="224" spans="2:4" x14ac:dyDescent="0.3">
      <c r="B224" s="46" t="s">
        <v>1466</v>
      </c>
      <c r="C224" s="46" t="s">
        <v>381</v>
      </c>
      <c r="D224" s="47" t="str">
        <f>INDEX(tbUnitTypeToIndex[Index],MATCH(tbUnitNameToType[[#This Row],[Type]],tbUnitTypeToIndex[Type],))</f>
        <v>强英</v>
      </c>
    </row>
    <row r="225" spans="2:4" x14ac:dyDescent="0.3">
      <c r="B225" s="46" t="s">
        <v>1467</v>
      </c>
      <c r="C225" s="46" t="s">
        <v>384</v>
      </c>
      <c r="D225" s="47" t="str">
        <f>INDEX(tbUnitTypeToIndex[Index],MATCH(tbUnitNameToType[[#This Row],[Type]],tbUnitTypeToIndex[Type],))</f>
        <v>法英</v>
      </c>
    </row>
    <row r="226" spans="2:4" x14ac:dyDescent="0.3">
      <c r="B226" s="46" t="s">
        <v>1468</v>
      </c>
      <c r="C226" s="46" t="s">
        <v>384</v>
      </c>
      <c r="D226" s="47" t="str">
        <f>INDEX(tbUnitTypeToIndex[Index],MATCH(tbUnitNameToType[[#This Row],[Type]],tbUnitTypeToIndex[Type],))</f>
        <v>法英</v>
      </c>
    </row>
    <row r="227" spans="2:4" x14ac:dyDescent="0.3">
      <c r="B227" s="46" t="s">
        <v>1469</v>
      </c>
      <c r="C227" s="46" t="s">
        <v>380</v>
      </c>
      <c r="D227" s="47" t="str">
        <f>INDEX(tbUnitTypeToIndex[Index],MATCH(tbUnitNameToType[[#This Row],[Type]],tbUnitTypeToIndex[Type],))</f>
        <v>盾英</v>
      </c>
    </row>
    <row r="228" spans="2:4" x14ac:dyDescent="0.3">
      <c r="B228" s="46" t="s">
        <v>1470</v>
      </c>
      <c r="C228" s="46" t="s">
        <v>384</v>
      </c>
      <c r="D228" s="47" t="str">
        <f>INDEX(tbUnitTypeToIndex[Index],MATCH(tbUnitNameToType[[#This Row],[Type]],tbUnitTypeToIndex[Type],))</f>
        <v>法英</v>
      </c>
    </row>
    <row r="229" spans="2:4" x14ac:dyDescent="0.3">
      <c r="B229" s="46" t="s">
        <v>1471</v>
      </c>
      <c r="C229" s="46" t="s">
        <v>381</v>
      </c>
      <c r="D229" s="47" t="str">
        <f>INDEX(tbUnitTypeToIndex[Index],MATCH(tbUnitNameToType[[#This Row],[Type]],tbUnitTypeToIndex[Type],))</f>
        <v>强英</v>
      </c>
    </row>
    <row r="230" spans="2:4" x14ac:dyDescent="0.3">
      <c r="B230" s="46" t="s">
        <v>1472</v>
      </c>
      <c r="C230" s="46" t="s">
        <v>382</v>
      </c>
      <c r="D230" s="47" t="str">
        <f>INDEX(tbUnitTypeToIndex[Index],MATCH(tbUnitNameToType[[#This Row],[Type]],tbUnitTypeToIndex[Type],))</f>
        <v>铁英</v>
      </c>
    </row>
    <row r="231" spans="2:4" x14ac:dyDescent="0.3">
      <c r="B231" s="46" t="s">
        <v>1473</v>
      </c>
      <c r="C231" s="46" t="s">
        <v>384</v>
      </c>
      <c r="D231" s="47" t="str">
        <f>INDEX(tbUnitTypeToIndex[Index],MATCH(tbUnitNameToType[[#This Row],[Type]],tbUnitTypeToIndex[Type],))</f>
        <v>法英</v>
      </c>
    </row>
    <row r="232" spans="2:4" x14ac:dyDescent="0.3">
      <c r="B232" s="46" t="s">
        <v>1474</v>
      </c>
      <c r="C232" s="46" t="s">
        <v>381</v>
      </c>
      <c r="D232" s="47" t="str">
        <f>INDEX(tbUnitTypeToIndex[Index],MATCH(tbUnitNameToType[[#This Row],[Type]],tbUnitTypeToIndex[Type],))</f>
        <v>强英</v>
      </c>
    </row>
    <row r="233" spans="2:4" x14ac:dyDescent="0.3">
      <c r="B233" s="46" t="s">
        <v>1475</v>
      </c>
      <c r="C233" s="46" t="s">
        <v>382</v>
      </c>
      <c r="D233" s="47" t="str">
        <f>INDEX(tbUnitTypeToIndex[Index],MATCH(tbUnitNameToType[[#This Row],[Type]],tbUnitTypeToIndex[Type],))</f>
        <v>铁英</v>
      </c>
    </row>
    <row r="234" spans="2:4" x14ac:dyDescent="0.3">
      <c r="B234" s="46" t="s">
        <v>1476</v>
      </c>
      <c r="C234" s="46" t="s">
        <v>382</v>
      </c>
      <c r="D234" s="47" t="str">
        <f>INDEX(tbUnitTypeToIndex[Index],MATCH(tbUnitNameToType[[#This Row],[Type]],tbUnitTypeToIndex[Type],))</f>
        <v>铁英</v>
      </c>
    </row>
    <row r="235" spans="2:4" x14ac:dyDescent="0.3">
      <c r="B235" s="46" t="s">
        <v>1477</v>
      </c>
      <c r="C235" s="46" t="s">
        <v>381</v>
      </c>
      <c r="D235" s="47" t="str">
        <f>INDEX(tbUnitTypeToIndex[Index],MATCH(tbUnitNameToType[[#This Row],[Type]],tbUnitTypeToIndex[Type],))</f>
        <v>强英</v>
      </c>
    </row>
    <row r="236" spans="2:4" x14ac:dyDescent="0.3">
      <c r="B236" s="46" t="s">
        <v>1478</v>
      </c>
      <c r="C236" s="46" t="s">
        <v>382</v>
      </c>
      <c r="D236" s="47" t="str">
        <f>INDEX(tbUnitTypeToIndex[Index],MATCH(tbUnitNameToType[[#This Row],[Type]],tbUnitTypeToIndex[Type],))</f>
        <v>铁英</v>
      </c>
    </row>
    <row r="237" spans="2:4" x14ac:dyDescent="0.3">
      <c r="B237" s="46" t="s">
        <v>1479</v>
      </c>
      <c r="C237" s="46" t="s">
        <v>379</v>
      </c>
      <c r="D237" s="47" t="str">
        <f>INDEX(tbUnitTypeToIndex[Index],MATCH(tbUnitNameToType[[#This Row],[Type]],tbUnitTypeToIndex[Type],))</f>
        <v>法英</v>
      </c>
    </row>
    <row r="238" spans="2:4" x14ac:dyDescent="0.3">
      <c r="B238" s="46" t="s">
        <v>1480</v>
      </c>
      <c r="C238" s="46" t="s">
        <v>381</v>
      </c>
      <c r="D238" s="47" t="str">
        <f>INDEX(tbUnitTypeToIndex[Index],MATCH(tbUnitNameToType[[#This Row],[Type]],tbUnitTypeToIndex[Type],))</f>
        <v>强英</v>
      </c>
    </row>
    <row r="239" spans="2:4" x14ac:dyDescent="0.3">
      <c r="B239" s="46" t="s">
        <v>1481</v>
      </c>
      <c r="C239" s="46" t="s">
        <v>380</v>
      </c>
      <c r="D239" s="47" t="str">
        <f>INDEX(tbUnitTypeToIndex[Index],MATCH(tbUnitNameToType[[#This Row],[Type]],tbUnitTypeToIndex[Type],))</f>
        <v>盾英</v>
      </c>
    </row>
    <row r="240" spans="2:4" x14ac:dyDescent="0.3">
      <c r="B240" s="46" t="s">
        <v>1482</v>
      </c>
      <c r="C240" s="46" t="s">
        <v>381</v>
      </c>
      <c r="D240" s="47" t="str">
        <f>INDEX(tbUnitTypeToIndex[Index],MATCH(tbUnitNameToType[[#This Row],[Type]],tbUnitTypeToIndex[Type],))</f>
        <v>强英</v>
      </c>
    </row>
    <row r="241" spans="2:4" x14ac:dyDescent="0.3">
      <c r="B241" s="46" t="s">
        <v>1483</v>
      </c>
      <c r="C241" s="46" t="s">
        <v>382</v>
      </c>
      <c r="D241" s="47" t="str">
        <f>INDEX(tbUnitTypeToIndex[Index],MATCH(tbUnitNameToType[[#This Row],[Type]],tbUnitTypeToIndex[Type],))</f>
        <v>铁英</v>
      </c>
    </row>
    <row r="242" spans="2:4" x14ac:dyDescent="0.3">
      <c r="B242" s="46" t="s">
        <v>1484</v>
      </c>
      <c r="C242" s="46" t="s">
        <v>380</v>
      </c>
      <c r="D242" s="47" t="str">
        <f>INDEX(tbUnitTypeToIndex[Index],MATCH(tbUnitNameToType[[#This Row],[Type]],tbUnitTypeToIndex[Type],))</f>
        <v>盾英</v>
      </c>
    </row>
    <row r="243" spans="2:4" x14ac:dyDescent="0.3">
      <c r="B243" s="46" t="s">
        <v>1485</v>
      </c>
      <c r="C243" s="46" t="s">
        <v>380</v>
      </c>
      <c r="D243" s="47" t="str">
        <f>INDEX(tbUnitTypeToIndex[Index],MATCH(tbUnitNameToType[[#This Row],[Type]],tbUnitTypeToIndex[Type],))</f>
        <v>盾英</v>
      </c>
    </row>
    <row r="244" spans="2:4" x14ac:dyDescent="0.3">
      <c r="B244" s="46" t="s">
        <v>1486</v>
      </c>
      <c r="C244" s="46" t="s">
        <v>380</v>
      </c>
      <c r="D244" s="47" t="str">
        <f>INDEX(tbUnitTypeToIndex[Index],MATCH(tbUnitNameToType[[#This Row],[Type]],tbUnitTypeToIndex[Type],))</f>
        <v>盾英</v>
      </c>
    </row>
    <row r="245" spans="2:4" x14ac:dyDescent="0.3">
      <c r="B245" s="46" t="s">
        <v>1487</v>
      </c>
      <c r="C245" s="46" t="s">
        <v>382</v>
      </c>
      <c r="D245" s="47" t="str">
        <f>INDEX(tbUnitTypeToIndex[Index],MATCH(tbUnitNameToType[[#This Row],[Type]],tbUnitTypeToIndex[Type],))</f>
        <v>铁英</v>
      </c>
    </row>
    <row r="246" spans="2:4" x14ac:dyDescent="0.3">
      <c r="B246" s="46" t="s">
        <v>1488</v>
      </c>
      <c r="C246" s="46" t="s">
        <v>384</v>
      </c>
      <c r="D246" s="47" t="str">
        <f>INDEX(tbUnitTypeToIndex[Index],MATCH(tbUnitNameToType[[#This Row],[Type]],tbUnitTypeToIndex[Type],))</f>
        <v>法英</v>
      </c>
    </row>
    <row r="247" spans="2:4" x14ac:dyDescent="0.3">
      <c r="B247" s="46" t="s">
        <v>1489</v>
      </c>
      <c r="C247" s="46" t="s">
        <v>382</v>
      </c>
      <c r="D247" s="47" t="str">
        <f>INDEX(tbUnitTypeToIndex[Index],MATCH(tbUnitNameToType[[#This Row],[Type]],tbUnitTypeToIndex[Type],))</f>
        <v>铁英</v>
      </c>
    </row>
    <row r="248" spans="2:4" x14ac:dyDescent="0.3">
      <c r="B248" s="46" t="s">
        <v>1490</v>
      </c>
      <c r="C248" s="46" t="s">
        <v>384</v>
      </c>
      <c r="D248" s="47" t="str">
        <f>INDEX(tbUnitTypeToIndex[Index],MATCH(tbUnitNameToType[[#This Row],[Type]],tbUnitTypeToIndex[Type],))</f>
        <v>法英</v>
      </c>
    </row>
    <row r="249" spans="2:4" x14ac:dyDescent="0.3">
      <c r="B249" s="46" t="s">
        <v>1491</v>
      </c>
      <c r="C249" s="46" t="s">
        <v>385</v>
      </c>
      <c r="D249" s="47" t="str">
        <f>INDEX(tbUnitTypeToIndex[Index],MATCH(tbUnitNameToType[[#This Row],[Type]],tbUnitTypeToIndex[Type],))</f>
        <v>刺英</v>
      </c>
    </row>
    <row r="250" spans="2:4" x14ac:dyDescent="0.3">
      <c r="B250" s="46" t="s">
        <v>1492</v>
      </c>
      <c r="C250" s="46" t="s">
        <v>383</v>
      </c>
      <c r="D250" s="47" t="str">
        <f>INDEX(tbUnitTypeToIndex[Index],MATCH(tbUnitNameToType[[#This Row],[Type]],tbUnitTypeToIndex[Type],))</f>
        <v>炼英</v>
      </c>
    </row>
    <row r="251" spans="2:4" x14ac:dyDescent="0.3">
      <c r="B251" s="46" t="s">
        <v>1493</v>
      </c>
      <c r="C251" s="46" t="s">
        <v>384</v>
      </c>
      <c r="D251" s="47" t="str">
        <f>INDEX(tbUnitTypeToIndex[Index],MATCH(tbUnitNameToType[[#This Row],[Type]],tbUnitTypeToIndex[Type],))</f>
        <v>法英</v>
      </c>
    </row>
    <row r="252" spans="2:4" x14ac:dyDescent="0.3">
      <c r="B252" s="46" t="s">
        <v>1494</v>
      </c>
      <c r="C252" s="46" t="s">
        <v>381</v>
      </c>
      <c r="D252" s="47" t="str">
        <f>INDEX(tbUnitTypeToIndex[Index],MATCH(tbUnitNameToType[[#This Row],[Type]],tbUnitTypeToIndex[Type],))</f>
        <v>强英</v>
      </c>
    </row>
    <row r="253" spans="2:4" x14ac:dyDescent="0.3">
      <c r="B253" s="46" t="s">
        <v>1495</v>
      </c>
      <c r="C253" s="46" t="s">
        <v>385</v>
      </c>
      <c r="D253" s="47" t="str">
        <f>INDEX(tbUnitTypeToIndex[Index],MATCH(tbUnitNameToType[[#This Row],[Type]],tbUnitTypeToIndex[Type],))</f>
        <v>刺英</v>
      </c>
    </row>
    <row r="254" spans="2:4" x14ac:dyDescent="0.3">
      <c r="B254" s="46" t="s">
        <v>1496</v>
      </c>
      <c r="C254" s="46" t="s">
        <v>382</v>
      </c>
      <c r="D254" s="47" t="str">
        <f>INDEX(tbUnitTypeToIndex[Index],MATCH(tbUnitNameToType[[#This Row],[Type]],tbUnitTypeToIndex[Type],))</f>
        <v>铁英</v>
      </c>
    </row>
    <row r="255" spans="2:4" x14ac:dyDescent="0.3">
      <c r="B255" s="46" t="s">
        <v>1497</v>
      </c>
      <c r="C255" s="46" t="s">
        <v>380</v>
      </c>
      <c r="D255" s="47" t="str">
        <f>INDEX(tbUnitTypeToIndex[Index],MATCH(tbUnitNameToType[[#This Row],[Type]],tbUnitTypeToIndex[Type],))</f>
        <v>盾英</v>
      </c>
    </row>
    <row r="256" spans="2:4" x14ac:dyDescent="0.3">
      <c r="B256" s="46" t="s">
        <v>1498</v>
      </c>
      <c r="C256" s="46" t="s">
        <v>382</v>
      </c>
      <c r="D256" s="47" t="str">
        <f>INDEX(tbUnitTypeToIndex[Index],MATCH(tbUnitNameToType[[#This Row],[Type]],tbUnitTypeToIndex[Type],))</f>
        <v>铁英</v>
      </c>
    </row>
    <row r="257" spans="2:4" x14ac:dyDescent="0.3">
      <c r="B257" s="46" t="s">
        <v>1499</v>
      </c>
      <c r="C257" s="46" t="s">
        <v>382</v>
      </c>
      <c r="D257" s="47" t="str">
        <f>INDEX(tbUnitTypeToIndex[Index],MATCH(tbUnitNameToType[[#This Row],[Type]],tbUnitTypeToIndex[Type],))</f>
        <v>铁英</v>
      </c>
    </row>
    <row r="258" spans="2:4" x14ac:dyDescent="0.3">
      <c r="B258" s="46" t="s">
        <v>1500</v>
      </c>
      <c r="C258" s="46" t="s">
        <v>380</v>
      </c>
      <c r="D258" s="47" t="str">
        <f>INDEX(tbUnitTypeToIndex[Index],MATCH(tbUnitNameToType[[#This Row],[Type]],tbUnitTypeToIndex[Type],))</f>
        <v>盾英</v>
      </c>
    </row>
    <row r="259" spans="2:4" x14ac:dyDescent="0.3">
      <c r="B259" s="46" t="s">
        <v>1501</v>
      </c>
      <c r="C259" s="46" t="s">
        <v>380</v>
      </c>
      <c r="D259" s="47" t="str">
        <f>INDEX(tbUnitTypeToIndex[Index],MATCH(tbUnitNameToType[[#This Row],[Type]],tbUnitTypeToIndex[Type],))</f>
        <v>盾英</v>
      </c>
    </row>
    <row r="260" spans="2:4" x14ac:dyDescent="0.3">
      <c r="B260" s="46" t="s">
        <v>1502</v>
      </c>
      <c r="C260" s="46" t="s">
        <v>380</v>
      </c>
      <c r="D260" s="47" t="str">
        <f>INDEX(tbUnitTypeToIndex[Index],MATCH(tbUnitNameToType[[#This Row],[Type]],tbUnitTypeToIndex[Type],))</f>
        <v>盾英</v>
      </c>
    </row>
    <row r="261" spans="2:4" x14ac:dyDescent="0.3">
      <c r="B261" s="46" t="s">
        <v>1503</v>
      </c>
      <c r="C261" s="46" t="s">
        <v>382</v>
      </c>
      <c r="D261" s="47" t="str">
        <f>INDEX(tbUnitTypeToIndex[Index],MATCH(tbUnitNameToType[[#This Row],[Type]],tbUnitTypeToIndex[Type],))</f>
        <v>铁英</v>
      </c>
    </row>
    <row r="262" spans="2:4" x14ac:dyDescent="0.3">
      <c r="B262" s="46" t="s">
        <v>1504</v>
      </c>
      <c r="C262" s="46" t="s">
        <v>381</v>
      </c>
      <c r="D262" s="47" t="str">
        <f>INDEX(tbUnitTypeToIndex[Index],MATCH(tbUnitNameToType[[#This Row],[Type]],tbUnitTypeToIndex[Type],))</f>
        <v>强英</v>
      </c>
    </row>
    <row r="263" spans="2:4" x14ac:dyDescent="0.3">
      <c r="B263" s="46" t="s">
        <v>1505</v>
      </c>
      <c r="C263" s="46" t="s">
        <v>380</v>
      </c>
      <c r="D263" s="47" t="str">
        <f>INDEX(tbUnitTypeToIndex[Index],MATCH(tbUnitNameToType[[#This Row],[Type]],tbUnitTypeToIndex[Type],))</f>
        <v>盾英</v>
      </c>
    </row>
    <row r="264" spans="2:4" x14ac:dyDescent="0.3">
      <c r="B264" s="46" t="s">
        <v>1506</v>
      </c>
      <c r="C264" s="46" t="s">
        <v>382</v>
      </c>
      <c r="D264" s="47" t="str">
        <f>INDEX(tbUnitTypeToIndex[Index],MATCH(tbUnitNameToType[[#This Row],[Type]],tbUnitTypeToIndex[Type],))</f>
        <v>铁英</v>
      </c>
    </row>
    <row r="265" spans="2:4" x14ac:dyDescent="0.3">
      <c r="B265" s="46" t="s">
        <v>1507</v>
      </c>
      <c r="C265" s="46" t="s">
        <v>382</v>
      </c>
      <c r="D265" s="47" t="str">
        <f>INDEX(tbUnitTypeToIndex[Index],MATCH(tbUnitNameToType[[#This Row],[Type]],tbUnitTypeToIndex[Type],))</f>
        <v>铁英</v>
      </c>
    </row>
    <row r="266" spans="2:4" x14ac:dyDescent="0.3">
      <c r="B266" s="46" t="s">
        <v>1508</v>
      </c>
      <c r="C266" s="46" t="s">
        <v>380</v>
      </c>
      <c r="D266" s="47" t="str">
        <f>INDEX(tbUnitTypeToIndex[Index],MATCH(tbUnitNameToType[[#This Row],[Type]],tbUnitTypeToIndex[Type],))</f>
        <v>盾英</v>
      </c>
    </row>
    <row r="267" spans="2:4" x14ac:dyDescent="0.3">
      <c r="B267" s="46" t="s">
        <v>1509</v>
      </c>
      <c r="C267" s="46" t="s">
        <v>385</v>
      </c>
      <c r="D267" s="47" t="str">
        <f>INDEX(tbUnitTypeToIndex[Index],MATCH(tbUnitNameToType[[#This Row],[Type]],tbUnitTypeToIndex[Type],))</f>
        <v>刺英</v>
      </c>
    </row>
    <row r="268" spans="2:4" x14ac:dyDescent="0.3">
      <c r="B268" s="46" t="s">
        <v>1510</v>
      </c>
      <c r="C268" s="46" t="s">
        <v>381</v>
      </c>
      <c r="D268" s="47" t="str">
        <f>INDEX(tbUnitTypeToIndex[Index],MATCH(tbUnitNameToType[[#This Row],[Type]],tbUnitTypeToIndex[Type],))</f>
        <v>强英</v>
      </c>
    </row>
    <row r="269" spans="2:4" x14ac:dyDescent="0.3">
      <c r="B269" s="46" t="s">
        <v>1511</v>
      </c>
      <c r="C269" s="46" t="s">
        <v>383</v>
      </c>
      <c r="D269" s="47" t="str">
        <f>INDEX(tbUnitTypeToIndex[Index],MATCH(tbUnitNameToType[[#This Row],[Type]],tbUnitTypeToIndex[Type],))</f>
        <v>炼英</v>
      </c>
    </row>
    <row r="270" spans="2:4" x14ac:dyDescent="0.3">
      <c r="B270" s="46" t="s">
        <v>1512</v>
      </c>
      <c r="C270" s="46" t="s">
        <v>380</v>
      </c>
      <c r="D270" s="47" t="str">
        <f>INDEX(tbUnitTypeToIndex[Index],MATCH(tbUnitNameToType[[#This Row],[Type]],tbUnitTypeToIndex[Type],))</f>
        <v>盾英</v>
      </c>
    </row>
    <row r="271" spans="2:4" x14ac:dyDescent="0.3">
      <c r="B271" s="46" t="s">
        <v>1513</v>
      </c>
      <c r="C271" s="46" t="s">
        <v>384</v>
      </c>
      <c r="D271" s="47" t="str">
        <f>INDEX(tbUnitTypeToIndex[Index],MATCH(tbUnitNameToType[[#This Row],[Type]],tbUnitTypeToIndex[Type],))</f>
        <v>法英</v>
      </c>
    </row>
    <row r="272" spans="2:4" x14ac:dyDescent="0.3">
      <c r="B272" s="46" t="s">
        <v>1514</v>
      </c>
      <c r="C272" s="46" t="s">
        <v>383</v>
      </c>
      <c r="D272" s="47" t="str">
        <f>INDEX(tbUnitTypeToIndex[Index],MATCH(tbUnitNameToType[[#This Row],[Type]],tbUnitTypeToIndex[Type],))</f>
        <v>炼英</v>
      </c>
    </row>
    <row r="273" spans="2:4" x14ac:dyDescent="0.3">
      <c r="B273" s="46" t="s">
        <v>1515</v>
      </c>
      <c r="C273" s="46" t="s">
        <v>385</v>
      </c>
      <c r="D273" s="47" t="str">
        <f>INDEX(tbUnitTypeToIndex[Index],MATCH(tbUnitNameToType[[#This Row],[Type]],tbUnitTypeToIndex[Type],))</f>
        <v>刺英</v>
      </c>
    </row>
    <row r="274" spans="2:4" x14ac:dyDescent="0.3">
      <c r="B274" s="46" t="s">
        <v>1516</v>
      </c>
      <c r="C274" s="46" t="s">
        <v>381</v>
      </c>
      <c r="D274" s="47" t="str">
        <f>INDEX(tbUnitTypeToIndex[Index],MATCH(tbUnitNameToType[[#This Row],[Type]],tbUnitTypeToIndex[Type],))</f>
        <v>强英</v>
      </c>
    </row>
    <row r="275" spans="2:4" x14ac:dyDescent="0.3">
      <c r="B275" s="46" t="s">
        <v>1517</v>
      </c>
      <c r="C275" s="46" t="s">
        <v>382</v>
      </c>
      <c r="D275" s="47" t="str">
        <f>INDEX(tbUnitTypeToIndex[Index],MATCH(tbUnitNameToType[[#This Row],[Type]],tbUnitTypeToIndex[Type],))</f>
        <v>铁英</v>
      </c>
    </row>
    <row r="276" spans="2:4" x14ac:dyDescent="0.3">
      <c r="B276" s="46" t="s">
        <v>1518</v>
      </c>
      <c r="C276" s="46" t="s">
        <v>384</v>
      </c>
      <c r="D276" s="47" t="str">
        <f>INDEX(tbUnitTypeToIndex[Index],MATCH(tbUnitNameToType[[#This Row],[Type]],tbUnitTypeToIndex[Type],))</f>
        <v>法英</v>
      </c>
    </row>
    <row r="277" spans="2:4" x14ac:dyDescent="0.3">
      <c r="B277" s="46" t="s">
        <v>1519</v>
      </c>
      <c r="C277" s="46" t="s">
        <v>381</v>
      </c>
      <c r="D277" s="47" t="str">
        <f>INDEX(tbUnitTypeToIndex[Index],MATCH(tbUnitNameToType[[#This Row],[Type]],tbUnitTypeToIndex[Type],))</f>
        <v>强英</v>
      </c>
    </row>
    <row r="278" spans="2:4" x14ac:dyDescent="0.3">
      <c r="B278" s="46" t="s">
        <v>1520</v>
      </c>
      <c r="C278" s="46" t="s">
        <v>380</v>
      </c>
      <c r="D278" s="47" t="str">
        <f>INDEX(tbUnitTypeToIndex[Index],MATCH(tbUnitNameToType[[#This Row],[Type]],tbUnitTypeToIndex[Type],))</f>
        <v>盾英</v>
      </c>
    </row>
    <row r="279" spans="2:4" x14ac:dyDescent="0.3">
      <c r="B279" s="46" t="s">
        <v>1521</v>
      </c>
      <c r="C279" s="46" t="s">
        <v>383</v>
      </c>
      <c r="D279" s="47" t="str">
        <f>INDEX(tbUnitTypeToIndex[Index],MATCH(tbUnitNameToType[[#This Row],[Type]],tbUnitTypeToIndex[Type],))</f>
        <v>炼英</v>
      </c>
    </row>
    <row r="280" spans="2:4" x14ac:dyDescent="0.3">
      <c r="B280" s="46" t="s">
        <v>1522</v>
      </c>
      <c r="C280" s="46" t="s">
        <v>380</v>
      </c>
      <c r="D280" s="47" t="str">
        <f>INDEX(tbUnitTypeToIndex[Index],MATCH(tbUnitNameToType[[#This Row],[Type]],tbUnitTypeToIndex[Type],))</f>
        <v>盾英</v>
      </c>
    </row>
    <row r="281" spans="2:4" x14ac:dyDescent="0.3">
      <c r="B281" s="46" t="s">
        <v>1523</v>
      </c>
      <c r="C281" s="46" t="s">
        <v>381</v>
      </c>
      <c r="D281" s="47" t="str">
        <f>INDEX(tbUnitTypeToIndex[Index],MATCH(tbUnitNameToType[[#This Row],[Type]],tbUnitTypeToIndex[Type],))</f>
        <v>强英</v>
      </c>
    </row>
    <row r="282" spans="2:4" x14ac:dyDescent="0.3">
      <c r="B282" s="46" t="s">
        <v>1524</v>
      </c>
      <c r="C282" s="46" t="s">
        <v>380</v>
      </c>
      <c r="D282" s="47" t="str">
        <f>INDEX(tbUnitTypeToIndex[Index],MATCH(tbUnitNameToType[[#This Row],[Type]],tbUnitTypeToIndex[Type],))</f>
        <v>盾英</v>
      </c>
    </row>
    <row r="283" spans="2:4" x14ac:dyDescent="0.3">
      <c r="B283" s="46" t="s">
        <v>1525</v>
      </c>
      <c r="C283" s="46" t="s">
        <v>383</v>
      </c>
      <c r="D283" s="47" t="str">
        <f>INDEX(tbUnitTypeToIndex[Index],MATCH(tbUnitNameToType[[#This Row],[Type]],tbUnitTypeToIndex[Type],))</f>
        <v>炼英</v>
      </c>
    </row>
    <row r="284" spans="2:4" x14ac:dyDescent="0.3">
      <c r="B284" s="46" t="s">
        <v>1526</v>
      </c>
      <c r="C284" s="46" t="s">
        <v>382</v>
      </c>
      <c r="D284" s="47" t="str">
        <f>INDEX(tbUnitTypeToIndex[Index],MATCH(tbUnitNameToType[[#This Row],[Type]],tbUnitTypeToIndex[Type],))</f>
        <v>铁英</v>
      </c>
    </row>
    <row r="285" spans="2:4" x14ac:dyDescent="0.3">
      <c r="B285" s="46" t="s">
        <v>1527</v>
      </c>
      <c r="C285" s="46" t="s">
        <v>385</v>
      </c>
      <c r="D285" s="47" t="str">
        <f>INDEX(tbUnitTypeToIndex[Index],MATCH(tbUnitNameToType[[#This Row],[Type]],tbUnitTypeToIndex[Type],))</f>
        <v>刺英</v>
      </c>
    </row>
    <row r="286" spans="2:4" x14ac:dyDescent="0.3">
      <c r="B286" s="46" t="s">
        <v>1528</v>
      </c>
      <c r="C286" s="46" t="s">
        <v>380</v>
      </c>
      <c r="D286" s="47" t="str">
        <f>INDEX(tbUnitTypeToIndex[Index],MATCH(tbUnitNameToType[[#This Row],[Type]],tbUnitTypeToIndex[Type],))</f>
        <v>盾英</v>
      </c>
    </row>
    <row r="287" spans="2:4" x14ac:dyDescent="0.3">
      <c r="B287" s="46" t="s">
        <v>1529</v>
      </c>
      <c r="C287" s="46" t="s">
        <v>382</v>
      </c>
      <c r="D287" s="47" t="str">
        <f>INDEX(tbUnitTypeToIndex[Index],MATCH(tbUnitNameToType[[#This Row],[Type]],tbUnitTypeToIndex[Type],))</f>
        <v>铁英</v>
      </c>
    </row>
    <row r="288" spans="2:4" x14ac:dyDescent="0.3">
      <c r="B288" s="46" t="s">
        <v>1530</v>
      </c>
      <c r="C288" s="46" t="s">
        <v>382</v>
      </c>
      <c r="D288" s="47" t="str">
        <f>INDEX(tbUnitTypeToIndex[Index],MATCH(tbUnitNameToType[[#This Row],[Type]],tbUnitTypeToIndex[Type],))</f>
        <v>铁英</v>
      </c>
    </row>
    <row r="289" spans="2:4" x14ac:dyDescent="0.3">
      <c r="B289" s="46" t="s">
        <v>1531</v>
      </c>
      <c r="C289" s="46" t="s">
        <v>382</v>
      </c>
      <c r="D289" s="47" t="str">
        <f>INDEX(tbUnitTypeToIndex[Index],MATCH(tbUnitNameToType[[#This Row],[Type]],tbUnitTypeToIndex[Type],))</f>
        <v>铁英</v>
      </c>
    </row>
    <row r="290" spans="2:4" x14ac:dyDescent="0.3">
      <c r="B290" s="46" t="s">
        <v>1532</v>
      </c>
      <c r="C290" s="46" t="s">
        <v>380</v>
      </c>
      <c r="D290" s="47" t="str">
        <f>INDEX(tbUnitTypeToIndex[Index],MATCH(tbUnitNameToType[[#This Row],[Type]],tbUnitTypeToIndex[Type],))</f>
        <v>盾英</v>
      </c>
    </row>
    <row r="291" spans="2:4" x14ac:dyDescent="0.3">
      <c r="B291" s="46" t="s">
        <v>1533</v>
      </c>
      <c r="C291" s="46" t="s">
        <v>381</v>
      </c>
      <c r="D291" s="47" t="str">
        <f>INDEX(tbUnitTypeToIndex[Index],MATCH(tbUnitNameToType[[#This Row],[Type]],tbUnitTypeToIndex[Type],))</f>
        <v>强英</v>
      </c>
    </row>
    <row r="292" spans="2:4" x14ac:dyDescent="0.3">
      <c r="B292" s="46" t="s">
        <v>1534</v>
      </c>
      <c r="C292" s="46" t="s">
        <v>384</v>
      </c>
      <c r="D292" s="47" t="str">
        <f>INDEX(tbUnitTypeToIndex[Index],MATCH(tbUnitNameToType[[#This Row],[Type]],tbUnitTypeToIndex[Type],))</f>
        <v>法英</v>
      </c>
    </row>
    <row r="293" spans="2:4" x14ac:dyDescent="0.3">
      <c r="B293" s="46" t="s">
        <v>1535</v>
      </c>
      <c r="C293" s="46" t="s">
        <v>381</v>
      </c>
      <c r="D293" s="47" t="str">
        <f>INDEX(tbUnitTypeToIndex[Index],MATCH(tbUnitNameToType[[#This Row],[Type]],tbUnitTypeToIndex[Type],))</f>
        <v>强英</v>
      </c>
    </row>
    <row r="294" spans="2:4" x14ac:dyDescent="0.3">
      <c r="B294" s="46" t="s">
        <v>1536</v>
      </c>
      <c r="C294" s="46" t="s">
        <v>383</v>
      </c>
      <c r="D294" s="47" t="str">
        <f>INDEX(tbUnitTypeToIndex[Index],MATCH(tbUnitNameToType[[#This Row],[Type]],tbUnitTypeToIndex[Type],))</f>
        <v>炼英</v>
      </c>
    </row>
    <row r="295" spans="2:4" x14ac:dyDescent="0.3">
      <c r="B295" s="46" t="s">
        <v>1537</v>
      </c>
      <c r="C295" s="46" t="s">
        <v>383</v>
      </c>
      <c r="D295" s="47" t="str">
        <f>INDEX(tbUnitTypeToIndex[Index],MATCH(tbUnitNameToType[[#This Row],[Type]],tbUnitTypeToIndex[Type],))</f>
        <v>炼英</v>
      </c>
    </row>
    <row r="296" spans="2:4" x14ac:dyDescent="0.3">
      <c r="B296" s="46" t="s">
        <v>1538</v>
      </c>
      <c r="C296" s="46" t="s">
        <v>380</v>
      </c>
      <c r="D296" s="47" t="str">
        <f>INDEX(tbUnitTypeToIndex[Index],MATCH(tbUnitNameToType[[#This Row],[Type]],tbUnitTypeToIndex[Type],))</f>
        <v>盾英</v>
      </c>
    </row>
    <row r="297" spans="2:4" x14ac:dyDescent="0.3">
      <c r="B297" s="46" t="s">
        <v>1539</v>
      </c>
      <c r="C297" s="46" t="s">
        <v>380</v>
      </c>
      <c r="D297" s="47" t="str">
        <f>INDEX(tbUnitTypeToIndex[Index],MATCH(tbUnitNameToType[[#This Row],[Type]],tbUnitTypeToIndex[Type],))</f>
        <v>盾英</v>
      </c>
    </row>
    <row r="298" spans="2:4" x14ac:dyDescent="0.3">
      <c r="B298" s="46" t="s">
        <v>1540</v>
      </c>
      <c r="C298" s="46" t="s">
        <v>381</v>
      </c>
      <c r="D298" s="47" t="str">
        <f>INDEX(tbUnitTypeToIndex[Index],MATCH(tbUnitNameToType[[#This Row],[Type]],tbUnitTypeToIndex[Type],))</f>
        <v>强英</v>
      </c>
    </row>
    <row r="299" spans="2:4" x14ac:dyDescent="0.3">
      <c r="B299" s="46" t="s">
        <v>1541</v>
      </c>
      <c r="C299" s="46" t="s">
        <v>382</v>
      </c>
      <c r="D299" s="47" t="str">
        <f>INDEX(tbUnitTypeToIndex[Index],MATCH(tbUnitNameToType[[#This Row],[Type]],tbUnitTypeToIndex[Type],))</f>
        <v>铁英</v>
      </c>
    </row>
    <row r="300" spans="2:4" x14ac:dyDescent="0.3">
      <c r="B300" s="46" t="s">
        <v>1542</v>
      </c>
      <c r="C300" s="46" t="s">
        <v>382</v>
      </c>
      <c r="D300" s="47" t="str">
        <f>INDEX(tbUnitTypeToIndex[Index],MATCH(tbUnitNameToType[[#This Row],[Type]],tbUnitTypeToIndex[Type],))</f>
        <v>铁英</v>
      </c>
    </row>
    <row r="301" spans="2:4" x14ac:dyDescent="0.3">
      <c r="B301" s="46" t="s">
        <v>1543</v>
      </c>
      <c r="C301" s="46" t="s">
        <v>380</v>
      </c>
      <c r="D301" s="47" t="str">
        <f>INDEX(tbUnitTypeToIndex[Index],MATCH(tbUnitNameToType[[#This Row],[Type]],tbUnitTypeToIndex[Type],))</f>
        <v>盾英</v>
      </c>
    </row>
    <row r="302" spans="2:4" x14ac:dyDescent="0.3">
      <c r="B302" s="46" t="s">
        <v>1544</v>
      </c>
      <c r="C302" s="46" t="s">
        <v>380</v>
      </c>
      <c r="D302" s="47" t="str">
        <f>INDEX(tbUnitTypeToIndex[Index],MATCH(tbUnitNameToType[[#This Row],[Type]],tbUnitTypeToIndex[Type],))</f>
        <v>盾英</v>
      </c>
    </row>
    <row r="303" spans="2:4" x14ac:dyDescent="0.3">
      <c r="B303" s="46" t="s">
        <v>1545</v>
      </c>
      <c r="C303" s="46" t="s">
        <v>380</v>
      </c>
      <c r="D303" s="47" t="str">
        <f>INDEX(tbUnitTypeToIndex[Index],MATCH(tbUnitNameToType[[#This Row],[Type]],tbUnitTypeToIndex[Type],))</f>
        <v>盾英</v>
      </c>
    </row>
    <row r="304" spans="2:4" x14ac:dyDescent="0.3">
      <c r="B304" s="46" t="s">
        <v>1546</v>
      </c>
      <c r="C304" s="46" t="s">
        <v>381</v>
      </c>
      <c r="D304" s="47" t="str">
        <f>INDEX(tbUnitTypeToIndex[Index],MATCH(tbUnitNameToType[[#This Row],[Type]],tbUnitTypeToIndex[Type],))</f>
        <v>强英</v>
      </c>
    </row>
    <row r="305" spans="2:4" x14ac:dyDescent="0.3">
      <c r="B305" s="46" t="s">
        <v>1547</v>
      </c>
      <c r="C305" s="46" t="s">
        <v>385</v>
      </c>
      <c r="D305" s="47" t="str">
        <f>INDEX(tbUnitTypeToIndex[Index],MATCH(tbUnitNameToType[[#This Row],[Type]],tbUnitTypeToIndex[Type],))</f>
        <v>刺英</v>
      </c>
    </row>
    <row r="306" spans="2:4" x14ac:dyDescent="0.3">
      <c r="B306" s="46" t="s">
        <v>1548</v>
      </c>
      <c r="C306" s="46" t="s">
        <v>383</v>
      </c>
      <c r="D306" s="47" t="str">
        <f>INDEX(tbUnitTypeToIndex[Index],MATCH(tbUnitNameToType[[#This Row],[Type]],tbUnitTypeToIndex[Type],))</f>
        <v>炼英</v>
      </c>
    </row>
    <row r="307" spans="2:4" x14ac:dyDescent="0.3">
      <c r="B307" s="46" t="s">
        <v>1549</v>
      </c>
      <c r="C307" s="46" t="s">
        <v>380</v>
      </c>
      <c r="D307" s="47" t="str">
        <f>INDEX(tbUnitTypeToIndex[Index],MATCH(tbUnitNameToType[[#This Row],[Type]],tbUnitTypeToIndex[Type],))</f>
        <v>盾英</v>
      </c>
    </row>
    <row r="308" spans="2:4" x14ac:dyDescent="0.3">
      <c r="B308" s="46" t="s">
        <v>1550</v>
      </c>
      <c r="C308" s="46" t="s">
        <v>382</v>
      </c>
      <c r="D308" s="47" t="str">
        <f>INDEX(tbUnitTypeToIndex[Index],MATCH(tbUnitNameToType[[#This Row],[Type]],tbUnitTypeToIndex[Type],))</f>
        <v>铁英</v>
      </c>
    </row>
    <row r="309" spans="2:4" x14ac:dyDescent="0.3">
      <c r="B309" s="46" t="s">
        <v>1551</v>
      </c>
      <c r="C309" s="46" t="s">
        <v>380</v>
      </c>
      <c r="D309" s="47" t="str">
        <f>INDEX(tbUnitTypeToIndex[Index],MATCH(tbUnitNameToType[[#This Row],[Type]],tbUnitTypeToIndex[Type],))</f>
        <v>盾英</v>
      </c>
    </row>
    <row r="310" spans="2:4" x14ac:dyDescent="0.3">
      <c r="B310" s="46" t="s">
        <v>1552</v>
      </c>
      <c r="C310" s="46" t="s">
        <v>381</v>
      </c>
      <c r="D310" s="47" t="str">
        <f>INDEX(tbUnitTypeToIndex[Index],MATCH(tbUnitNameToType[[#This Row],[Type]],tbUnitTypeToIndex[Type],))</f>
        <v>强英</v>
      </c>
    </row>
    <row r="311" spans="2:4" x14ac:dyDescent="0.3">
      <c r="B311" s="46" t="s">
        <v>1553</v>
      </c>
      <c r="C311" s="46" t="s">
        <v>380</v>
      </c>
      <c r="D311" s="47" t="str">
        <f>INDEX(tbUnitTypeToIndex[Index],MATCH(tbUnitNameToType[[#This Row],[Type]],tbUnitTypeToIndex[Type],))</f>
        <v>盾英</v>
      </c>
    </row>
    <row r="312" spans="2:4" x14ac:dyDescent="0.3">
      <c r="B312" s="46" t="s">
        <v>1554</v>
      </c>
      <c r="C312" s="46" t="s">
        <v>382</v>
      </c>
      <c r="D312" s="47" t="str">
        <f>INDEX(tbUnitTypeToIndex[Index],MATCH(tbUnitNameToType[[#This Row],[Type]],tbUnitTypeToIndex[Type],))</f>
        <v>铁英</v>
      </c>
    </row>
    <row r="313" spans="2:4" x14ac:dyDescent="0.3">
      <c r="B313" s="46" t="s">
        <v>1555</v>
      </c>
      <c r="C313" s="46" t="s">
        <v>380</v>
      </c>
      <c r="D313" s="47" t="str">
        <f>INDEX(tbUnitTypeToIndex[Index],MATCH(tbUnitNameToType[[#This Row],[Type]],tbUnitTypeToIndex[Type],))</f>
        <v>盾英</v>
      </c>
    </row>
    <row r="314" spans="2:4" x14ac:dyDescent="0.3">
      <c r="B314" s="46" t="s">
        <v>1556</v>
      </c>
      <c r="C314" s="46" t="s">
        <v>382</v>
      </c>
      <c r="D314" s="47" t="str">
        <f>INDEX(tbUnitTypeToIndex[Index],MATCH(tbUnitNameToType[[#This Row],[Type]],tbUnitTypeToIndex[Type],))</f>
        <v>铁英</v>
      </c>
    </row>
    <row r="315" spans="2:4" x14ac:dyDescent="0.3">
      <c r="B315" s="46" t="s">
        <v>1557</v>
      </c>
      <c r="C315" s="46" t="s">
        <v>381</v>
      </c>
      <c r="D315" s="47" t="str">
        <f>INDEX(tbUnitTypeToIndex[Index],MATCH(tbUnitNameToType[[#This Row],[Type]],tbUnitTypeToIndex[Type],))</f>
        <v>强英</v>
      </c>
    </row>
    <row r="316" spans="2:4" x14ac:dyDescent="0.3">
      <c r="B316" s="46" t="s">
        <v>1558</v>
      </c>
      <c r="C316" s="46" t="s">
        <v>382</v>
      </c>
      <c r="D316" s="47" t="str">
        <f>INDEX(tbUnitTypeToIndex[Index],MATCH(tbUnitNameToType[[#This Row],[Type]],tbUnitTypeToIndex[Type],))</f>
        <v>铁英</v>
      </c>
    </row>
    <row r="317" spans="2:4" x14ac:dyDescent="0.3">
      <c r="B317" s="46" t="s">
        <v>1559</v>
      </c>
      <c r="C317" s="46" t="s">
        <v>382</v>
      </c>
      <c r="D317" s="47" t="str">
        <f>INDEX(tbUnitTypeToIndex[Index],MATCH(tbUnitNameToType[[#This Row],[Type]],tbUnitTypeToIndex[Type],))</f>
        <v>铁英</v>
      </c>
    </row>
    <row r="318" spans="2:4" x14ac:dyDescent="0.3">
      <c r="B318" s="46" t="s">
        <v>1560</v>
      </c>
      <c r="C318" s="46" t="s">
        <v>382</v>
      </c>
      <c r="D318" s="47" t="str">
        <f>INDEX(tbUnitTypeToIndex[Index],MATCH(tbUnitNameToType[[#This Row],[Type]],tbUnitTypeToIndex[Type],))</f>
        <v>铁英</v>
      </c>
    </row>
    <row r="319" spans="2:4" x14ac:dyDescent="0.3">
      <c r="B319" s="46" t="s">
        <v>1561</v>
      </c>
      <c r="C319" s="46" t="s">
        <v>384</v>
      </c>
      <c r="D319" s="47" t="str">
        <f>INDEX(tbUnitTypeToIndex[Index],MATCH(tbUnitNameToType[[#This Row],[Type]],tbUnitTypeToIndex[Type],))</f>
        <v>法英</v>
      </c>
    </row>
    <row r="320" spans="2:4" x14ac:dyDescent="0.3">
      <c r="B320" s="46" t="s">
        <v>1562</v>
      </c>
      <c r="C320" s="46" t="s">
        <v>380</v>
      </c>
      <c r="D320" s="47" t="str">
        <f>INDEX(tbUnitTypeToIndex[Index],MATCH(tbUnitNameToType[[#This Row],[Type]],tbUnitTypeToIndex[Type],))</f>
        <v>盾英</v>
      </c>
    </row>
    <row r="321" spans="2:4" x14ac:dyDescent="0.3">
      <c r="B321" s="46" t="s">
        <v>1563</v>
      </c>
      <c r="C321" s="46" t="s">
        <v>380</v>
      </c>
      <c r="D321" s="47" t="str">
        <f>INDEX(tbUnitTypeToIndex[Index],MATCH(tbUnitNameToType[[#This Row],[Type]],tbUnitTypeToIndex[Type],))</f>
        <v>盾英</v>
      </c>
    </row>
    <row r="322" spans="2:4" x14ac:dyDescent="0.3">
      <c r="B322" s="46" t="s">
        <v>1564</v>
      </c>
      <c r="C322" s="46" t="s">
        <v>384</v>
      </c>
      <c r="D322" s="47" t="str">
        <f>INDEX(tbUnitTypeToIndex[Index],MATCH(tbUnitNameToType[[#This Row],[Type]],tbUnitTypeToIndex[Type],))</f>
        <v>法英</v>
      </c>
    </row>
    <row r="323" spans="2:4" x14ac:dyDescent="0.3">
      <c r="B323" s="46" t="s">
        <v>1565</v>
      </c>
      <c r="C323" s="46" t="s">
        <v>380</v>
      </c>
      <c r="D323" s="47" t="str">
        <f>INDEX(tbUnitTypeToIndex[Index],MATCH(tbUnitNameToType[[#This Row],[Type]],tbUnitTypeToIndex[Type],))</f>
        <v>盾英</v>
      </c>
    </row>
    <row r="324" spans="2:4" x14ac:dyDescent="0.3">
      <c r="B324" s="46" t="s">
        <v>1566</v>
      </c>
      <c r="C324" s="46" t="s">
        <v>382</v>
      </c>
      <c r="D324" s="47" t="str">
        <f>INDEX(tbUnitTypeToIndex[Index],MATCH(tbUnitNameToType[[#This Row],[Type]],tbUnitTypeToIndex[Type],))</f>
        <v>铁英</v>
      </c>
    </row>
    <row r="325" spans="2:4" x14ac:dyDescent="0.3">
      <c r="B325" s="46" t="s">
        <v>1567</v>
      </c>
      <c r="C325" s="46" t="s">
        <v>380</v>
      </c>
      <c r="D325" s="47" t="str">
        <f>INDEX(tbUnitTypeToIndex[Index],MATCH(tbUnitNameToType[[#This Row],[Type]],tbUnitTypeToIndex[Type],))</f>
        <v>盾英</v>
      </c>
    </row>
    <row r="326" spans="2:4" x14ac:dyDescent="0.3">
      <c r="B326" s="46" t="s">
        <v>1568</v>
      </c>
      <c r="C326" s="46" t="s">
        <v>381</v>
      </c>
      <c r="D326" s="47" t="str">
        <f>INDEX(tbUnitTypeToIndex[Index],MATCH(tbUnitNameToType[[#This Row],[Type]],tbUnitTypeToIndex[Type],))</f>
        <v>强英</v>
      </c>
    </row>
    <row r="327" spans="2:4" x14ac:dyDescent="0.3">
      <c r="B327" s="46" t="s">
        <v>1569</v>
      </c>
      <c r="C327" s="46" t="s">
        <v>381</v>
      </c>
      <c r="D327" s="47" t="str">
        <f>INDEX(tbUnitTypeToIndex[Index],MATCH(tbUnitNameToType[[#This Row],[Type]],tbUnitTypeToIndex[Type],))</f>
        <v>强英</v>
      </c>
    </row>
    <row r="328" spans="2:4" x14ac:dyDescent="0.3">
      <c r="B328" s="46" t="s">
        <v>1570</v>
      </c>
      <c r="C328" s="46" t="s">
        <v>382</v>
      </c>
      <c r="D328" s="47" t="str">
        <f>INDEX(tbUnitTypeToIndex[Index],MATCH(tbUnitNameToType[[#This Row],[Type]],tbUnitTypeToIndex[Type],))</f>
        <v>铁英</v>
      </c>
    </row>
    <row r="329" spans="2:4" x14ac:dyDescent="0.3">
      <c r="B329" s="46" t="s">
        <v>1571</v>
      </c>
      <c r="C329" s="46" t="s">
        <v>381</v>
      </c>
      <c r="D329" s="47" t="str">
        <f>INDEX(tbUnitTypeToIndex[Index],MATCH(tbUnitNameToType[[#This Row],[Type]],tbUnitTypeToIndex[Type],))</f>
        <v>强英</v>
      </c>
    </row>
    <row r="330" spans="2:4" x14ac:dyDescent="0.3">
      <c r="B330" s="46" t="s">
        <v>1572</v>
      </c>
      <c r="C330" s="46" t="s">
        <v>382</v>
      </c>
      <c r="D330" s="47" t="str">
        <f>INDEX(tbUnitTypeToIndex[Index],MATCH(tbUnitNameToType[[#This Row],[Type]],tbUnitTypeToIndex[Type],))</f>
        <v>铁英</v>
      </c>
    </row>
    <row r="331" spans="2:4" x14ac:dyDescent="0.3">
      <c r="B331" s="46" t="s">
        <v>1573</v>
      </c>
      <c r="C331" s="46" t="s">
        <v>380</v>
      </c>
      <c r="D331" s="47" t="str">
        <f>INDEX(tbUnitTypeToIndex[Index],MATCH(tbUnitNameToType[[#This Row],[Type]],tbUnitTypeToIndex[Type],))</f>
        <v>盾英</v>
      </c>
    </row>
    <row r="332" spans="2:4" x14ac:dyDescent="0.3">
      <c r="B332" s="46" t="s">
        <v>1574</v>
      </c>
      <c r="C332" s="46" t="s">
        <v>380</v>
      </c>
      <c r="D332" s="47" t="str">
        <f>INDEX(tbUnitTypeToIndex[Index],MATCH(tbUnitNameToType[[#This Row],[Type]],tbUnitTypeToIndex[Type],))</f>
        <v>盾英</v>
      </c>
    </row>
    <row r="333" spans="2:4" x14ac:dyDescent="0.3">
      <c r="B333" s="46" t="s">
        <v>1575</v>
      </c>
      <c r="C333" s="46" t="s">
        <v>384</v>
      </c>
      <c r="D333" s="47" t="str">
        <f>INDEX(tbUnitTypeToIndex[Index],MATCH(tbUnitNameToType[[#This Row],[Type]],tbUnitTypeToIndex[Type],))</f>
        <v>法英</v>
      </c>
    </row>
    <row r="334" spans="2:4" x14ac:dyDescent="0.3">
      <c r="B334" s="46" t="s">
        <v>1576</v>
      </c>
      <c r="C334" s="46" t="s">
        <v>380</v>
      </c>
      <c r="D334" s="47" t="str">
        <f>INDEX(tbUnitTypeToIndex[Index],MATCH(tbUnitNameToType[[#This Row],[Type]],tbUnitTypeToIndex[Type],))</f>
        <v>盾英</v>
      </c>
    </row>
    <row r="335" spans="2:4" x14ac:dyDescent="0.3">
      <c r="B335" s="46" t="s">
        <v>1577</v>
      </c>
      <c r="C335" s="46" t="s">
        <v>380</v>
      </c>
      <c r="D335" s="47" t="str">
        <f>INDEX(tbUnitTypeToIndex[Index],MATCH(tbUnitNameToType[[#This Row],[Type]],tbUnitTypeToIndex[Type],))</f>
        <v>盾英</v>
      </c>
    </row>
    <row r="336" spans="2:4" x14ac:dyDescent="0.3">
      <c r="B336" s="46" t="s">
        <v>1578</v>
      </c>
      <c r="C336" s="46" t="s">
        <v>382</v>
      </c>
      <c r="D336" s="47" t="str">
        <f>INDEX(tbUnitTypeToIndex[Index],MATCH(tbUnitNameToType[[#This Row],[Type]],tbUnitTypeToIndex[Type],))</f>
        <v>铁英</v>
      </c>
    </row>
    <row r="337" spans="2:4" x14ac:dyDescent="0.3">
      <c r="B337" s="46" t="s">
        <v>1579</v>
      </c>
      <c r="C337" s="46" t="s">
        <v>380</v>
      </c>
      <c r="D337" s="47" t="str">
        <f>INDEX(tbUnitTypeToIndex[Index],MATCH(tbUnitNameToType[[#This Row],[Type]],tbUnitTypeToIndex[Type],))</f>
        <v>盾英</v>
      </c>
    </row>
    <row r="338" spans="2:4" x14ac:dyDescent="0.3">
      <c r="B338" s="46" t="s">
        <v>1580</v>
      </c>
      <c r="C338" s="46" t="s">
        <v>381</v>
      </c>
      <c r="D338" s="47" t="str">
        <f>INDEX(tbUnitTypeToIndex[Index],MATCH(tbUnitNameToType[[#This Row],[Type]],tbUnitTypeToIndex[Type],))</f>
        <v>强英</v>
      </c>
    </row>
    <row r="339" spans="2:4" x14ac:dyDescent="0.3">
      <c r="B339" s="46" t="s">
        <v>1581</v>
      </c>
      <c r="C339" s="46" t="s">
        <v>386</v>
      </c>
      <c r="D339" s="47" t="str">
        <f>INDEX(tbUnitTypeToIndex[Index],MATCH(tbUnitNameToType[[#This Row],[Type]],tbUnitTypeToIndex[Type],))</f>
        <v>铁英</v>
      </c>
    </row>
    <row r="340" spans="2:4" x14ac:dyDescent="0.3">
      <c r="B340" s="46" t="s">
        <v>1582</v>
      </c>
      <c r="C340" s="46" t="s">
        <v>454</v>
      </c>
      <c r="D340" s="47" t="str">
        <f>INDEX(tbUnitTypeToIndex[Index],MATCH(tbUnitNameToType[[#This Row],[Type]],tbUnitTypeToIndex[Type],))</f>
        <v>强英</v>
      </c>
    </row>
    <row r="341" spans="2:4" x14ac:dyDescent="0.3">
      <c r="B341" s="46" t="s">
        <v>1583</v>
      </c>
      <c r="C341" s="46" t="s">
        <v>381</v>
      </c>
      <c r="D341" s="47" t="str">
        <f>INDEX(tbUnitTypeToIndex[Index],MATCH(tbUnitNameToType[[#This Row],[Type]],tbUnitTypeToIndex[Type],))</f>
        <v>强英</v>
      </c>
    </row>
    <row r="342" spans="2:4" x14ac:dyDescent="0.3">
      <c r="B342" s="46" t="s">
        <v>1584</v>
      </c>
      <c r="C342" s="46" t="s">
        <v>380</v>
      </c>
      <c r="D342" s="47" t="str">
        <f>INDEX(tbUnitTypeToIndex[Index],MATCH(tbUnitNameToType[[#This Row],[Type]],tbUnitTypeToIndex[Type],))</f>
        <v>盾英</v>
      </c>
    </row>
    <row r="343" spans="2:4" x14ac:dyDescent="0.3">
      <c r="B343" s="46" t="s">
        <v>1585</v>
      </c>
      <c r="C343" s="46" t="s">
        <v>380</v>
      </c>
      <c r="D343" s="47" t="str">
        <f>INDEX(tbUnitTypeToIndex[Index],MATCH(tbUnitNameToType[[#This Row],[Type]],tbUnitTypeToIndex[Type],))</f>
        <v>盾英</v>
      </c>
    </row>
    <row r="344" spans="2:4" x14ac:dyDescent="0.3">
      <c r="B344" s="49" t="s">
        <v>1641</v>
      </c>
      <c r="C344" s="49" t="s">
        <v>1644</v>
      </c>
      <c r="D344" s="50" t="str">
        <f>INDEX(tbUnitTypeToIndex[Index],MATCH(tbUnitNameToType[[#This Row],[Type]],tbUnitTypeToIndex[Type],))</f>
        <v>炼英</v>
      </c>
    </row>
    <row r="345" spans="2:4" x14ac:dyDescent="0.3">
      <c r="B345" s="49" t="s">
        <v>1642</v>
      </c>
      <c r="C345" s="49" t="s">
        <v>1645</v>
      </c>
      <c r="D345" s="50" t="str">
        <f>INDEX(tbUnitTypeToIndex[Index],MATCH(tbUnitNameToType[[#This Row],[Type]],tbUnitTypeToIndex[Type],))</f>
        <v>盾英</v>
      </c>
    </row>
  </sheetData>
  <phoneticPr fontId="38" type="noConversion"/>
  <conditionalFormatting sqref="B3:B345">
    <cfRule type="duplicateValues" dxfId="40" priority="74"/>
  </conditionalFormatting>
  <dataValidations count="1">
    <dataValidation type="list" allowBlank="1" showInputMessage="1" showErrorMessage="1" sqref="I5 I10:I15 J14 I17:I19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H29" sqref="H29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1267</v>
      </c>
      <c r="K8" s="34" t="s">
        <v>1268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14"/>
  <sheetViews>
    <sheetView showGridLines="0" zoomScale="90" zoomScaleNormal="90" workbookViewId="0">
      <pane ySplit="2" topLeftCell="A3" activePane="bottomLeft" state="frozen"/>
      <selection pane="bottomLeft" activeCell="C3" sqref="C3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1266</v>
      </c>
      <c r="C2" s="38" t="s">
        <v>470</v>
      </c>
      <c r="D2" s="38" t="s">
        <v>482</v>
      </c>
      <c r="E2" s="38" t="s">
        <v>1269</v>
      </c>
      <c r="F2" s="38" t="s">
        <v>1310</v>
      </c>
      <c r="H2" s="42" t="s">
        <v>1369</v>
      </c>
      <c r="I2" s="42" t="s">
        <v>1370</v>
      </c>
    </row>
    <row r="3" spans="2:9" x14ac:dyDescent="0.3">
      <c r="B3" s="34" t="s">
        <v>1265</v>
      </c>
      <c r="C3" s="34" t="s">
        <v>1162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1371</v>
      </c>
      <c r="I3" s="34">
        <v>2</v>
      </c>
    </row>
    <row r="4" spans="2:9" x14ac:dyDescent="0.3">
      <c r="B4" s="34" t="s">
        <v>1265</v>
      </c>
      <c r="C4" s="34" t="s">
        <v>1162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1373</v>
      </c>
      <c r="I4" s="34">
        <v>3</v>
      </c>
    </row>
    <row r="5" spans="2:9" x14ac:dyDescent="0.3">
      <c r="B5" s="34" t="s">
        <v>1265</v>
      </c>
      <c r="C5" s="34" t="s">
        <v>1150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1374</v>
      </c>
      <c r="I5" s="34">
        <v>5</v>
      </c>
    </row>
    <row r="6" spans="2:9" x14ac:dyDescent="0.3">
      <c r="B6" s="34" t="s">
        <v>1265</v>
      </c>
      <c r="C6" s="34" t="s">
        <v>1150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1359</v>
      </c>
      <c r="I6" s="34">
        <v>4</v>
      </c>
    </row>
    <row r="7" spans="2:9" x14ac:dyDescent="0.3">
      <c r="B7" s="34" t="s">
        <v>1265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1364</v>
      </c>
      <c r="I7" s="34">
        <v>3</v>
      </c>
    </row>
    <row r="8" spans="2:9" x14ac:dyDescent="0.3">
      <c r="B8" s="34" t="s">
        <v>1265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1367</v>
      </c>
      <c r="I8" s="34">
        <v>1</v>
      </c>
    </row>
    <row r="9" spans="2:9" x14ac:dyDescent="0.3">
      <c r="B9" s="34" t="s">
        <v>1265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1365</v>
      </c>
      <c r="I9" s="34">
        <v>1</v>
      </c>
    </row>
    <row r="10" spans="2:9" x14ac:dyDescent="0.3">
      <c r="B10" s="34" t="s">
        <v>1265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1368</v>
      </c>
      <c r="I10" s="34">
        <v>5</v>
      </c>
    </row>
    <row r="11" spans="2:9" x14ac:dyDescent="0.3">
      <c r="B11" s="42" t="s">
        <v>1373</v>
      </c>
      <c r="C11" s="34" t="s">
        <v>1162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1407</v>
      </c>
      <c r="I11" s="43">
        <v>2</v>
      </c>
    </row>
    <row r="12" spans="2:9" x14ac:dyDescent="0.3">
      <c r="B12" s="42" t="s">
        <v>1373</v>
      </c>
      <c r="C12" s="34" t="s">
        <v>1162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1373</v>
      </c>
      <c r="C13" s="34" t="s">
        <v>1162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1373</v>
      </c>
      <c r="C14" s="34" t="s">
        <v>1150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1373</v>
      </c>
      <c r="C15" s="34" t="s">
        <v>1150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1373</v>
      </c>
      <c r="C16" s="34" t="s">
        <v>1150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1373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1373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1373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1373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1373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1373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1308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1308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1308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1308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1308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1308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1308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1308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1308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1308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1308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1308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1308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1308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1308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1308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1308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1308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1308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1308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1359</v>
      </c>
      <c r="C43" s="42" t="s">
        <v>1360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1359</v>
      </c>
      <c r="C44" s="42" t="s">
        <v>1360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1359</v>
      </c>
      <c r="C45" s="42" t="s">
        <v>1360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1359</v>
      </c>
      <c r="C46" s="42" t="s">
        <v>1360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1359</v>
      </c>
      <c r="C47" s="42" t="s">
        <v>1361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1359</v>
      </c>
      <c r="C48" s="42" t="s">
        <v>1361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1359</v>
      </c>
      <c r="C49" s="42" t="s">
        <v>1361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1359</v>
      </c>
      <c r="C50" s="42" t="s">
        <v>1361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1359</v>
      </c>
      <c r="C51" s="42" t="s">
        <v>1362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1359</v>
      </c>
      <c r="C52" s="42" t="s">
        <v>1362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1359</v>
      </c>
      <c r="C53" s="42" t="s">
        <v>1362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1359</v>
      </c>
      <c r="C54" s="42" t="s">
        <v>1362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1359</v>
      </c>
      <c r="C55" s="42" t="s">
        <v>1363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1359</v>
      </c>
      <c r="C56" s="42" t="s">
        <v>1363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1359</v>
      </c>
      <c r="C57" s="42" t="s">
        <v>1363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1359</v>
      </c>
      <c r="C58" s="42" t="s">
        <v>1363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1364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1364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1364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1364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1364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1364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1364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1364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1364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1364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1364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1364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1365</v>
      </c>
      <c r="C71" s="43" t="s">
        <v>1405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1365</v>
      </c>
      <c r="C72" s="42" t="s">
        <v>1361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1365</v>
      </c>
      <c r="C73" s="42" t="s">
        <v>1362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1365</v>
      </c>
      <c r="C74" s="43" t="s">
        <v>1406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1367</v>
      </c>
      <c r="C75" s="43" t="s">
        <v>1405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1367</v>
      </c>
      <c r="C76" s="42" t="s">
        <v>1361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1367</v>
      </c>
      <c r="C77" s="42" t="s">
        <v>1362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1367</v>
      </c>
      <c r="C78" s="43" t="s">
        <v>1406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1368</v>
      </c>
      <c r="C79" s="43" t="s">
        <v>1405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1368</v>
      </c>
      <c r="C80" s="43" t="s">
        <v>1405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1368</v>
      </c>
      <c r="C81" s="43" t="s">
        <v>1405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1368</v>
      </c>
      <c r="C82" s="43" t="s">
        <v>1405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1368</v>
      </c>
      <c r="C83" s="43" t="s">
        <v>1405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1368</v>
      </c>
      <c r="C84" s="42" t="s">
        <v>1361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1368</v>
      </c>
      <c r="C85" s="42" t="s">
        <v>1361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1368</v>
      </c>
      <c r="C86" s="42" t="s">
        <v>1361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1368</v>
      </c>
      <c r="C87" s="42" t="s">
        <v>1361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1368</v>
      </c>
      <c r="C88" s="42" t="s">
        <v>1361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1368</v>
      </c>
      <c r="C89" s="42" t="s">
        <v>1362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1368</v>
      </c>
      <c r="C90" s="42" t="s">
        <v>1362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1368</v>
      </c>
      <c r="C91" s="42" t="s">
        <v>1362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1368</v>
      </c>
      <c r="C92" s="42" t="s">
        <v>1362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1368</v>
      </c>
      <c r="C93" s="42" t="s">
        <v>1362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1368</v>
      </c>
      <c r="C94" s="43" t="s">
        <v>1406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1368</v>
      </c>
      <c r="C95" s="43" t="s">
        <v>1406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1368</v>
      </c>
      <c r="C96" s="43" t="s">
        <v>1406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1368</v>
      </c>
      <c r="C97" s="43" t="s">
        <v>1406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1368</v>
      </c>
      <c r="C98" s="43" t="s">
        <v>1406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1407</v>
      </c>
      <c r="C99" s="43" t="s">
        <v>1405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1407</v>
      </c>
      <c r="C100" s="43" t="s">
        <v>1405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1407</v>
      </c>
      <c r="C101" s="43" t="s">
        <v>1408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1407</v>
      </c>
      <c r="C102" s="43" t="s">
        <v>1408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1407</v>
      </c>
      <c r="C103" s="43" t="s">
        <v>1409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1407</v>
      </c>
      <c r="C104" s="43" t="s">
        <v>1409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1407</v>
      </c>
      <c r="C105" s="43" t="s">
        <v>1406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1407</v>
      </c>
      <c r="C106" s="43" t="s">
        <v>1406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  <row r="107" spans="2:6" x14ac:dyDescent="0.3">
      <c r="B107" s="57" t="s">
        <v>1718</v>
      </c>
      <c r="C107" s="57" t="s">
        <v>1719</v>
      </c>
      <c r="D107" s="57">
        <v>1</v>
      </c>
      <c r="E107" s="57" t="str">
        <f>VLOOKUP2(tbTestEnemy[Difficulty],tbTestEnemy[StageName],表14[[#This Row],[Play]]&amp;"-"&amp;表14[[#This Row],[Difficulty]],tbTestEnemy[Wave],表14[[#This Row],[Wave]])</f>
        <v>困难</v>
      </c>
      <c r="F107" s="57">
        <f>VLOOKUP2(tbTestEnemy[WaitTime],tbTestEnemy[StageName],表14[[#This Row],[Play]]&amp;"-"&amp;表14[[#This Row],[Difficulty]],tbTestEnemy[Wave],表14[[#This Row],[Wave]])</f>
        <v>0</v>
      </c>
    </row>
    <row r="108" spans="2:6" x14ac:dyDescent="0.3">
      <c r="B108" s="57" t="s">
        <v>1718</v>
      </c>
      <c r="C108" s="57" t="s">
        <v>1719</v>
      </c>
      <c r="D108" s="57">
        <v>2</v>
      </c>
      <c r="E108" s="57" t="str">
        <f>VLOOKUP2(tbTestEnemy[Difficulty],tbTestEnemy[StageName],表14[[#This Row],[Play]]&amp;"-"&amp;表14[[#This Row],[Difficulty]],tbTestEnemy[Wave],表14[[#This Row],[Wave]])</f>
        <v>超难</v>
      </c>
      <c r="F108" s="57">
        <f>VLOOKUP2(tbTestEnemy[WaitTime],tbTestEnemy[StageName],表14[[#This Row],[Play]]&amp;"-"&amp;表14[[#This Row],[Difficulty]],tbTestEnemy[Wave],表14[[#This Row],[Wave]])</f>
        <v>0</v>
      </c>
    </row>
    <row r="109" spans="2:6" x14ac:dyDescent="0.3">
      <c r="B109" s="57" t="s">
        <v>1718</v>
      </c>
      <c r="C109" s="43" t="s">
        <v>1408</v>
      </c>
      <c r="D109" s="57">
        <v>1</v>
      </c>
      <c r="E109" s="57" t="str">
        <f>VLOOKUP2(tbTestEnemy[Difficulty],tbTestEnemy[StageName],表14[[#This Row],[Play]]&amp;"-"&amp;表14[[#This Row],[Difficulty]],tbTestEnemy[Wave],表14[[#This Row],[Wave]])</f>
        <v>超难</v>
      </c>
      <c r="F109" s="57">
        <f>VLOOKUP2(tbTestEnemy[WaitTime],tbTestEnemy[StageName],表14[[#This Row],[Play]]&amp;"-"&amp;表14[[#This Row],[Difficulty]],tbTestEnemy[Wave],表14[[#This Row],[Wave]])</f>
        <v>0</v>
      </c>
    </row>
    <row r="110" spans="2:6" x14ac:dyDescent="0.3">
      <c r="B110" s="57" t="s">
        <v>1718</v>
      </c>
      <c r="C110" s="43" t="s">
        <v>1408</v>
      </c>
      <c r="D110" s="57">
        <v>2</v>
      </c>
      <c r="E110" s="57" t="str">
        <f>VLOOKUP2(tbTestEnemy[Difficulty],tbTestEnemy[StageName],表14[[#This Row],[Play]]&amp;"-"&amp;表14[[#This Row],[Difficulty]],tbTestEnemy[Wave],表14[[#This Row],[Wave]])</f>
        <v>超难</v>
      </c>
      <c r="F110" s="57">
        <f>VLOOKUP2(tbTestEnemy[WaitTime],tbTestEnemy[StageName],表14[[#This Row],[Play]]&amp;"-"&amp;表14[[#This Row],[Difficulty]],tbTestEnemy[Wave],表14[[#This Row],[Wave]])</f>
        <v>0</v>
      </c>
    </row>
    <row r="111" spans="2:6" x14ac:dyDescent="0.3">
      <c r="B111" s="57" t="s">
        <v>1718</v>
      </c>
      <c r="C111" s="43" t="s">
        <v>1125</v>
      </c>
      <c r="D111" s="57">
        <v>1</v>
      </c>
      <c r="E111" s="57" t="str">
        <f>VLOOKUP2(tbTestEnemy[Difficulty],tbTestEnemy[StageName],表14[[#This Row],[Play]]&amp;"-"&amp;表14[[#This Row],[Difficulty]],tbTestEnemy[Wave],表14[[#This Row],[Wave]])</f>
        <v>超难</v>
      </c>
      <c r="F111" s="57">
        <f>VLOOKUP2(tbTestEnemy[WaitTime],tbTestEnemy[StageName],表14[[#This Row],[Play]]&amp;"-"&amp;表14[[#This Row],[Difficulty]],tbTestEnemy[Wave],表14[[#This Row],[Wave]])</f>
        <v>0</v>
      </c>
    </row>
    <row r="112" spans="2:6" x14ac:dyDescent="0.3">
      <c r="B112" s="57" t="s">
        <v>1718</v>
      </c>
      <c r="C112" s="43" t="s">
        <v>1125</v>
      </c>
      <c r="D112" s="57">
        <v>2</v>
      </c>
      <c r="E112" s="57" t="str">
        <f>VLOOKUP2(tbTestEnemy[Difficulty],tbTestEnemy[StageName],表14[[#This Row],[Play]]&amp;"-"&amp;表14[[#This Row],[Difficulty]],tbTestEnemy[Wave],表14[[#This Row],[Wave]])</f>
        <v>变态</v>
      </c>
      <c r="F112" s="57">
        <f>VLOOKUP2(tbTestEnemy[WaitTime],tbTestEnemy[StageName],表14[[#This Row],[Play]]&amp;"-"&amp;表14[[#This Row],[Difficulty]],tbTestEnemy[Wave],表14[[#This Row],[Wave]])</f>
        <v>0</v>
      </c>
    </row>
    <row r="113" spans="2:6" x14ac:dyDescent="0.3">
      <c r="B113" s="57" t="s">
        <v>1718</v>
      </c>
      <c r="C113" s="43" t="s">
        <v>180</v>
      </c>
      <c r="D113" s="57">
        <v>1</v>
      </c>
      <c r="E113" s="57" t="str">
        <f>VLOOKUP2(tbTestEnemy[Difficulty],tbTestEnemy[StageName],表14[[#This Row],[Play]]&amp;"-"&amp;表14[[#This Row],[Difficulty]],tbTestEnemy[Wave],表14[[#This Row],[Wave]])</f>
        <v>变态</v>
      </c>
      <c r="F113" s="57">
        <f>VLOOKUP2(tbTestEnemy[WaitTime],tbTestEnemy[StageName],表14[[#This Row],[Play]]&amp;"-"&amp;表14[[#This Row],[Difficulty]],tbTestEnemy[Wave],表14[[#This Row],[Wave]])</f>
        <v>0</v>
      </c>
    </row>
    <row r="114" spans="2:6" x14ac:dyDescent="0.3">
      <c r="B114" s="57" t="s">
        <v>1718</v>
      </c>
      <c r="C114" s="43" t="s">
        <v>180</v>
      </c>
      <c r="D114" s="57">
        <v>2</v>
      </c>
      <c r="E114" s="57" t="str">
        <f>VLOOKUP2(tbTestEnemy[Difficulty],tbTestEnemy[StageName],表14[[#This Row],[Play]]&amp;"-"&amp;表14[[#This Row],[Difficulty]],tbTestEnemy[Wave],表14[[#This Row],[Wave]])</f>
        <v>变态</v>
      </c>
      <c r="F114" s="57">
        <f>VLOOKUP2(tbTestEnemy[WaitTime],tbTestEnemy[StageName],表14[[#This Row],[Play]]&amp;"-"&amp;表14[[#This Row],[Difficulty]],tbTestEnemy[Wave],表14[[#This Row],[Wave]])</f>
        <v>0</v>
      </c>
    </row>
  </sheetData>
  <phoneticPr fontId="38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20</vt:i4>
      </vt:variant>
    </vt:vector>
  </HeadingPairs>
  <TitlesOfParts>
    <vt:vector size="29" baseType="lpstr">
      <vt:lpstr>group</vt:lpstr>
      <vt:lpstr>story</vt:lpstr>
      <vt:lpstr>hero</vt:lpstr>
      <vt:lpstr>seal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2017-01-05T09:25:11Z</dcterms:modified>
</cp:coreProperties>
</file>