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0" yWindow="0" windowWidth="28800" windowHeight="12390"/>
  </bookViews>
  <sheets>
    <sheet name="seal" sheetId="1" r:id="rId1"/>
  </sheets>
  <externalReferences>
    <externalReference r:id="rId2"/>
  </externalReferences>
  <definedNames>
    <definedName name="Formations" localSheetId="0">[1]!表7[Formation]</definedName>
    <definedName name="Formations">[1]!表7[Formation]</definedName>
    <definedName name="GroupInputJsonPath">[1]cfg!$K$5</definedName>
    <definedName name="HeroShortNames" localSheetId="0">[1]!表2[HeroIndex]</definedName>
    <definedName name="HeroShortNames">[1]!表2[HeroIndex]</definedName>
    <definedName name="Plays">[1]!表16[玩法]</definedName>
    <definedName name="SoldierNames" localSheetId="0">[1]!表8[Soldier]</definedName>
    <definedName name="SoldierNames">[1]!表8[Soldier]</definedName>
    <definedName name="SoldierShortNames" localSheetId="0">[1]!表3[SoldierIndex]</definedName>
    <definedName name="SoldierShortNames">[1]!表3[SoldierIndex]</definedName>
    <definedName name="UnitNames" localSheetId="0">[1]!tbUnitNameToType[Name]</definedName>
    <definedName name="UnitNames">[1]!tbUnitNameToType[Name]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S5" i="1"/>
  <c r="O6" i="1"/>
  <c r="S6" i="1"/>
  <c r="O7" i="1"/>
  <c r="S7" i="1"/>
  <c r="O8" i="1"/>
  <c r="S8" i="1"/>
  <c r="O9" i="1"/>
  <c r="S9" i="1"/>
  <c r="O10" i="1"/>
  <c r="S10" i="1"/>
  <c r="O11" i="1"/>
  <c r="S11" i="1"/>
  <c r="O12" i="1"/>
  <c r="S12" i="1"/>
  <c r="O13" i="1"/>
  <c r="S13" i="1"/>
  <c r="O14" i="1"/>
  <c r="S14" i="1"/>
  <c r="O15" i="1"/>
  <c r="S15" i="1"/>
  <c r="O16" i="1"/>
  <c r="S16" i="1"/>
  <c r="O17" i="1"/>
  <c r="S17" i="1"/>
  <c r="O18" i="1"/>
  <c r="S18" i="1"/>
  <c r="O19" i="1"/>
  <c r="S19" i="1"/>
  <c r="O20" i="1"/>
  <c r="S20" i="1"/>
  <c r="O21" i="1"/>
  <c r="S21" i="1"/>
  <c r="O22" i="1"/>
  <c r="S22" i="1"/>
  <c r="O23" i="1"/>
  <c r="S23" i="1"/>
  <c r="O24" i="1"/>
  <c r="S24" i="1"/>
  <c r="O25" i="1"/>
  <c r="S25" i="1"/>
  <c r="O26" i="1"/>
  <c r="S26" i="1"/>
  <c r="O27" i="1"/>
  <c r="S27" i="1"/>
  <c r="O28" i="1"/>
  <c r="S28" i="1"/>
  <c r="O29" i="1"/>
  <c r="S29" i="1"/>
  <c r="O30" i="1"/>
  <c r="S30" i="1"/>
  <c r="O31" i="1"/>
  <c r="S31" i="1"/>
  <c r="O32" i="1"/>
  <c r="S32" i="1"/>
  <c r="O33" i="1"/>
  <c r="S33" i="1"/>
  <c r="O34" i="1"/>
  <c r="S34" i="1"/>
  <c r="O35" i="1"/>
  <c r="S35" i="1"/>
  <c r="O36" i="1"/>
  <c r="S36" i="1"/>
  <c r="O37" i="1"/>
  <c r="S37" i="1"/>
  <c r="O38" i="1"/>
  <c r="S38" i="1"/>
  <c r="O39" i="1"/>
  <c r="S39" i="1"/>
  <c r="O40" i="1"/>
  <c r="S40" i="1"/>
  <c r="O41" i="1"/>
  <c r="S41" i="1"/>
  <c r="O42" i="1"/>
  <c r="S42" i="1"/>
  <c r="O43" i="1"/>
  <c r="S43" i="1"/>
  <c r="O44" i="1"/>
  <c r="S44" i="1"/>
  <c r="O45" i="1"/>
  <c r="S45" i="1"/>
  <c r="O46" i="1"/>
  <c r="S46" i="1"/>
  <c r="O47" i="1"/>
  <c r="S47" i="1"/>
  <c r="O48" i="1"/>
  <c r="S48" i="1"/>
  <c r="O49" i="1"/>
  <c r="S49" i="1"/>
  <c r="O50" i="1"/>
  <c r="S50" i="1"/>
  <c r="O51" i="1"/>
  <c r="S51" i="1"/>
  <c r="O52" i="1"/>
  <c r="S52" i="1"/>
  <c r="O53" i="1"/>
  <c r="S53" i="1"/>
  <c r="O54" i="1"/>
  <c r="S54" i="1"/>
  <c r="O55" i="1"/>
  <c r="S55" i="1"/>
  <c r="O56" i="1"/>
  <c r="S56" i="1"/>
  <c r="O57" i="1"/>
  <c r="S57" i="1"/>
  <c r="O58" i="1"/>
  <c r="S58" i="1"/>
  <c r="O59" i="1"/>
  <c r="S59" i="1"/>
  <c r="O60" i="1"/>
  <c r="S60" i="1"/>
  <c r="O61" i="1"/>
  <c r="S61" i="1"/>
  <c r="O62" i="1"/>
  <c r="S62" i="1"/>
  <c r="O63" i="1"/>
  <c r="S63" i="1"/>
  <c r="O64" i="1"/>
  <c r="S64" i="1"/>
  <c r="O65" i="1"/>
  <c r="S65" i="1"/>
  <c r="O66" i="1"/>
  <c r="S66" i="1"/>
  <c r="O67" i="1"/>
  <c r="S67" i="1"/>
  <c r="O68" i="1"/>
  <c r="S68" i="1"/>
  <c r="O69" i="1"/>
  <c r="S69" i="1"/>
</calcChain>
</file>

<file path=xl/sharedStrings.xml><?xml version="1.0" encoding="utf-8"?>
<sst xmlns="http://schemas.openxmlformats.org/spreadsheetml/2006/main" count="397" uniqueCount="84">
  <si>
    <t>华佗</t>
    <phoneticPr fontId="2" type="noConversion"/>
  </si>
  <si>
    <t>铁骑英雄</t>
    <phoneticPr fontId="2" type="noConversion"/>
  </si>
  <si>
    <t>超难</t>
    <phoneticPr fontId="2" type="noConversion"/>
  </si>
  <si>
    <t>三国</t>
  </si>
  <si>
    <t>5波</t>
    <phoneticPr fontId="2" type="noConversion"/>
  </si>
  <si>
    <t/>
  </si>
  <si>
    <t>铁骑</t>
  </si>
  <si>
    <t>法师英雄</t>
    <phoneticPr fontId="2" type="noConversion"/>
  </si>
  <si>
    <t>困难</t>
    <phoneticPr fontId="2" type="noConversion"/>
  </si>
  <si>
    <t>法师</t>
  </si>
  <si>
    <t>普通</t>
    <phoneticPr fontId="2" type="noConversion"/>
  </si>
  <si>
    <t>法师</t>
    <phoneticPr fontId="2" type="noConversion"/>
  </si>
  <si>
    <t>铁骑</t>
    <phoneticPr fontId="2" type="noConversion"/>
  </si>
  <si>
    <t>简单</t>
    <phoneticPr fontId="2" type="noConversion"/>
  </si>
  <si>
    <t>玉玺本13</t>
  </si>
  <si>
    <t>杨修</t>
  </si>
  <si>
    <t>盾甲英雄</t>
    <phoneticPr fontId="2" type="noConversion"/>
  </si>
  <si>
    <t>杨修</t>
    <phoneticPr fontId="2" type="noConversion"/>
  </si>
  <si>
    <t>盾甲</t>
    <phoneticPr fontId="2" type="noConversion"/>
  </si>
  <si>
    <t>炼金英雄</t>
    <phoneticPr fontId="2" type="noConversion"/>
  </si>
  <si>
    <t>炼金</t>
    <phoneticPr fontId="2" type="noConversion"/>
  </si>
  <si>
    <t>玉玺本12</t>
  </si>
  <si>
    <t>曹植</t>
  </si>
  <si>
    <t>曹植</t>
    <phoneticPr fontId="2" type="noConversion"/>
  </si>
  <si>
    <t>玉玺本11</t>
  </si>
  <si>
    <t>于吉</t>
  </si>
  <si>
    <t>于吉</t>
    <phoneticPr fontId="2" type="noConversion"/>
  </si>
  <si>
    <t>刺客英雄</t>
    <phoneticPr fontId="2" type="noConversion"/>
  </si>
  <si>
    <t>刺客</t>
    <phoneticPr fontId="2" type="noConversion"/>
  </si>
  <si>
    <t>玉玺本10</t>
  </si>
  <si>
    <t>颜良</t>
    <phoneticPr fontId="2" type="noConversion"/>
  </si>
  <si>
    <t>文丑</t>
    <phoneticPr fontId="2" type="noConversion"/>
  </si>
  <si>
    <t>玉玺本9</t>
  </si>
  <si>
    <t>少帝刘辩</t>
  </si>
  <si>
    <t>强弓英雄</t>
  </si>
  <si>
    <t>强弓英雄</t>
    <phoneticPr fontId="2" type="noConversion"/>
  </si>
  <si>
    <t>强弓</t>
    <phoneticPr fontId="2" type="noConversion"/>
  </si>
  <si>
    <t>玉玺本8</t>
  </si>
  <si>
    <t>张飞</t>
  </si>
  <si>
    <t>张飞</t>
    <phoneticPr fontId="2" type="noConversion"/>
  </si>
  <si>
    <t>玉玺本7</t>
  </si>
  <si>
    <t>甄姬</t>
  </si>
  <si>
    <t>强弓</t>
  </si>
  <si>
    <t>玉玺本6</t>
  </si>
  <si>
    <t>曹操</t>
  </si>
  <si>
    <t>曹操</t>
    <phoneticPr fontId="2" type="noConversion"/>
  </si>
  <si>
    <t>玉玺本5</t>
  </si>
  <si>
    <t>张让</t>
  </si>
  <si>
    <t>张让</t>
    <phoneticPr fontId="2" type="noConversion"/>
  </si>
  <si>
    <t>玉玺本4</t>
  </si>
  <si>
    <t>何进</t>
  </si>
  <si>
    <t>何进</t>
    <phoneticPr fontId="2" type="noConversion"/>
  </si>
  <si>
    <t>玉玺本3</t>
  </si>
  <si>
    <t>刘兰芝</t>
  </si>
  <si>
    <t>刘兰芝</t>
    <phoneticPr fontId="2" type="noConversion"/>
  </si>
  <si>
    <t>盾甲</t>
  </si>
  <si>
    <t>教徒</t>
    <phoneticPr fontId="2" type="noConversion"/>
  </si>
  <si>
    <t>玉玺本2</t>
  </si>
  <si>
    <t>十五将军</t>
  </si>
  <si>
    <t>张梁</t>
    <phoneticPr fontId="2" type="noConversion"/>
  </si>
  <si>
    <t>张角</t>
    <phoneticPr fontId="2" type="noConversion"/>
  </si>
  <si>
    <t>十五将军</t>
    <phoneticPr fontId="2" type="noConversion"/>
  </si>
  <si>
    <t>黄巾</t>
  </si>
  <si>
    <t>教徒</t>
  </si>
  <si>
    <t>张宝</t>
    <phoneticPr fontId="2" type="noConversion"/>
  </si>
  <si>
    <t>玉玺本1</t>
  </si>
  <si>
    <t>Group</t>
    <phoneticPr fontId="2" type="noConversion"/>
  </si>
  <si>
    <t>Boss</t>
    <phoneticPr fontId="2" type="noConversion"/>
  </si>
  <si>
    <t>AllyHero</t>
    <phoneticPr fontId="2" type="noConversion"/>
  </si>
  <si>
    <t>GroupID</t>
    <phoneticPr fontId="2" type="noConversion"/>
  </si>
  <si>
    <t>GroupCount</t>
    <phoneticPr fontId="2" type="noConversion"/>
  </si>
  <si>
    <t>Soldier3</t>
    <phoneticPr fontId="2" type="noConversion"/>
  </si>
  <si>
    <t>Soldier2</t>
    <phoneticPr fontId="2" type="noConversion"/>
  </si>
  <si>
    <t>Soldier1</t>
    <phoneticPr fontId="2" type="noConversion"/>
  </si>
  <si>
    <t>Hero3</t>
    <phoneticPr fontId="2" type="noConversion"/>
  </si>
  <si>
    <t>Hero2</t>
    <phoneticPr fontId="2" type="noConversion"/>
  </si>
  <si>
    <t>Hero1</t>
    <phoneticPr fontId="2" type="noConversion"/>
  </si>
  <si>
    <t>IsBoss</t>
    <phoneticPr fontId="2" type="noConversion"/>
  </si>
  <si>
    <t>Difficulty</t>
    <phoneticPr fontId="2" type="noConversion"/>
  </si>
  <si>
    <t>Camp</t>
    <phoneticPr fontId="2" type="noConversion"/>
  </si>
  <si>
    <t>WaitTime</t>
    <phoneticPr fontId="2" type="noConversion"/>
  </si>
  <si>
    <t>Wave</t>
    <phoneticPr fontId="2" type="noConversion"/>
  </si>
  <si>
    <t>Play</t>
    <phoneticPr fontId="2" type="noConversion"/>
  </si>
  <si>
    <t>StageName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</si>
</sst>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3" tint="0.39997558519241921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2"/>
      <color rgb="FF000000"/>
      <name val="Microsoft YaHei Mono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NumberFormat="1" applyFont="1"/>
    <xf numFmtId="0" fontId="4" fillId="0" borderId="0" xfId="0" applyFont="1"/>
  </cellXfs>
  <cellStyles count="1">
    <cellStyle name="常规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514350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m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"/>
      <sheetName val="group_output"/>
      <sheetName val="test"/>
      <sheetName val="units"/>
      <sheetName val="cfg"/>
      <sheetName val="play"/>
    </sheetNames>
    <sheetDataSet>
      <sheetData sheetId="0"/>
      <sheetData sheetId="1"/>
      <sheetData sheetId="2"/>
      <sheetData sheetId="3"/>
      <sheetData sheetId="4">
        <row r="5">
          <cell r="K5" t="str">
            <v>E:\git_project\monster_group_gen\group_input.json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id="1" name="tbHeroEliteEnemy16" displayName="tbHeroEliteEnemy16" ref="B4:S69" totalsRowShown="0" headerRowDxfId="19" dataDxfId="18">
  <tableColumns count="18">
    <tableColumn id="2" name="StageName" dataDxfId="17"/>
    <tableColumn id="17" name="Play" dataDxfId="16"/>
    <tableColumn id="3" name="Wave" dataDxfId="15"/>
    <tableColumn id="18" name="WaitTime" dataDxfId="14"/>
    <tableColumn id="15" name="Camp" dataDxfId="13"/>
    <tableColumn id="13" name="Difficulty" dataDxfId="12"/>
    <tableColumn id="14" name="IsBoss" dataDxfId="11"/>
    <tableColumn id="4" name="Hero1" dataDxfId="10"/>
    <tableColumn id="5" name="Hero2" dataDxfId="9"/>
    <tableColumn id="6" name="Hero3" dataDxfId="8"/>
    <tableColumn id="7" name="Soldier1" dataDxfId="7"/>
    <tableColumn id="8" name="Soldier2" dataDxfId="6"/>
    <tableColumn id="9" name="Soldier3" dataDxfId="5"/>
    <tableColumn id="10" name="GroupCount" dataDxfId="4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3"/>
    <tableColumn id="16" name="AllyHero" dataDxfId="2"/>
    <tableColumn id="1" name="Boss" dataDxfId="1"/>
    <tableColumn id="12" name="Group" dataDxfId="0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tabSelected="1" zoomScale="90" zoomScaleNormal="90" workbookViewId="0">
      <pane ySplit="4" topLeftCell="A5" activePane="bottomLeft" state="frozen"/>
      <selection activeCell="A5" sqref="A5"/>
      <selection pane="bottomLeft" activeCell="O6" sqref="O6"/>
    </sheetView>
  </sheetViews>
  <sheetFormatPr defaultColWidth="9" defaultRowHeight="16.5" x14ac:dyDescent="0.3"/>
  <cols>
    <col min="1" max="1" width="5" style="1" customWidth="1"/>
    <col min="2" max="2" width="13.125" style="1" bestFit="1" customWidth="1"/>
    <col min="3" max="3" width="9.125" style="1" bestFit="1" customWidth="1"/>
    <col min="4" max="4" width="9.25" style="1" bestFit="1" customWidth="1"/>
    <col min="5" max="5" width="9.25" style="1" customWidth="1"/>
    <col min="6" max="6" width="10" style="1" customWidth="1"/>
    <col min="7" max="7" width="9.5" style="1" bestFit="1" customWidth="1"/>
    <col min="9" max="11" width="9" style="1"/>
    <col min="12" max="14" width="10.5" style="1" customWidth="1"/>
    <col min="15" max="15" width="14" style="1" customWidth="1"/>
    <col min="16" max="16" width="10.5" style="1" customWidth="1"/>
    <col min="17" max="17" width="11.375" style="1" customWidth="1"/>
    <col min="18" max="18" width="10.125" style="1" customWidth="1"/>
    <col min="19" max="19" width="21.125" style="1" customWidth="1"/>
    <col min="20" max="16384" width="9" style="1"/>
  </cols>
  <sheetData>
    <row r="1" spans="2:19" x14ac:dyDescent="0.3">
      <c r="H1" s="1"/>
    </row>
    <row r="2" spans="2:19" x14ac:dyDescent="0.3">
      <c r="H2" s="1"/>
    </row>
    <row r="3" spans="2:19" x14ac:dyDescent="0.3">
      <c r="H3" s="1"/>
    </row>
    <row r="4" spans="2:19" x14ac:dyDescent="0.3">
      <c r="B4" s="1" t="s">
        <v>83</v>
      </c>
      <c r="C4" s="1" t="s">
        <v>82</v>
      </c>
      <c r="D4" s="1" t="s">
        <v>81</v>
      </c>
      <c r="E4" s="1" t="s">
        <v>80</v>
      </c>
      <c r="F4" s="1" t="s">
        <v>79</v>
      </c>
      <c r="G4" s="1" t="s">
        <v>78</v>
      </c>
      <c r="H4" s="1" t="s">
        <v>77</v>
      </c>
      <c r="I4" s="1" t="s">
        <v>76</v>
      </c>
      <c r="J4" s="1" t="s">
        <v>75</v>
      </c>
      <c r="K4" s="1" t="s">
        <v>74</v>
      </c>
      <c r="L4" s="1" t="s">
        <v>73</v>
      </c>
      <c r="M4" s="1" t="s">
        <v>72</v>
      </c>
      <c r="N4" s="1" t="s">
        <v>71</v>
      </c>
      <c r="O4" s="1" t="s">
        <v>70</v>
      </c>
      <c r="P4" s="1" t="s">
        <v>69</v>
      </c>
      <c r="Q4" s="1" t="s">
        <v>68</v>
      </c>
      <c r="R4" s="1" t="s">
        <v>67</v>
      </c>
      <c r="S4" s="1" t="s">
        <v>66</v>
      </c>
    </row>
    <row r="5" spans="2:19" x14ac:dyDescent="0.3">
      <c r="B5" s="1" t="s">
        <v>65</v>
      </c>
      <c r="C5" s="1" t="s">
        <v>4</v>
      </c>
      <c r="D5" s="1">
        <v>1</v>
      </c>
      <c r="E5" s="1">
        <v>5</v>
      </c>
      <c r="F5" s="1" t="s">
        <v>62</v>
      </c>
      <c r="G5" s="1" t="s">
        <v>13</v>
      </c>
      <c r="H5" s="1"/>
      <c r="L5" s="1" t="s">
        <v>63</v>
      </c>
      <c r="O5" s="4">
        <f>GET_OK_GROUPS_COUNT(tbHeroEliteEnemy16[[#This Row],[Camp]],tbHeroEliteEnemy16[[#This Row],[Difficulty]],tbHeroEliteEnemy16[[#This Row],[IsBoss]],tbHeroEliteEnemy16[[#This Row],[Hero1]:[Soldier3]])</f>
        <v>4</v>
      </c>
      <c r="P5" s="1">
        <v>4</v>
      </c>
      <c r="R5" s="1" t="s">
        <v>5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 x14ac:dyDescent="0.3">
      <c r="C6" s="1" t="s">
        <v>4</v>
      </c>
      <c r="D6" s="1">
        <v>2</v>
      </c>
      <c r="E6" s="1">
        <v>10</v>
      </c>
      <c r="F6" s="1" t="s">
        <v>62</v>
      </c>
      <c r="G6" s="1" t="s">
        <v>10</v>
      </c>
      <c r="H6" s="1"/>
      <c r="L6" s="1" t="s">
        <v>6</v>
      </c>
      <c r="M6" s="1" t="s">
        <v>42</v>
      </c>
      <c r="O6" s="3">
        <f>GET_OK_GROUPS_COUNT(tbHeroEliteEnemy16[[#This Row],[Camp]],tbHeroEliteEnemy16[[#This Row],[Difficulty]],tbHeroEliteEnemy16[[#This Row],[IsBoss]],tbHeroEliteEnemy16[[#This Row],[Hero1]:[Soldier3]])</f>
        <v>1</v>
      </c>
      <c r="P6" s="1">
        <v>1</v>
      </c>
      <c r="R6" s="1" t="s">
        <v>5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 x14ac:dyDescent="0.3">
      <c r="C7" s="1" t="s">
        <v>4</v>
      </c>
      <c r="D7" s="1">
        <v>3</v>
      </c>
      <c r="E7" s="1">
        <v>10</v>
      </c>
      <c r="F7" s="1" t="s">
        <v>62</v>
      </c>
      <c r="G7" s="1" t="s">
        <v>10</v>
      </c>
      <c r="H7" s="1"/>
      <c r="L7" s="1" t="s">
        <v>6</v>
      </c>
      <c r="M7" s="1" t="s">
        <v>9</v>
      </c>
      <c r="O7" s="3">
        <f>GET_OK_GROUPS_COUNT(tbHeroEliteEnemy16[[#This Row],[Camp]],tbHeroEliteEnemy16[[#This Row],[Difficulty]],tbHeroEliteEnemy16[[#This Row],[IsBoss]],tbHeroEliteEnemy16[[#This Row],[Hero1]:[Soldier3]])</f>
        <v>1</v>
      </c>
      <c r="P7" s="1">
        <v>1</v>
      </c>
      <c r="R7" s="1" t="s">
        <v>5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 x14ac:dyDescent="0.3">
      <c r="C8" s="1" t="s">
        <v>4</v>
      </c>
      <c r="D8" s="1">
        <v>4</v>
      </c>
      <c r="E8" s="1">
        <v>15</v>
      </c>
      <c r="F8" s="1" t="s">
        <v>62</v>
      </c>
      <c r="G8" s="1" t="s">
        <v>8</v>
      </c>
      <c r="H8" s="1"/>
      <c r="I8" s="1" t="s">
        <v>64</v>
      </c>
      <c r="L8" s="1" t="s">
        <v>63</v>
      </c>
      <c r="O8" s="3">
        <f>GET_OK_GROUPS_COUNT(tbHeroEliteEnemy16[[#This Row],[Camp]],tbHeroEliteEnemy16[[#This Row],[Difficulty]],tbHeroEliteEnemy16[[#This Row],[IsBoss]],tbHeroEliteEnemy16[[#This Row],[Hero1]:[Soldier3]])</f>
        <v>2</v>
      </c>
      <c r="P8" s="1">
        <v>1</v>
      </c>
      <c r="R8" s="1" t="s">
        <v>5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 x14ac:dyDescent="0.3">
      <c r="C9" s="1" t="s">
        <v>4</v>
      </c>
      <c r="D9" s="1">
        <v>5</v>
      </c>
      <c r="E9" s="1">
        <v>20</v>
      </c>
      <c r="F9" s="1" t="s">
        <v>62</v>
      </c>
      <c r="G9" s="1" t="s">
        <v>2</v>
      </c>
      <c r="H9" s="1" t="b">
        <v>1</v>
      </c>
      <c r="I9" s="1" t="s">
        <v>61</v>
      </c>
      <c r="J9" s="1" t="s">
        <v>60</v>
      </c>
      <c r="K9" s="1" t="s">
        <v>59</v>
      </c>
      <c r="O9" s="3">
        <f>GET_OK_GROUPS_COUNT(tbHeroEliteEnemy16[[#This Row],[Camp]],tbHeroEliteEnemy16[[#This Row],[Difficulty]],tbHeroEliteEnemy16[[#This Row],[IsBoss]],tbHeroEliteEnemy16[[#This Row],[Hero1]:[Soldier3]])</f>
        <v>1</v>
      </c>
      <c r="P9" s="1">
        <v>1</v>
      </c>
      <c r="R9" s="1" t="s">
        <v>58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 x14ac:dyDescent="0.3">
      <c r="B10" s="1" t="s">
        <v>57</v>
      </c>
      <c r="C10" s="1" t="s">
        <v>4</v>
      </c>
      <c r="D10" s="1">
        <v>1</v>
      </c>
      <c r="E10" s="1">
        <v>5</v>
      </c>
      <c r="F10" s="1" t="s">
        <v>3</v>
      </c>
      <c r="G10" s="1" t="s">
        <v>13</v>
      </c>
      <c r="H10" s="1"/>
      <c r="L10" s="1" t="s">
        <v>55</v>
      </c>
      <c r="O10" s="3">
        <f>GET_OK_GROUPS_COUNT(tbHeroEliteEnemy16[[#This Row],[Camp]],tbHeroEliteEnemy16[[#This Row],[Difficulty]],tbHeroEliteEnemy16[[#This Row],[IsBoss]],tbHeroEliteEnemy16[[#This Row],[Hero1]:[Soldier3]])</f>
        <v>4</v>
      </c>
      <c r="P10" s="1">
        <v>1</v>
      </c>
      <c r="R10" s="1" t="s">
        <v>5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11" spans="2:19" x14ac:dyDescent="0.3">
      <c r="C11" s="1" t="s">
        <v>4</v>
      </c>
      <c r="D11" s="1">
        <v>2</v>
      </c>
      <c r="E11" s="1">
        <v>10</v>
      </c>
      <c r="F11" s="1" t="s">
        <v>3</v>
      </c>
      <c r="G11" s="1" t="s">
        <v>10</v>
      </c>
      <c r="H11" s="1"/>
      <c r="L11" s="1" t="s">
        <v>56</v>
      </c>
      <c r="O11" s="3">
        <f>GET_OK_GROUPS_COUNT(tbHeroEliteEnemy16[[#This Row],[Camp]],tbHeroEliteEnemy16[[#This Row],[Difficulty]],tbHeroEliteEnemy16[[#This Row],[IsBoss]],tbHeroEliteEnemy16[[#This Row],[Hero1]:[Soldier3]])</f>
        <v>1</v>
      </c>
      <c r="P11" s="1">
        <v>1</v>
      </c>
      <c r="R11" s="1" t="s">
        <v>5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三国-普通-教徒</v>
      </c>
    </row>
    <row r="12" spans="2:19" x14ac:dyDescent="0.3">
      <c r="C12" s="1" t="s">
        <v>4</v>
      </c>
      <c r="D12" s="1">
        <v>3</v>
      </c>
      <c r="E12" s="1">
        <v>10</v>
      </c>
      <c r="F12" s="1" t="s">
        <v>3</v>
      </c>
      <c r="G12" s="1" t="s">
        <v>10</v>
      </c>
      <c r="H12" s="1"/>
      <c r="L12" s="1" t="s">
        <v>55</v>
      </c>
      <c r="M12" s="1" t="s">
        <v>9</v>
      </c>
      <c r="O12" s="3">
        <f>GET_OK_GROUPS_COUNT(tbHeroEliteEnemy16[[#This Row],[Camp]],tbHeroEliteEnemy16[[#This Row],[Difficulty]],tbHeroEliteEnemy16[[#This Row],[IsBoss]],tbHeroEliteEnemy16[[#This Row],[Hero1]:[Soldier3]])</f>
        <v>1</v>
      </c>
      <c r="P12" s="1">
        <v>1</v>
      </c>
      <c r="R12" s="1" t="s">
        <v>5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13" spans="2:19" x14ac:dyDescent="0.3">
      <c r="C13" s="1" t="s">
        <v>4</v>
      </c>
      <c r="D13" s="1">
        <v>4</v>
      </c>
      <c r="E13" s="1">
        <v>15</v>
      </c>
      <c r="F13" s="1" t="s">
        <v>3</v>
      </c>
      <c r="G13" s="1" t="s">
        <v>8</v>
      </c>
      <c r="H13" s="1"/>
      <c r="I13" s="1" t="s">
        <v>16</v>
      </c>
      <c r="L13" s="1" t="s">
        <v>36</v>
      </c>
      <c r="O13" s="3">
        <f>GET_OK_GROUPS_COUNT(tbHeroEliteEnemy16[[#This Row],[Camp]],tbHeroEliteEnemy16[[#This Row],[Difficulty]],tbHeroEliteEnemy16[[#This Row],[IsBoss]],tbHeroEliteEnemy16[[#This Row],[Hero1]:[Soldier3]])</f>
        <v>1</v>
      </c>
      <c r="P13" s="1">
        <v>1</v>
      </c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14" spans="2:19" x14ac:dyDescent="0.3">
      <c r="C14" s="1" t="s">
        <v>4</v>
      </c>
      <c r="D14" s="1">
        <v>5</v>
      </c>
      <c r="E14" s="1">
        <v>20</v>
      </c>
      <c r="F14" s="1" t="s">
        <v>3</v>
      </c>
      <c r="G14" s="1" t="s">
        <v>2</v>
      </c>
      <c r="H14" s="1" t="b">
        <v>1</v>
      </c>
      <c r="I14" s="1" t="s">
        <v>54</v>
      </c>
      <c r="J14" s="1" t="s">
        <v>1</v>
      </c>
      <c r="O14" s="3">
        <f>GET_OK_GROUPS_COUNT(tbHeroEliteEnemy16[[#This Row],[Camp]],tbHeroEliteEnemy16[[#This Row],[Difficulty]],tbHeroEliteEnemy16[[#This Row],[IsBoss]],tbHeroEliteEnemy16[[#This Row],[Hero1]:[Soldier3]])</f>
        <v>1</v>
      </c>
      <c r="P14" s="1">
        <v>1</v>
      </c>
      <c r="R14" s="1" t="s">
        <v>53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 x14ac:dyDescent="0.3">
      <c r="B15" s="1" t="s">
        <v>52</v>
      </c>
      <c r="C15" s="1" t="s">
        <v>4</v>
      </c>
      <c r="D15" s="1">
        <v>1</v>
      </c>
      <c r="E15" s="1">
        <v>5</v>
      </c>
      <c r="F15" s="1" t="s">
        <v>3</v>
      </c>
      <c r="G15" s="1" t="s">
        <v>13</v>
      </c>
      <c r="H15" s="1"/>
      <c r="L15" s="1" t="s">
        <v>6</v>
      </c>
      <c r="O15" s="3">
        <f>GET_OK_GROUPS_COUNT(tbHeroEliteEnemy16[[#This Row],[Camp]],tbHeroEliteEnemy16[[#This Row],[Difficulty]],tbHeroEliteEnemy16[[#This Row],[IsBoss]],tbHeroEliteEnemy16[[#This Row],[Hero1]:[Soldier3]])</f>
        <v>4</v>
      </c>
      <c r="P15" s="1">
        <v>1</v>
      </c>
      <c r="R15" s="1" t="s">
        <v>5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16" spans="2:19" x14ac:dyDescent="0.3">
      <c r="C16" s="1" t="s">
        <v>4</v>
      </c>
      <c r="D16" s="1">
        <v>2</v>
      </c>
      <c r="E16" s="1">
        <v>10</v>
      </c>
      <c r="F16" s="1" t="s">
        <v>3</v>
      </c>
      <c r="G16" s="1" t="s">
        <v>10</v>
      </c>
      <c r="H16" s="1"/>
      <c r="L16" s="1" t="s">
        <v>36</v>
      </c>
      <c r="O16" s="3">
        <f>GET_OK_GROUPS_COUNT(tbHeroEliteEnemy16[[#This Row],[Camp]],tbHeroEliteEnemy16[[#This Row],[Difficulty]],tbHeroEliteEnemy16[[#This Row],[IsBoss]],tbHeroEliteEnemy16[[#This Row],[Hero1]:[Soldier3]])</f>
        <v>3</v>
      </c>
      <c r="P16" s="1">
        <v>1</v>
      </c>
      <c r="R16" s="1" t="s">
        <v>5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17" spans="2:19" x14ac:dyDescent="0.3">
      <c r="C17" s="1" t="s">
        <v>4</v>
      </c>
      <c r="D17" s="1">
        <v>3</v>
      </c>
      <c r="E17" s="1">
        <v>10</v>
      </c>
      <c r="F17" s="1" t="s">
        <v>3</v>
      </c>
      <c r="G17" s="1" t="s">
        <v>10</v>
      </c>
      <c r="H17" s="1"/>
      <c r="L17" s="1" t="s">
        <v>6</v>
      </c>
      <c r="M17" s="1" t="s">
        <v>36</v>
      </c>
      <c r="O17" s="3">
        <f>GET_OK_GROUPS_COUNT(tbHeroEliteEnemy16[[#This Row],[Camp]],tbHeroEliteEnemy16[[#This Row],[Difficulty]],tbHeroEliteEnemy16[[#This Row],[IsBoss]],tbHeroEliteEnemy16[[#This Row],[Hero1]:[Soldier3]])</f>
        <v>1</v>
      </c>
      <c r="P17" s="1">
        <v>1</v>
      </c>
      <c r="R17" s="1" t="s">
        <v>5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8" spans="2:19" x14ac:dyDescent="0.3">
      <c r="C18" s="1" t="s">
        <v>4</v>
      </c>
      <c r="D18" s="1">
        <v>4</v>
      </c>
      <c r="E18" s="1">
        <v>15</v>
      </c>
      <c r="F18" s="1" t="s">
        <v>3</v>
      </c>
      <c r="G18" s="1" t="s">
        <v>8</v>
      </c>
      <c r="H18" s="1"/>
      <c r="I18" s="1" t="s">
        <v>35</v>
      </c>
      <c r="L18" s="1" t="s">
        <v>6</v>
      </c>
      <c r="O18" s="3">
        <f>GET_OK_GROUPS_COUNT(tbHeroEliteEnemy16[[#This Row],[Camp]],tbHeroEliteEnemy16[[#This Row],[Difficulty]],tbHeroEliteEnemy16[[#This Row],[IsBoss]],tbHeroEliteEnemy16[[#This Row],[Hero1]:[Soldier3]])</f>
        <v>1</v>
      </c>
      <c r="P18" s="1">
        <v>1</v>
      </c>
      <c r="R18" s="1" t="s">
        <v>5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三国-困难-强英+铁兵</v>
      </c>
    </row>
    <row r="19" spans="2:19" x14ac:dyDescent="0.3">
      <c r="C19" s="1" t="s">
        <v>4</v>
      </c>
      <c r="D19" s="1">
        <v>5</v>
      </c>
      <c r="E19" s="1">
        <v>20</v>
      </c>
      <c r="F19" s="1" t="s">
        <v>3</v>
      </c>
      <c r="G19" s="1" t="s">
        <v>2</v>
      </c>
      <c r="H19" s="1" t="b">
        <v>1</v>
      </c>
      <c r="I19" s="1" t="s">
        <v>51</v>
      </c>
      <c r="J19" s="1" t="s">
        <v>16</v>
      </c>
      <c r="O19" s="3">
        <f>GET_OK_GROUPS_COUNT(tbHeroEliteEnemy16[[#This Row],[Camp]],tbHeroEliteEnemy16[[#This Row],[Difficulty]],tbHeroEliteEnemy16[[#This Row],[IsBoss]],tbHeroEliteEnemy16[[#This Row],[Hero1]:[Soldier3]])</f>
        <v>1</v>
      </c>
      <c r="P19" s="1">
        <v>1</v>
      </c>
      <c r="R19" s="1" t="s">
        <v>50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 x14ac:dyDescent="0.3">
      <c r="B20" s="1" t="s">
        <v>49</v>
      </c>
      <c r="C20" s="1" t="s">
        <v>4</v>
      </c>
      <c r="D20" s="1">
        <v>1</v>
      </c>
      <c r="E20" s="1">
        <v>5</v>
      </c>
      <c r="F20" s="1" t="s">
        <v>3</v>
      </c>
      <c r="G20" s="1" t="s">
        <v>13</v>
      </c>
      <c r="H20" s="1"/>
      <c r="L20" s="1" t="s">
        <v>11</v>
      </c>
      <c r="O20" s="3">
        <f>GET_OK_GROUPS_COUNT(tbHeroEliteEnemy16[[#This Row],[Camp]],tbHeroEliteEnemy16[[#This Row],[Difficulty]],tbHeroEliteEnemy16[[#This Row],[IsBoss]],tbHeroEliteEnemy16[[#This Row],[Hero1]:[Soldier3]])</f>
        <v>3</v>
      </c>
      <c r="P20" s="1">
        <v>1</v>
      </c>
      <c r="R20" s="1" t="s">
        <v>5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三国-简单-法兵</v>
      </c>
    </row>
    <row r="21" spans="2:19" x14ac:dyDescent="0.3">
      <c r="C21" s="1" t="s">
        <v>4</v>
      </c>
      <c r="D21" s="1">
        <v>2</v>
      </c>
      <c r="E21" s="1">
        <v>10</v>
      </c>
      <c r="F21" s="1" t="s">
        <v>3</v>
      </c>
      <c r="G21" s="1" t="s">
        <v>10</v>
      </c>
      <c r="H21" s="1"/>
      <c r="L21" s="1" t="s">
        <v>18</v>
      </c>
      <c r="O21" s="3">
        <f>GET_OK_GROUPS_COUNT(tbHeroEliteEnemy16[[#This Row],[Camp]],tbHeroEliteEnemy16[[#This Row],[Difficulty]],tbHeroEliteEnemy16[[#This Row],[IsBoss]],tbHeroEliteEnemy16[[#This Row],[Hero1]:[Soldier3]])</f>
        <v>5</v>
      </c>
      <c r="P21" s="1">
        <v>1</v>
      </c>
      <c r="R21" s="1" t="s">
        <v>5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</v>
      </c>
    </row>
    <row r="22" spans="2:19" x14ac:dyDescent="0.3">
      <c r="C22" s="1" t="s">
        <v>4</v>
      </c>
      <c r="D22" s="1">
        <v>3</v>
      </c>
      <c r="E22" s="1">
        <v>10</v>
      </c>
      <c r="F22" s="1" t="s">
        <v>3</v>
      </c>
      <c r="G22" s="1" t="s">
        <v>10</v>
      </c>
      <c r="H22" s="1"/>
      <c r="L22" s="1" t="s">
        <v>18</v>
      </c>
      <c r="M22" s="1" t="s">
        <v>9</v>
      </c>
      <c r="O22" s="3">
        <f>GET_OK_GROUPS_COUNT(tbHeroEliteEnemy16[[#This Row],[Camp]],tbHeroEliteEnemy16[[#This Row],[Difficulty]],tbHeroEliteEnemy16[[#This Row],[IsBoss]],tbHeroEliteEnemy16[[#This Row],[Hero1]:[Soldier3]])</f>
        <v>1</v>
      </c>
      <c r="P22" s="1">
        <v>1</v>
      </c>
      <c r="R22" s="1" t="s">
        <v>5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23" spans="2:19" x14ac:dyDescent="0.3">
      <c r="C23" s="1" t="s">
        <v>4</v>
      </c>
      <c r="D23" s="1">
        <v>4</v>
      </c>
      <c r="E23" s="1">
        <v>15</v>
      </c>
      <c r="F23" s="1" t="s">
        <v>3</v>
      </c>
      <c r="G23" s="1" t="s">
        <v>8</v>
      </c>
      <c r="H23" s="1"/>
      <c r="I23" s="1" t="s">
        <v>7</v>
      </c>
      <c r="L23" s="1" t="s">
        <v>18</v>
      </c>
      <c r="O23" s="3">
        <f>GET_OK_GROUPS_COUNT(tbHeroEliteEnemy16[[#This Row],[Camp]],tbHeroEliteEnemy16[[#This Row],[Difficulty]],tbHeroEliteEnemy16[[#This Row],[IsBoss]],tbHeroEliteEnemy16[[#This Row],[Hero1]:[Soldier3]])</f>
        <v>1</v>
      </c>
      <c r="P23" s="1">
        <v>1</v>
      </c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三国-困难-法英+盾兵</v>
      </c>
    </row>
    <row r="24" spans="2:19" x14ac:dyDescent="0.3">
      <c r="C24" s="1" t="s">
        <v>4</v>
      </c>
      <c r="D24" s="1">
        <v>5</v>
      </c>
      <c r="E24" s="1">
        <v>20</v>
      </c>
      <c r="F24" s="1" t="s">
        <v>3</v>
      </c>
      <c r="G24" s="1" t="s">
        <v>2</v>
      </c>
      <c r="H24" s="1" t="b">
        <v>1</v>
      </c>
      <c r="I24" s="1" t="s">
        <v>48</v>
      </c>
      <c r="J24" s="1" t="s">
        <v>1</v>
      </c>
      <c r="O24" s="3">
        <f>GET_OK_GROUPS_COUNT(tbHeroEliteEnemy16[[#This Row],[Camp]],tbHeroEliteEnemy16[[#This Row],[Difficulty]],tbHeroEliteEnemy16[[#This Row],[IsBoss]],tbHeroEliteEnemy16[[#This Row],[Hero1]:[Soldier3]])</f>
        <v>1</v>
      </c>
      <c r="P24" s="1">
        <v>1</v>
      </c>
      <c r="R24" s="1" t="s">
        <v>47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 x14ac:dyDescent="0.3">
      <c r="B25" s="1" t="s">
        <v>46</v>
      </c>
      <c r="C25" s="1" t="s">
        <v>4</v>
      </c>
      <c r="D25" s="1">
        <v>1</v>
      </c>
      <c r="E25" s="1">
        <v>5</v>
      </c>
      <c r="F25" s="1" t="s">
        <v>3</v>
      </c>
      <c r="G25" s="1" t="s">
        <v>13</v>
      </c>
      <c r="H25" s="1"/>
      <c r="L25" s="1" t="s">
        <v>20</v>
      </c>
      <c r="O25" s="3">
        <f>GET_OK_GROUPS_COUNT(tbHeroEliteEnemy16[[#This Row],[Camp]],tbHeroEliteEnemy16[[#This Row],[Difficulty]],tbHeroEliteEnemy16[[#This Row],[IsBoss]],tbHeroEliteEnemy16[[#This Row],[Hero1]:[Soldier3]])</f>
        <v>3</v>
      </c>
      <c r="P25" s="1">
        <v>1</v>
      </c>
      <c r="R25" s="1" t="s">
        <v>5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三国-简单-炼兵</v>
      </c>
    </row>
    <row r="26" spans="2:19" x14ac:dyDescent="0.3">
      <c r="C26" s="1" t="s">
        <v>4</v>
      </c>
      <c r="D26" s="1">
        <v>2</v>
      </c>
      <c r="E26" s="1">
        <v>10</v>
      </c>
      <c r="F26" s="1" t="s">
        <v>3</v>
      </c>
      <c r="G26" s="1" t="s">
        <v>10</v>
      </c>
      <c r="H26" s="1"/>
      <c r="L26" s="1" t="s">
        <v>6</v>
      </c>
      <c r="O26" s="3">
        <f>GET_OK_GROUPS_COUNT(tbHeroEliteEnemy16[[#This Row],[Camp]],tbHeroEliteEnemy16[[#This Row],[Difficulty]],tbHeroEliteEnemy16[[#This Row],[IsBoss]],tbHeroEliteEnemy16[[#This Row],[Hero1]:[Soldier3]])</f>
        <v>5</v>
      </c>
      <c r="P26" s="1">
        <v>1</v>
      </c>
      <c r="R26" s="1" t="s">
        <v>5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</v>
      </c>
    </row>
    <row r="27" spans="2:19" x14ac:dyDescent="0.3">
      <c r="C27" s="1" t="s">
        <v>4</v>
      </c>
      <c r="D27" s="1">
        <v>3</v>
      </c>
      <c r="E27" s="1">
        <v>10</v>
      </c>
      <c r="F27" s="1" t="s">
        <v>3</v>
      </c>
      <c r="G27" s="1" t="s">
        <v>10</v>
      </c>
      <c r="H27" s="1"/>
      <c r="L27" s="1" t="s">
        <v>6</v>
      </c>
      <c r="M27" s="1" t="s">
        <v>20</v>
      </c>
      <c r="O27" s="3">
        <f>GET_OK_GROUPS_COUNT(tbHeroEliteEnemy16[[#This Row],[Camp]],tbHeroEliteEnemy16[[#This Row],[Difficulty]],tbHeroEliteEnemy16[[#This Row],[IsBoss]],tbHeroEliteEnemy16[[#This Row],[Hero1]:[Soldier3]])</f>
        <v>1</v>
      </c>
      <c r="P27" s="1">
        <v>1</v>
      </c>
      <c r="R27" s="1" t="s">
        <v>5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28" spans="2:19" x14ac:dyDescent="0.3">
      <c r="C28" s="1" t="s">
        <v>4</v>
      </c>
      <c r="D28" s="1">
        <v>4</v>
      </c>
      <c r="E28" s="1">
        <v>15</v>
      </c>
      <c r="F28" s="1" t="s">
        <v>3</v>
      </c>
      <c r="G28" s="1" t="s">
        <v>8</v>
      </c>
      <c r="H28" s="1"/>
      <c r="I28" s="1" t="s">
        <v>19</v>
      </c>
      <c r="L28" s="1" t="s">
        <v>6</v>
      </c>
      <c r="O28" s="3">
        <f>GET_OK_GROUPS_COUNT(tbHeroEliteEnemy16[[#This Row],[Camp]],tbHeroEliteEnemy16[[#This Row],[Difficulty]],tbHeroEliteEnemy16[[#This Row],[IsBoss]],tbHeroEliteEnemy16[[#This Row],[Hero1]:[Soldier3]])</f>
        <v>1</v>
      </c>
      <c r="P28" s="1">
        <v>1</v>
      </c>
      <c r="R28" s="1" t="s">
        <v>5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29" spans="2:19" x14ac:dyDescent="0.3">
      <c r="C29" s="1" t="s">
        <v>4</v>
      </c>
      <c r="D29" s="1">
        <v>5</v>
      </c>
      <c r="E29" s="1">
        <v>20</v>
      </c>
      <c r="F29" s="1" t="s">
        <v>3</v>
      </c>
      <c r="G29" s="1" t="s">
        <v>2</v>
      </c>
      <c r="H29" s="1" t="b">
        <v>1</v>
      </c>
      <c r="I29" s="1" t="s">
        <v>45</v>
      </c>
      <c r="J29" s="1" t="s">
        <v>19</v>
      </c>
      <c r="O29" s="3">
        <f>GET_OK_GROUPS_COUNT(tbHeroEliteEnemy16[[#This Row],[Camp]],tbHeroEliteEnemy16[[#This Row],[Difficulty]],tbHeroEliteEnemy16[[#This Row],[IsBoss]],tbHeroEliteEnemy16[[#This Row],[Hero1]:[Soldier3]])</f>
        <v>1</v>
      </c>
      <c r="P29" s="1">
        <v>1</v>
      </c>
      <c r="R29" s="1" t="s">
        <v>44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 x14ac:dyDescent="0.3">
      <c r="B30" s="1" t="s">
        <v>43</v>
      </c>
      <c r="C30" s="1" t="s">
        <v>4</v>
      </c>
      <c r="D30" s="1">
        <v>1</v>
      </c>
      <c r="E30" s="1">
        <v>5</v>
      </c>
      <c r="F30" s="1" t="s">
        <v>3</v>
      </c>
      <c r="G30" s="1" t="s">
        <v>13</v>
      </c>
      <c r="H30" s="1"/>
      <c r="L30" s="1" t="s">
        <v>6</v>
      </c>
      <c r="M30" s="1" t="s">
        <v>9</v>
      </c>
      <c r="O30" s="3">
        <f>GET_OK_GROUPS_COUNT(tbHeroEliteEnemy16[[#This Row],[Camp]],tbHeroEliteEnemy16[[#This Row],[Difficulty]],tbHeroEliteEnemy16[[#This Row],[IsBoss]],tbHeroEliteEnemy16[[#This Row],[Hero1]:[Soldier3]])</f>
        <v>1</v>
      </c>
      <c r="P30" s="1">
        <v>1</v>
      </c>
      <c r="R30" s="1" t="s">
        <v>5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 x14ac:dyDescent="0.3">
      <c r="C31" s="1" t="s">
        <v>4</v>
      </c>
      <c r="D31" s="1">
        <v>2</v>
      </c>
      <c r="E31" s="1">
        <v>10</v>
      </c>
      <c r="F31" s="1" t="s">
        <v>3</v>
      </c>
      <c r="G31" s="1" t="s">
        <v>10</v>
      </c>
      <c r="H31" s="1"/>
      <c r="L31" s="1" t="s">
        <v>6</v>
      </c>
      <c r="M31" s="1" t="s">
        <v>42</v>
      </c>
      <c r="O31" s="3">
        <f>GET_OK_GROUPS_COUNT(tbHeroEliteEnemy16[[#This Row],[Camp]],tbHeroEliteEnemy16[[#This Row],[Difficulty]],tbHeroEliteEnemy16[[#This Row],[IsBoss]],tbHeroEliteEnemy16[[#This Row],[Hero1]:[Soldier3]])</f>
        <v>1</v>
      </c>
      <c r="P31" s="1">
        <v>1</v>
      </c>
      <c r="R31" s="1" t="s">
        <v>5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 x14ac:dyDescent="0.3">
      <c r="C32" s="1" t="s">
        <v>4</v>
      </c>
      <c r="D32" s="1">
        <v>3</v>
      </c>
      <c r="E32" s="1">
        <v>10</v>
      </c>
      <c r="F32" s="1" t="s">
        <v>3</v>
      </c>
      <c r="G32" s="1" t="s">
        <v>10</v>
      </c>
      <c r="H32" s="1"/>
      <c r="L32" s="1" t="s">
        <v>6</v>
      </c>
      <c r="M32" s="1" t="s">
        <v>9</v>
      </c>
      <c r="O32" s="3">
        <f>GET_OK_GROUPS_COUNT(tbHeroEliteEnemy16[[#This Row],[Camp]],tbHeroEliteEnemy16[[#This Row],[Difficulty]],tbHeroEliteEnemy16[[#This Row],[IsBoss]],tbHeroEliteEnemy16[[#This Row],[Hero1]:[Soldier3]])</f>
        <v>1</v>
      </c>
      <c r="P32" s="1">
        <v>1</v>
      </c>
      <c r="R32" s="1" t="s">
        <v>5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 x14ac:dyDescent="0.3">
      <c r="C33" s="1" t="s">
        <v>4</v>
      </c>
      <c r="D33" s="1">
        <v>4</v>
      </c>
      <c r="E33" s="1">
        <v>15</v>
      </c>
      <c r="F33" s="1" t="s">
        <v>3</v>
      </c>
      <c r="G33" s="1" t="s">
        <v>8</v>
      </c>
      <c r="H33" s="1"/>
      <c r="I33" s="1" t="s">
        <v>27</v>
      </c>
      <c r="L33" s="1" t="s">
        <v>6</v>
      </c>
      <c r="O33" s="3">
        <f>GET_OK_GROUPS_COUNT(tbHeroEliteEnemy16[[#This Row],[Camp]],tbHeroEliteEnemy16[[#This Row],[Difficulty]],tbHeroEliteEnemy16[[#This Row],[IsBoss]],tbHeroEliteEnemy16[[#This Row],[Hero1]:[Soldier3]])</f>
        <v>1</v>
      </c>
      <c r="P33" s="1">
        <v>1</v>
      </c>
      <c r="R33" s="1" t="s">
        <v>5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三国-困难-刺英+铁兵</v>
      </c>
    </row>
    <row r="34" spans="2:19" x14ac:dyDescent="0.3">
      <c r="C34" s="1" t="s">
        <v>4</v>
      </c>
      <c r="D34" s="1">
        <v>5</v>
      </c>
      <c r="E34" s="1">
        <v>20</v>
      </c>
      <c r="F34" s="1" t="s">
        <v>3</v>
      </c>
      <c r="G34" s="1" t="s">
        <v>2</v>
      </c>
      <c r="H34" s="1" t="b">
        <v>1</v>
      </c>
      <c r="I34" s="1" t="s">
        <v>41</v>
      </c>
      <c r="J34" s="1" t="s">
        <v>34</v>
      </c>
      <c r="O34" s="3">
        <f>GET_OK_GROUPS_COUNT(tbHeroEliteEnemy16[[#This Row],[Camp]],tbHeroEliteEnemy16[[#This Row],[Difficulty]],tbHeroEliteEnemy16[[#This Row],[IsBoss]],tbHeroEliteEnemy16[[#This Row],[Hero1]:[Soldier3]])</f>
        <v>1</v>
      </c>
      <c r="P34" s="1">
        <v>1</v>
      </c>
      <c r="R34" s="1" t="s">
        <v>41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 x14ac:dyDescent="0.3">
      <c r="B35" s="1" t="s">
        <v>40</v>
      </c>
      <c r="C35" s="1" t="s">
        <v>4</v>
      </c>
      <c r="D35" s="1">
        <v>1</v>
      </c>
      <c r="E35" s="1">
        <v>5</v>
      </c>
      <c r="F35" s="1" t="s">
        <v>3</v>
      </c>
      <c r="G35" s="1" t="s">
        <v>13</v>
      </c>
      <c r="H35" s="1"/>
      <c r="L35" s="1" t="s">
        <v>6</v>
      </c>
      <c r="O35" s="3">
        <f>GET_OK_GROUPS_COUNT(tbHeroEliteEnemy16[[#This Row],[Camp]],tbHeroEliteEnemy16[[#This Row],[Difficulty]],tbHeroEliteEnemy16[[#This Row],[IsBoss]],tbHeroEliteEnemy16[[#This Row],[Hero1]:[Soldier3]])</f>
        <v>4</v>
      </c>
      <c r="P35" s="1">
        <v>1</v>
      </c>
      <c r="R35" s="1" t="s">
        <v>5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36" spans="2:19" x14ac:dyDescent="0.3">
      <c r="C36" s="1" t="s">
        <v>4</v>
      </c>
      <c r="D36" s="1">
        <v>2</v>
      </c>
      <c r="E36" s="1">
        <v>10</v>
      </c>
      <c r="F36" s="1" t="s">
        <v>3</v>
      </c>
      <c r="G36" s="1" t="s">
        <v>10</v>
      </c>
      <c r="H36" s="1"/>
      <c r="L36" s="1" t="s">
        <v>36</v>
      </c>
      <c r="O36" s="3">
        <f>GET_OK_GROUPS_COUNT(tbHeroEliteEnemy16[[#This Row],[Camp]],tbHeroEliteEnemy16[[#This Row],[Difficulty]],tbHeroEliteEnemy16[[#This Row],[IsBoss]],tbHeroEliteEnemy16[[#This Row],[Hero1]:[Soldier3]])</f>
        <v>3</v>
      </c>
      <c r="P36" s="1">
        <v>1</v>
      </c>
      <c r="R36" s="1" t="s">
        <v>5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37" spans="2:19" x14ac:dyDescent="0.3">
      <c r="C37" s="1" t="s">
        <v>4</v>
      </c>
      <c r="D37" s="1">
        <v>3</v>
      </c>
      <c r="E37" s="1">
        <v>10</v>
      </c>
      <c r="F37" s="1" t="s">
        <v>3</v>
      </c>
      <c r="G37" s="1" t="s">
        <v>10</v>
      </c>
      <c r="H37" s="1"/>
      <c r="L37" s="1" t="s">
        <v>6</v>
      </c>
      <c r="M37" s="1" t="s">
        <v>36</v>
      </c>
      <c r="O37" s="3">
        <f>GET_OK_GROUPS_COUNT(tbHeroEliteEnemy16[[#This Row],[Camp]],tbHeroEliteEnemy16[[#This Row],[Difficulty]],tbHeroEliteEnemy16[[#This Row],[IsBoss]],tbHeroEliteEnemy16[[#This Row],[Hero1]:[Soldier3]])</f>
        <v>1</v>
      </c>
      <c r="P37" s="1">
        <v>1</v>
      </c>
      <c r="R37" s="1" t="s">
        <v>5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8" spans="2:19" x14ac:dyDescent="0.3">
      <c r="C38" s="1" t="s">
        <v>4</v>
      </c>
      <c r="D38" s="1">
        <v>4</v>
      </c>
      <c r="E38" s="1">
        <v>15</v>
      </c>
      <c r="F38" s="1" t="s">
        <v>3</v>
      </c>
      <c r="G38" s="1" t="s">
        <v>8</v>
      </c>
      <c r="H38" s="1"/>
      <c r="I38" s="1" t="s">
        <v>16</v>
      </c>
      <c r="L38" s="1" t="s">
        <v>36</v>
      </c>
      <c r="O38" s="3">
        <f>GET_OK_GROUPS_COUNT(tbHeroEliteEnemy16[[#This Row],[Camp]],tbHeroEliteEnemy16[[#This Row],[Difficulty]],tbHeroEliteEnemy16[[#This Row],[IsBoss]],tbHeroEliteEnemy16[[#This Row],[Hero1]:[Soldier3]])</f>
        <v>1</v>
      </c>
      <c r="P38" s="1">
        <v>1</v>
      </c>
      <c r="R38" s="1" t="s">
        <v>5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39" spans="2:19" x14ac:dyDescent="0.3">
      <c r="C39" s="1" t="s">
        <v>4</v>
      </c>
      <c r="D39" s="1">
        <v>5</v>
      </c>
      <c r="E39" s="1">
        <v>20</v>
      </c>
      <c r="F39" s="1" t="s">
        <v>3</v>
      </c>
      <c r="G39" s="1" t="s">
        <v>2</v>
      </c>
      <c r="H39" s="1" t="b">
        <v>1</v>
      </c>
      <c r="I39" s="1" t="s">
        <v>39</v>
      </c>
      <c r="J39" s="1" t="s">
        <v>34</v>
      </c>
      <c r="O39" s="3">
        <f>GET_OK_GROUPS_COUNT(tbHeroEliteEnemy16[[#This Row],[Camp]],tbHeroEliteEnemy16[[#This Row],[Difficulty]],tbHeroEliteEnemy16[[#This Row],[IsBoss]],tbHeroEliteEnemy16[[#This Row],[Hero1]:[Soldier3]])</f>
        <v>1</v>
      </c>
      <c r="P39" s="1">
        <v>1</v>
      </c>
      <c r="R39" s="1" t="s">
        <v>38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 x14ac:dyDescent="0.3">
      <c r="B40" s="1" t="s">
        <v>37</v>
      </c>
      <c r="C40" s="1" t="s">
        <v>4</v>
      </c>
      <c r="D40" s="1">
        <v>1</v>
      </c>
      <c r="E40" s="1">
        <v>5</v>
      </c>
      <c r="F40" s="1" t="s">
        <v>3</v>
      </c>
      <c r="G40" s="1" t="s">
        <v>13</v>
      </c>
      <c r="H40" s="1"/>
      <c r="L40" s="1" t="s">
        <v>18</v>
      </c>
      <c r="O40" s="3">
        <f>GET_OK_GROUPS_COUNT(tbHeroEliteEnemy16[[#This Row],[Camp]],tbHeroEliteEnemy16[[#This Row],[Difficulty]],tbHeroEliteEnemy16[[#This Row],[IsBoss]],tbHeroEliteEnemy16[[#This Row],[Hero1]:[Soldier3]])</f>
        <v>4</v>
      </c>
      <c r="P40" s="1">
        <v>1</v>
      </c>
      <c r="R40" s="1" t="s">
        <v>5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41" spans="2:19" x14ac:dyDescent="0.3">
      <c r="C41" s="1" t="s">
        <v>4</v>
      </c>
      <c r="D41" s="1">
        <v>2</v>
      </c>
      <c r="E41" s="1">
        <v>10</v>
      </c>
      <c r="F41" s="1" t="s">
        <v>3</v>
      </c>
      <c r="G41" s="1" t="s">
        <v>10</v>
      </c>
      <c r="H41" s="1"/>
      <c r="L41" s="1" t="s">
        <v>36</v>
      </c>
      <c r="O41" s="3">
        <f>GET_OK_GROUPS_COUNT(tbHeroEliteEnemy16[[#This Row],[Camp]],tbHeroEliteEnemy16[[#This Row],[Difficulty]],tbHeroEliteEnemy16[[#This Row],[IsBoss]],tbHeroEliteEnemy16[[#This Row],[Hero1]:[Soldier3]])</f>
        <v>3</v>
      </c>
      <c r="P41" s="1">
        <v>1</v>
      </c>
      <c r="R41" s="1" t="s">
        <v>5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42" spans="2:19" x14ac:dyDescent="0.3">
      <c r="C42" s="1" t="s">
        <v>4</v>
      </c>
      <c r="D42" s="1">
        <v>3</v>
      </c>
      <c r="E42" s="1">
        <v>10</v>
      </c>
      <c r="F42" s="1" t="s">
        <v>3</v>
      </c>
      <c r="G42" s="1" t="s">
        <v>10</v>
      </c>
      <c r="H42" s="1"/>
      <c r="L42" s="1" t="s">
        <v>18</v>
      </c>
      <c r="M42" s="1" t="s">
        <v>36</v>
      </c>
      <c r="O42" s="3">
        <f>GET_OK_GROUPS_COUNT(tbHeroEliteEnemy16[[#This Row],[Camp]],tbHeroEliteEnemy16[[#This Row],[Difficulty]],tbHeroEliteEnemy16[[#This Row],[IsBoss]],tbHeroEliteEnemy16[[#This Row],[Hero1]:[Soldier3]])</f>
        <v>1</v>
      </c>
      <c r="P42" s="1">
        <v>1</v>
      </c>
      <c r="R42" s="1" t="s">
        <v>5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三国-普通-盾兵+强兵</v>
      </c>
    </row>
    <row r="43" spans="2:19" x14ac:dyDescent="0.3">
      <c r="C43" s="1" t="s">
        <v>4</v>
      </c>
      <c r="D43" s="1">
        <v>4</v>
      </c>
      <c r="E43" s="1">
        <v>15</v>
      </c>
      <c r="F43" s="1" t="s">
        <v>3</v>
      </c>
      <c r="G43" s="1" t="s">
        <v>8</v>
      </c>
      <c r="H43" s="1"/>
      <c r="I43" s="1" t="s">
        <v>35</v>
      </c>
      <c r="L43" s="1" t="s">
        <v>18</v>
      </c>
      <c r="O43" s="3">
        <f>GET_OK_GROUPS_COUNT(tbHeroEliteEnemy16[[#This Row],[Camp]],tbHeroEliteEnemy16[[#This Row],[Difficulty]],tbHeroEliteEnemy16[[#This Row],[IsBoss]],tbHeroEliteEnemy16[[#This Row],[Hero1]:[Soldier3]])</f>
        <v>1</v>
      </c>
      <c r="P43" s="1">
        <v>1</v>
      </c>
      <c r="R43" s="1" t="s">
        <v>5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三国-困难-强英+盾兵</v>
      </c>
    </row>
    <row r="44" spans="2:19" x14ac:dyDescent="0.3">
      <c r="C44" s="1" t="s">
        <v>4</v>
      </c>
      <c r="D44" s="1">
        <v>5</v>
      </c>
      <c r="E44" s="1">
        <v>20</v>
      </c>
      <c r="F44" s="1" t="s">
        <v>3</v>
      </c>
      <c r="G44" s="1" t="s">
        <v>2</v>
      </c>
      <c r="H44" s="1" t="b">
        <v>1</v>
      </c>
      <c r="I44" s="1" t="s">
        <v>33</v>
      </c>
      <c r="J44" s="1" t="s">
        <v>34</v>
      </c>
      <c r="O44" s="3">
        <f>GET_OK_GROUPS_COUNT(tbHeroEliteEnemy16[[#This Row],[Camp]],tbHeroEliteEnemy16[[#This Row],[Difficulty]],tbHeroEliteEnemy16[[#This Row],[IsBoss]],tbHeroEliteEnemy16[[#This Row],[Hero1]:[Soldier3]])</f>
        <v>1</v>
      </c>
      <c r="P44" s="1">
        <v>1</v>
      </c>
      <c r="R44" s="1" t="s">
        <v>33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 x14ac:dyDescent="0.3">
      <c r="B45" s="1" t="s">
        <v>32</v>
      </c>
      <c r="C45" s="1" t="s">
        <v>4</v>
      </c>
      <c r="D45" s="1">
        <v>1</v>
      </c>
      <c r="E45" s="1">
        <v>5</v>
      </c>
      <c r="F45" s="1" t="s">
        <v>3</v>
      </c>
      <c r="G45" s="1" t="s">
        <v>13</v>
      </c>
      <c r="H45" s="1"/>
      <c r="L45" s="1" t="s">
        <v>6</v>
      </c>
      <c r="O45" s="3">
        <f>GET_OK_GROUPS_COUNT(tbHeroEliteEnemy16[[#This Row],[Camp]],tbHeroEliteEnemy16[[#This Row],[Difficulty]],tbHeroEliteEnemy16[[#This Row],[IsBoss]],tbHeroEliteEnemy16[[#This Row],[Hero1]:[Soldier3]])</f>
        <v>4</v>
      </c>
      <c r="P45" s="1">
        <v>1</v>
      </c>
      <c r="R45" s="1" t="s">
        <v>5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46" spans="2:19" x14ac:dyDescent="0.3">
      <c r="C46" s="1" t="s">
        <v>4</v>
      </c>
      <c r="D46" s="1">
        <v>2</v>
      </c>
      <c r="E46" s="1">
        <v>10</v>
      </c>
      <c r="F46" s="1" t="s">
        <v>3</v>
      </c>
      <c r="G46" s="1" t="s">
        <v>10</v>
      </c>
      <c r="H46" s="1"/>
      <c r="L46" s="1" t="s">
        <v>11</v>
      </c>
      <c r="O46" s="3">
        <f>GET_OK_GROUPS_COUNT(tbHeroEliteEnemy16[[#This Row],[Camp]],tbHeroEliteEnemy16[[#This Row],[Difficulty]],tbHeroEliteEnemy16[[#This Row],[IsBoss]],tbHeroEliteEnemy16[[#This Row],[Hero1]:[Soldier3]])</f>
        <v>3</v>
      </c>
      <c r="P46" s="1">
        <v>1</v>
      </c>
      <c r="R46" s="1" t="s">
        <v>5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47" spans="2:19" x14ac:dyDescent="0.3">
      <c r="C47" s="1" t="s">
        <v>4</v>
      </c>
      <c r="D47" s="1">
        <v>3</v>
      </c>
      <c r="E47" s="1">
        <v>10</v>
      </c>
      <c r="F47" s="1" t="s">
        <v>3</v>
      </c>
      <c r="G47" s="1" t="s">
        <v>10</v>
      </c>
      <c r="H47" s="1"/>
      <c r="L47" s="1" t="s">
        <v>6</v>
      </c>
      <c r="M47" s="1" t="s">
        <v>9</v>
      </c>
      <c r="O47" s="3">
        <f>GET_OK_GROUPS_COUNT(tbHeroEliteEnemy16[[#This Row],[Camp]],tbHeroEliteEnemy16[[#This Row],[Difficulty]],tbHeroEliteEnemy16[[#This Row],[IsBoss]],tbHeroEliteEnemy16[[#This Row],[Hero1]:[Soldier3]])</f>
        <v>1</v>
      </c>
      <c r="P47" s="1">
        <v>1</v>
      </c>
      <c r="R47" s="1" t="s">
        <v>5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 x14ac:dyDescent="0.3">
      <c r="C48" s="1" t="s">
        <v>4</v>
      </c>
      <c r="D48" s="1">
        <v>4</v>
      </c>
      <c r="E48" s="1">
        <v>15</v>
      </c>
      <c r="F48" s="1" t="s">
        <v>3</v>
      </c>
      <c r="G48" s="1" t="s">
        <v>8</v>
      </c>
      <c r="H48" s="1"/>
      <c r="I48" s="1" t="s">
        <v>1</v>
      </c>
      <c r="L48" s="1" t="s">
        <v>11</v>
      </c>
      <c r="O48" s="3">
        <f>GET_OK_GROUPS_COUNT(tbHeroEliteEnemy16[[#This Row],[Camp]],tbHeroEliteEnemy16[[#This Row],[Difficulty]],tbHeroEliteEnemy16[[#This Row],[IsBoss]],tbHeroEliteEnemy16[[#This Row],[Hero1]:[Soldier3]])</f>
        <v>1</v>
      </c>
      <c r="P48" s="1">
        <v>1</v>
      </c>
      <c r="R48" s="1" t="s">
        <v>5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三国-困难-铁英+法兵</v>
      </c>
    </row>
    <row r="49" spans="2:19" x14ac:dyDescent="0.3">
      <c r="C49" s="1" t="s">
        <v>4</v>
      </c>
      <c r="D49" s="1">
        <v>5</v>
      </c>
      <c r="E49" s="1">
        <v>20</v>
      </c>
      <c r="F49" s="1" t="s">
        <v>3</v>
      </c>
      <c r="G49" s="1" t="s">
        <v>2</v>
      </c>
      <c r="H49" s="1" t="b">
        <v>1</v>
      </c>
      <c r="I49" s="1" t="s">
        <v>30</v>
      </c>
      <c r="J49" s="1" t="s">
        <v>31</v>
      </c>
      <c r="O49" s="3">
        <f>GET_OK_GROUPS_COUNT(tbHeroEliteEnemy16[[#This Row],[Camp]],tbHeroEliteEnemy16[[#This Row],[Difficulty]],tbHeroEliteEnemy16[[#This Row],[IsBoss]],tbHeroEliteEnemy16[[#This Row],[Hero1]:[Soldier3]])</f>
        <v>1</v>
      </c>
      <c r="P49" s="1">
        <v>1</v>
      </c>
      <c r="R49" s="1" t="s">
        <v>30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 x14ac:dyDescent="0.3">
      <c r="B50" s="1" t="s">
        <v>29</v>
      </c>
      <c r="C50" s="1" t="s">
        <v>4</v>
      </c>
      <c r="D50" s="1">
        <v>1</v>
      </c>
      <c r="E50" s="1">
        <v>5</v>
      </c>
      <c r="F50" s="1" t="s">
        <v>3</v>
      </c>
      <c r="G50" s="1" t="s">
        <v>13</v>
      </c>
      <c r="H50" s="1"/>
      <c r="L50" s="1" t="s">
        <v>18</v>
      </c>
      <c r="O50" s="3">
        <f>GET_OK_GROUPS_COUNT(tbHeroEliteEnemy16[[#This Row],[Camp]],tbHeroEliteEnemy16[[#This Row],[Difficulty]],tbHeroEliteEnemy16[[#This Row],[IsBoss]],tbHeroEliteEnemy16[[#This Row],[Hero1]:[Soldier3]])</f>
        <v>4</v>
      </c>
      <c r="P50" s="1">
        <v>1</v>
      </c>
      <c r="R50" s="1" t="s">
        <v>5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51" spans="2:19" x14ac:dyDescent="0.3">
      <c r="C51" s="1" t="s">
        <v>4</v>
      </c>
      <c r="D51" s="1">
        <v>2</v>
      </c>
      <c r="E51" s="1">
        <v>10</v>
      </c>
      <c r="F51" s="1" t="s">
        <v>3</v>
      </c>
      <c r="G51" s="1" t="s">
        <v>10</v>
      </c>
      <c r="H51" s="1"/>
      <c r="L51" s="1" t="s">
        <v>28</v>
      </c>
      <c r="O51" s="3">
        <f>GET_OK_GROUPS_COUNT(tbHeroEliteEnemy16[[#This Row],[Camp]],tbHeroEliteEnemy16[[#This Row],[Difficulty]],tbHeroEliteEnemy16[[#This Row],[IsBoss]],tbHeroEliteEnemy16[[#This Row],[Hero1]:[Soldier3]])</f>
        <v>3</v>
      </c>
      <c r="P51" s="1">
        <v>1</v>
      </c>
      <c r="R51" s="1" t="s">
        <v>5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三国-普通-刺兵</v>
      </c>
    </row>
    <row r="52" spans="2:19" x14ac:dyDescent="0.3">
      <c r="C52" s="1" t="s">
        <v>4</v>
      </c>
      <c r="D52" s="1">
        <v>3</v>
      </c>
      <c r="E52" s="1">
        <v>10</v>
      </c>
      <c r="F52" s="1" t="s">
        <v>3</v>
      </c>
      <c r="G52" s="1" t="s">
        <v>10</v>
      </c>
      <c r="H52" s="1"/>
      <c r="L52" s="1" t="s">
        <v>18</v>
      </c>
      <c r="M52" s="1" t="s">
        <v>28</v>
      </c>
      <c r="O52" s="3">
        <f>GET_OK_GROUPS_COUNT(tbHeroEliteEnemy16[[#This Row],[Camp]],tbHeroEliteEnemy16[[#This Row],[Difficulty]],tbHeroEliteEnemy16[[#This Row],[IsBoss]],tbHeroEliteEnemy16[[#This Row],[Hero1]:[Soldier3]])</f>
        <v>1</v>
      </c>
      <c r="P52" s="1">
        <v>1</v>
      </c>
      <c r="R52" s="1" t="s">
        <v>5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三国-普通-盾兵+刺兵</v>
      </c>
    </row>
    <row r="53" spans="2:19" x14ac:dyDescent="0.3">
      <c r="C53" s="1" t="s">
        <v>4</v>
      </c>
      <c r="D53" s="1">
        <v>4</v>
      </c>
      <c r="E53" s="1">
        <v>15</v>
      </c>
      <c r="F53" s="1" t="s">
        <v>3</v>
      </c>
      <c r="G53" s="1" t="s">
        <v>8</v>
      </c>
      <c r="H53" s="1"/>
      <c r="I53" s="1" t="s">
        <v>27</v>
      </c>
      <c r="L53" s="1" t="s">
        <v>18</v>
      </c>
      <c r="O53" s="3">
        <f>GET_OK_GROUPS_COUNT(tbHeroEliteEnemy16[[#This Row],[Camp]],tbHeroEliteEnemy16[[#This Row],[Difficulty]],tbHeroEliteEnemy16[[#This Row],[IsBoss]],tbHeroEliteEnemy16[[#This Row],[Hero1]:[Soldier3]])</f>
        <v>1</v>
      </c>
      <c r="P53" s="1">
        <v>1</v>
      </c>
      <c r="R53" s="1" t="s">
        <v>5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三国-困难-刺英+盾兵</v>
      </c>
    </row>
    <row r="54" spans="2:19" x14ac:dyDescent="0.3">
      <c r="C54" s="1" t="s">
        <v>4</v>
      </c>
      <c r="D54" s="1">
        <v>5</v>
      </c>
      <c r="E54" s="1">
        <v>20</v>
      </c>
      <c r="F54" s="1" t="s">
        <v>3</v>
      </c>
      <c r="G54" s="1" t="s">
        <v>2</v>
      </c>
      <c r="H54" s="1" t="b">
        <v>1</v>
      </c>
      <c r="I54" s="1" t="s">
        <v>26</v>
      </c>
      <c r="J54" s="1" t="s">
        <v>16</v>
      </c>
      <c r="O54" s="3">
        <f>GET_OK_GROUPS_COUNT(tbHeroEliteEnemy16[[#This Row],[Camp]],tbHeroEliteEnemy16[[#This Row],[Difficulty]],tbHeroEliteEnemy16[[#This Row],[IsBoss]],tbHeroEliteEnemy16[[#This Row],[Hero1]:[Soldier3]])</f>
        <v>1</v>
      </c>
      <c r="P54" s="1">
        <v>1</v>
      </c>
      <c r="R54" s="1" t="s">
        <v>25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 x14ac:dyDescent="0.3">
      <c r="B55" s="1" t="s">
        <v>24</v>
      </c>
      <c r="C55" s="1" t="s">
        <v>4</v>
      </c>
      <c r="D55" s="1">
        <v>1</v>
      </c>
      <c r="E55" s="1">
        <v>5</v>
      </c>
      <c r="F55" s="1" t="s">
        <v>3</v>
      </c>
      <c r="G55" s="1" t="s">
        <v>13</v>
      </c>
      <c r="H55" s="1"/>
      <c r="L55" s="1" t="s">
        <v>6</v>
      </c>
      <c r="O55" s="3">
        <f>GET_OK_GROUPS_COUNT(tbHeroEliteEnemy16[[#This Row],[Camp]],tbHeroEliteEnemy16[[#This Row],[Difficulty]],tbHeroEliteEnemy16[[#This Row],[IsBoss]],tbHeroEliteEnemy16[[#This Row],[Hero1]:[Soldier3]])</f>
        <v>4</v>
      </c>
      <c r="P55" s="1">
        <v>1</v>
      </c>
      <c r="R55" s="1" t="s">
        <v>5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56" spans="2:19" x14ac:dyDescent="0.3">
      <c r="C56" s="1" t="s">
        <v>4</v>
      </c>
      <c r="D56" s="1">
        <v>2</v>
      </c>
      <c r="E56" s="1">
        <v>10</v>
      </c>
      <c r="F56" s="1" t="s">
        <v>3</v>
      </c>
      <c r="G56" s="1" t="s">
        <v>10</v>
      </c>
      <c r="H56" s="1"/>
      <c r="L56" s="1" t="s">
        <v>20</v>
      </c>
      <c r="O56" s="3">
        <f>GET_OK_GROUPS_COUNT(tbHeroEliteEnemy16[[#This Row],[Camp]],tbHeroEliteEnemy16[[#This Row],[Difficulty]],tbHeroEliteEnemy16[[#This Row],[IsBoss]],tbHeroEliteEnemy16[[#This Row],[Hero1]:[Soldier3]])</f>
        <v>3</v>
      </c>
      <c r="P56" s="1">
        <v>1</v>
      </c>
      <c r="R56" s="1" t="s">
        <v>5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57" spans="2:19" x14ac:dyDescent="0.3">
      <c r="C57" s="1" t="s">
        <v>4</v>
      </c>
      <c r="D57" s="1">
        <v>3</v>
      </c>
      <c r="E57" s="1">
        <v>10</v>
      </c>
      <c r="F57" s="1" t="s">
        <v>3</v>
      </c>
      <c r="G57" s="1" t="s">
        <v>10</v>
      </c>
      <c r="H57" s="1"/>
      <c r="L57" s="1" t="s">
        <v>6</v>
      </c>
      <c r="M57" s="1" t="s">
        <v>20</v>
      </c>
      <c r="O57" s="3">
        <f>GET_OK_GROUPS_COUNT(tbHeroEliteEnemy16[[#This Row],[Camp]],tbHeroEliteEnemy16[[#This Row],[Difficulty]],tbHeroEliteEnemy16[[#This Row],[IsBoss]],tbHeroEliteEnemy16[[#This Row],[Hero1]:[Soldier3]])</f>
        <v>1</v>
      </c>
      <c r="P57" s="1">
        <v>1</v>
      </c>
      <c r="R57" s="1" t="s">
        <v>5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58" spans="2:19" x14ac:dyDescent="0.3">
      <c r="C58" s="1" t="s">
        <v>4</v>
      </c>
      <c r="D58" s="1">
        <v>4</v>
      </c>
      <c r="E58" s="1">
        <v>15</v>
      </c>
      <c r="F58" s="1" t="s">
        <v>3</v>
      </c>
      <c r="G58" s="1" t="s">
        <v>8</v>
      </c>
      <c r="H58" s="1"/>
      <c r="I58" s="1" t="s">
        <v>19</v>
      </c>
      <c r="L58" s="1" t="s">
        <v>6</v>
      </c>
      <c r="O58" s="3">
        <f>GET_OK_GROUPS_COUNT(tbHeroEliteEnemy16[[#This Row],[Camp]],tbHeroEliteEnemy16[[#This Row],[Difficulty]],tbHeroEliteEnemy16[[#This Row],[IsBoss]],tbHeroEliteEnemy16[[#This Row],[Hero1]:[Soldier3]])</f>
        <v>1</v>
      </c>
      <c r="P58" s="1">
        <v>1</v>
      </c>
      <c r="R58" s="1" t="s">
        <v>5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59" spans="2:19" x14ac:dyDescent="0.3">
      <c r="C59" s="1" t="s">
        <v>4</v>
      </c>
      <c r="D59" s="1">
        <v>5</v>
      </c>
      <c r="E59" s="1">
        <v>20</v>
      </c>
      <c r="F59" s="1" t="s">
        <v>3</v>
      </c>
      <c r="G59" s="1" t="s">
        <v>2</v>
      </c>
      <c r="H59" s="1" t="b">
        <v>1</v>
      </c>
      <c r="I59" s="1" t="s">
        <v>23</v>
      </c>
      <c r="J59" s="1" t="s">
        <v>1</v>
      </c>
      <c r="O59" s="3">
        <f>GET_OK_GROUPS_COUNT(tbHeroEliteEnemy16[[#This Row],[Camp]],tbHeroEliteEnemy16[[#This Row],[Difficulty]],tbHeroEliteEnemy16[[#This Row],[IsBoss]],tbHeroEliteEnemy16[[#This Row],[Hero1]:[Soldier3]])</f>
        <v>1</v>
      </c>
      <c r="P59" s="1">
        <v>1</v>
      </c>
      <c r="R59" s="1" t="s">
        <v>22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 x14ac:dyDescent="0.3">
      <c r="B60" s="1" t="s">
        <v>21</v>
      </c>
      <c r="C60" s="1" t="s">
        <v>4</v>
      </c>
      <c r="D60" s="1">
        <v>1</v>
      </c>
      <c r="E60" s="1">
        <v>5</v>
      </c>
      <c r="F60" s="1" t="s">
        <v>3</v>
      </c>
      <c r="G60" s="1" t="s">
        <v>13</v>
      </c>
      <c r="H60" s="1"/>
      <c r="L60" s="1" t="s">
        <v>18</v>
      </c>
      <c r="O60" s="3">
        <f>GET_OK_GROUPS_COUNT(tbHeroEliteEnemy16[[#This Row],[Camp]],tbHeroEliteEnemy16[[#This Row],[Difficulty]],tbHeroEliteEnemy16[[#This Row],[IsBoss]],tbHeroEliteEnemy16[[#This Row],[Hero1]:[Soldier3]])</f>
        <v>4</v>
      </c>
      <c r="P60" s="1">
        <v>1</v>
      </c>
      <c r="R60" s="1" t="s">
        <v>5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61" spans="2:19" x14ac:dyDescent="0.3">
      <c r="C61" s="1" t="s">
        <v>4</v>
      </c>
      <c r="D61" s="1">
        <v>2</v>
      </c>
      <c r="E61" s="1">
        <v>10</v>
      </c>
      <c r="F61" s="1" t="s">
        <v>3</v>
      </c>
      <c r="G61" s="1" t="s">
        <v>10</v>
      </c>
      <c r="H61" s="1"/>
      <c r="L61" s="1" t="s">
        <v>20</v>
      </c>
      <c r="O61" s="3">
        <f>GET_OK_GROUPS_COUNT(tbHeroEliteEnemy16[[#This Row],[Camp]],tbHeroEliteEnemy16[[#This Row],[Difficulty]],tbHeroEliteEnemy16[[#This Row],[IsBoss]],tbHeroEliteEnemy16[[#This Row],[Hero1]:[Soldier3]])</f>
        <v>3</v>
      </c>
      <c r="P61" s="1">
        <v>1</v>
      </c>
      <c r="R61" s="1" t="s">
        <v>5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62" spans="2:19" x14ac:dyDescent="0.3">
      <c r="C62" s="1" t="s">
        <v>4</v>
      </c>
      <c r="D62" s="1">
        <v>3</v>
      </c>
      <c r="E62" s="1">
        <v>10</v>
      </c>
      <c r="F62" s="1" t="s">
        <v>3</v>
      </c>
      <c r="G62" s="1" t="s">
        <v>10</v>
      </c>
      <c r="H62" s="1"/>
      <c r="L62" s="1" t="s">
        <v>18</v>
      </c>
      <c r="M62" s="1" t="s">
        <v>20</v>
      </c>
      <c r="O62" s="3">
        <f>GET_OK_GROUPS_COUNT(tbHeroEliteEnemy16[[#This Row],[Camp]],tbHeroEliteEnemy16[[#This Row],[Difficulty]],tbHeroEliteEnemy16[[#This Row],[IsBoss]],tbHeroEliteEnemy16[[#This Row],[Hero1]:[Soldier3]])</f>
        <v>1</v>
      </c>
      <c r="P62" s="1">
        <v>1</v>
      </c>
      <c r="R62" s="1" t="s">
        <v>5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三国-普通-盾兵+炼兵</v>
      </c>
    </row>
    <row r="63" spans="2:19" x14ac:dyDescent="0.3">
      <c r="C63" s="1" t="s">
        <v>4</v>
      </c>
      <c r="D63" s="1">
        <v>4</v>
      </c>
      <c r="E63" s="1">
        <v>15</v>
      </c>
      <c r="F63" s="1" t="s">
        <v>3</v>
      </c>
      <c r="G63" s="1" t="s">
        <v>8</v>
      </c>
      <c r="H63" s="1"/>
      <c r="I63" s="1" t="s">
        <v>19</v>
      </c>
      <c r="L63" s="1" t="s">
        <v>18</v>
      </c>
      <c r="O63" s="3">
        <f>GET_OK_GROUPS_COUNT(tbHeroEliteEnemy16[[#This Row],[Camp]],tbHeroEliteEnemy16[[#This Row],[Difficulty]],tbHeroEliteEnemy16[[#This Row],[IsBoss]],tbHeroEliteEnemy16[[#This Row],[Hero1]:[Soldier3]])</f>
        <v>1</v>
      </c>
      <c r="P63" s="1">
        <v>1</v>
      </c>
      <c r="R63" s="1" t="s">
        <v>5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三国-困难-炼英+盾兵</v>
      </c>
    </row>
    <row r="64" spans="2:19" x14ac:dyDescent="0.3">
      <c r="C64" s="1" t="s">
        <v>4</v>
      </c>
      <c r="D64" s="1">
        <v>5</v>
      </c>
      <c r="E64" s="1">
        <v>20</v>
      </c>
      <c r="F64" s="1" t="s">
        <v>3</v>
      </c>
      <c r="G64" s="1" t="s">
        <v>2</v>
      </c>
      <c r="H64" s="1" t="b">
        <v>1</v>
      </c>
      <c r="I64" s="1" t="s">
        <v>17</v>
      </c>
      <c r="J64" s="1" t="s">
        <v>16</v>
      </c>
      <c r="O64" s="3">
        <f>GET_OK_GROUPS_COUNT(tbHeroEliteEnemy16[[#This Row],[Camp]],tbHeroEliteEnemy16[[#This Row],[Difficulty]],tbHeroEliteEnemy16[[#This Row],[IsBoss]],tbHeroEliteEnemy16[[#This Row],[Hero1]:[Soldier3]])</f>
        <v>1</v>
      </c>
      <c r="P64" s="1">
        <v>1</v>
      </c>
      <c r="R64" s="1" t="s">
        <v>15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65" spans="2:19" x14ac:dyDescent="0.3">
      <c r="B65" s="1" t="s">
        <v>14</v>
      </c>
      <c r="C65" s="1" t="s">
        <v>4</v>
      </c>
      <c r="D65" s="1">
        <v>1</v>
      </c>
      <c r="E65" s="1">
        <v>5</v>
      </c>
      <c r="F65" s="1" t="s">
        <v>3</v>
      </c>
      <c r="G65" s="1" t="s">
        <v>13</v>
      </c>
      <c r="H65" s="1"/>
      <c r="L65" s="1" t="s">
        <v>12</v>
      </c>
      <c r="O65" s="3">
        <f>GET_OK_GROUPS_COUNT(tbHeroEliteEnemy16[[#This Row],[Camp]],tbHeroEliteEnemy16[[#This Row],[Difficulty]],tbHeroEliteEnemy16[[#This Row],[IsBoss]],tbHeroEliteEnemy16[[#This Row],[Hero1]:[Soldier3]])</f>
        <v>4</v>
      </c>
      <c r="P65" s="1">
        <v>1</v>
      </c>
      <c r="R65" s="1" t="s">
        <v>5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66" spans="2:19" x14ac:dyDescent="0.3">
      <c r="C66" s="1" t="s">
        <v>4</v>
      </c>
      <c r="D66" s="1">
        <v>2</v>
      </c>
      <c r="E66" s="1">
        <v>10</v>
      </c>
      <c r="F66" s="1" t="s">
        <v>3</v>
      </c>
      <c r="G66" s="1" t="s">
        <v>10</v>
      </c>
      <c r="H66" s="1"/>
      <c r="L66" s="1" t="s">
        <v>11</v>
      </c>
      <c r="O66" s="3">
        <f>GET_OK_GROUPS_COUNT(tbHeroEliteEnemy16[[#This Row],[Camp]],tbHeroEliteEnemy16[[#This Row],[Difficulty]],tbHeroEliteEnemy16[[#This Row],[IsBoss]],tbHeroEliteEnemy16[[#This Row],[Hero1]:[Soldier3]])</f>
        <v>3</v>
      </c>
      <c r="P66" s="1">
        <v>1</v>
      </c>
      <c r="R66" s="1" t="s">
        <v>5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67" spans="2:19" x14ac:dyDescent="0.3">
      <c r="C67" s="1" t="s">
        <v>4</v>
      </c>
      <c r="D67" s="1">
        <v>3</v>
      </c>
      <c r="E67" s="1">
        <v>10</v>
      </c>
      <c r="F67" s="1" t="s">
        <v>3</v>
      </c>
      <c r="G67" s="1" t="s">
        <v>10</v>
      </c>
      <c r="H67" s="1"/>
      <c r="L67" s="1" t="s">
        <v>6</v>
      </c>
      <c r="M67" s="1" t="s">
        <v>9</v>
      </c>
      <c r="O67" s="3">
        <f>GET_OK_GROUPS_COUNT(tbHeroEliteEnemy16[[#This Row],[Camp]],tbHeroEliteEnemy16[[#This Row],[Difficulty]],tbHeroEliteEnemy16[[#This Row],[IsBoss]],tbHeroEliteEnemy16[[#This Row],[Hero1]:[Soldier3]])</f>
        <v>1</v>
      </c>
      <c r="P67" s="1">
        <v>1</v>
      </c>
      <c r="R67" s="1" t="s">
        <v>5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 x14ac:dyDescent="0.3">
      <c r="C68" s="1" t="s">
        <v>4</v>
      </c>
      <c r="D68" s="1">
        <v>4</v>
      </c>
      <c r="E68" s="1">
        <v>15</v>
      </c>
      <c r="F68" s="1" t="s">
        <v>3</v>
      </c>
      <c r="G68" s="1" t="s">
        <v>8</v>
      </c>
      <c r="H68" s="1"/>
      <c r="I68" s="1" t="s">
        <v>7</v>
      </c>
      <c r="L68" s="1" t="s">
        <v>6</v>
      </c>
      <c r="O68" s="3">
        <f>GET_OK_GROUPS_COUNT(tbHeroEliteEnemy16[[#This Row],[Camp]],tbHeroEliteEnemy16[[#This Row],[Difficulty]],tbHeroEliteEnemy16[[#This Row],[IsBoss]],tbHeroEliteEnemy16[[#This Row],[Hero1]:[Soldier3]])</f>
        <v>1</v>
      </c>
      <c r="P68" s="1">
        <v>1</v>
      </c>
      <c r="R68" s="1" t="s">
        <v>5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三国-困难-法英+铁兵</v>
      </c>
    </row>
    <row r="69" spans="2:19" x14ac:dyDescent="0.3">
      <c r="C69" s="1" t="s">
        <v>4</v>
      </c>
      <c r="D69" s="1">
        <v>5</v>
      </c>
      <c r="E69" s="1">
        <v>20</v>
      </c>
      <c r="F69" s="1" t="s">
        <v>3</v>
      </c>
      <c r="G69" s="1" t="s">
        <v>2</v>
      </c>
      <c r="H69" s="1" t="b">
        <v>1</v>
      </c>
      <c r="I69" s="1" t="s">
        <v>0</v>
      </c>
      <c r="J69" s="1" t="s">
        <v>1</v>
      </c>
      <c r="O69" s="3">
        <f>GET_OK_GROUPS_COUNT(tbHeroEliteEnemy16[[#This Row],[Camp]],tbHeroEliteEnemy16[[#This Row],[Difficulty]],tbHeroEliteEnemy16[[#This Row],[IsBoss]],tbHeroEliteEnemy16[[#This Row],[Hero1]:[Soldier3]])</f>
        <v>1</v>
      </c>
      <c r="P69" s="1">
        <v>1</v>
      </c>
      <c r="R69" s="1" t="s">
        <v>0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</sheetData>
  <phoneticPr fontId="2" type="noConversion"/>
  <conditionalFormatting sqref="P5:P69">
    <cfRule type="expression" dxfId="21" priority="2">
      <formula>P5&gt;O5</formula>
    </cfRule>
  </conditionalFormatting>
  <conditionalFormatting sqref="O5:O69">
    <cfRule type="cellIs" dxfId="20" priority="1" operator="equal">
      <formula>0</formula>
    </cfRule>
  </conditionalFormatting>
  <dataValidations count="5">
    <dataValidation type="list" allowBlank="1" showInputMessage="1" showErrorMessage="1" sqref="G5:G69">
      <formula1>"简单,普通,困难,超难,变态"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I5:K69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514350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seal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ejoy</cp:lastModifiedBy>
  <dcterms:created xsi:type="dcterms:W3CDTF">2017-01-07T03:48:59Z</dcterms:created>
  <dcterms:modified xsi:type="dcterms:W3CDTF">2017-01-07T04:51:58Z</dcterms:modified>
</cp:coreProperties>
</file>